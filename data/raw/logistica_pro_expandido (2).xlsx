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6C0C47BD-2201-4BC0-B35F-58D9B36BCE6F}" xr6:coauthVersionLast="47" xr6:coauthVersionMax="47" xr10:uidLastSave="{00000000-0000-0000-0000-000000000000}"/>
  <bookViews>
    <workbookView xWindow="-105" yWindow="0" windowWidth="14610" windowHeight="15585" firstSheet="9" activeTab="10" xr2:uid="{00000000-000D-0000-FFFF-FFFF00000000}"/>
  </bookViews>
  <sheets>
    <sheet name="Productos" sheetId="1" r:id="rId1"/>
    <sheet name="Proveedores" sheetId="2" r:id="rId2"/>
    <sheet name="Clientes" sheetId="3" r:id="rId3"/>
    <sheet name="Almacenes" sheetId="4" r:id="rId4"/>
    <sheet name="Transporte" sheetId="5" r:id="rId5"/>
    <sheet name="Inventario" sheetId="6" r:id="rId6"/>
    <sheet name="Compras" sheetId="7" r:id="rId7"/>
    <sheet name="Devoluciones" sheetId="10" r:id="rId8"/>
    <sheet name="Incidentes_Transporte" sheetId="11" r:id="rId9"/>
    <sheet name="Ventas" sheetId="8" r:id="rId10"/>
    <sheet name="Movimientos" sheetId="9" r:id="rId11"/>
  </sheets>
  <definedNames>
    <definedName name="_xlnm._FilterDatabase" localSheetId="7" hidden="1">Devoluciones!$A$1:$E$93</definedName>
    <definedName name="_xlnm._FilterDatabase" localSheetId="8" hidden="1">Incidentes_Transporte!$A$1:$E$28</definedName>
    <definedName name="_xlnm._FilterDatabase" localSheetId="9" hidden="1">Ventas!$A$1:$S$801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1" l="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" i="1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" i="11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2" i="10"/>
  <c r="A802" i="8"/>
</calcChain>
</file>

<file path=xl/sharedStrings.xml><?xml version="1.0" encoding="utf-8"?>
<sst xmlns="http://schemas.openxmlformats.org/spreadsheetml/2006/main" count="30148" uniqueCount="7344">
  <si>
    <t>SKU</t>
  </si>
  <si>
    <t>Nombre</t>
  </si>
  <si>
    <t>Categoría</t>
  </si>
  <si>
    <t>Subcategoría</t>
  </si>
  <si>
    <t>Marca</t>
  </si>
  <si>
    <t>Modelo</t>
  </si>
  <si>
    <t>Gama</t>
  </si>
  <si>
    <t>Costo USD</t>
  </si>
  <si>
    <t>Precio USD</t>
  </si>
  <si>
    <t>Margen %</t>
  </si>
  <si>
    <t>Peso kg</t>
  </si>
  <si>
    <t>Volumen m3</t>
  </si>
  <si>
    <t>Origen</t>
  </si>
  <si>
    <t>Proveedor</t>
  </si>
  <si>
    <t>Stock Min</t>
  </si>
  <si>
    <t>Stock Máx</t>
  </si>
  <si>
    <t>Punto Reorden</t>
  </si>
  <si>
    <t>Estado</t>
  </si>
  <si>
    <t>Condición</t>
  </si>
  <si>
    <t>Garantía Meses</t>
  </si>
  <si>
    <t>Año Lanzamiento</t>
  </si>
  <si>
    <t>Certificación</t>
  </si>
  <si>
    <t>Código Barras</t>
  </si>
  <si>
    <t>Descripción</t>
  </si>
  <si>
    <t>SKU-0001</t>
  </si>
  <si>
    <t>Crucial GPU Model-130</t>
  </si>
  <si>
    <t>GPU</t>
  </si>
  <si>
    <t>General</t>
  </si>
  <si>
    <t>Crucial</t>
  </si>
  <si>
    <t>M1409</t>
  </si>
  <si>
    <t>Alta</t>
  </si>
  <si>
    <t>China</t>
  </si>
  <si>
    <t>PROV-038</t>
  </si>
  <si>
    <t>Activo</t>
  </si>
  <si>
    <t>Reacondicionado</t>
  </si>
  <si>
    <t>UL</t>
  </si>
  <si>
    <t>7502801823908</t>
  </si>
  <si>
    <t>Producto Crucial GPU modelo M1409, gama alta</t>
  </si>
  <si>
    <t>SKU-0002</t>
  </si>
  <si>
    <t>Samsung Peripherals Model-444</t>
  </si>
  <si>
    <t>Peripherals</t>
  </si>
  <si>
    <t>Samsung</t>
  </si>
  <si>
    <t>M5557</t>
  </si>
  <si>
    <t>Baja</t>
  </si>
  <si>
    <t>Japón</t>
  </si>
  <si>
    <t>PROV-010</t>
  </si>
  <si>
    <t>En revisión</t>
  </si>
  <si>
    <t>Nuevo</t>
  </si>
  <si>
    <t>ENERGY STAR</t>
  </si>
  <si>
    <t>7504466589567</t>
  </si>
  <si>
    <t>Producto Samsung Peripherals modelo M5557, gama baja</t>
  </si>
  <si>
    <t>SKU-0003</t>
  </si>
  <si>
    <t>Western Digital Cooling Model-171</t>
  </si>
  <si>
    <t>Cooling</t>
  </si>
  <si>
    <t>Western Digital</t>
  </si>
  <si>
    <t>M9785</t>
  </si>
  <si>
    <t>Corea del Sur</t>
  </si>
  <si>
    <t>PROV-037</t>
  </si>
  <si>
    <t>Descontinuado</t>
  </si>
  <si>
    <t>TÜV</t>
  </si>
  <si>
    <t>7506488854841</t>
  </si>
  <si>
    <t>Producto Western Digital Cooling modelo M9785, gama baja</t>
  </si>
  <si>
    <t>SKU-0004</t>
  </si>
  <si>
    <t>Crucial Motherboard Model-646</t>
  </si>
  <si>
    <t>Motherboard</t>
  </si>
  <si>
    <t>M3664</t>
  </si>
  <si>
    <t>PROV-039</t>
  </si>
  <si>
    <t>7508235363119</t>
  </si>
  <si>
    <t>Producto Crucial Motherboard modelo M3664, gama alta</t>
  </si>
  <si>
    <t>SKU-0005</t>
  </si>
  <si>
    <t>EVGA CPU Model-505</t>
  </si>
  <si>
    <t>CPU</t>
  </si>
  <si>
    <t>EVGA</t>
  </si>
  <si>
    <t>M4752</t>
  </si>
  <si>
    <t>PROV-014</t>
  </si>
  <si>
    <t>7507609857128</t>
  </si>
  <si>
    <t>Producto EVGA CPU modelo M4752, gama baja</t>
  </si>
  <si>
    <t>SKU-0006</t>
  </si>
  <si>
    <t>Western Digital Peripherals Model-981</t>
  </si>
  <si>
    <t>M8019</t>
  </si>
  <si>
    <t>Premium</t>
  </si>
  <si>
    <t>México</t>
  </si>
  <si>
    <t>PROV-006</t>
  </si>
  <si>
    <t>Open Box</t>
  </si>
  <si>
    <t>FCC</t>
  </si>
  <si>
    <t>7506947530309</t>
  </si>
  <si>
    <t>Producto Western Digital Peripherals modelo M8019, gama premium</t>
  </si>
  <si>
    <t>SKU-0007</t>
  </si>
  <si>
    <t>NVIDIA Cooling Model-887</t>
  </si>
  <si>
    <t>NVIDIA</t>
  </si>
  <si>
    <t>M9669</t>
  </si>
  <si>
    <t>PROV-035</t>
  </si>
  <si>
    <t>CE</t>
  </si>
  <si>
    <t>7504919706735</t>
  </si>
  <si>
    <t>Producto NVIDIA Cooling modelo M9669, gama alta</t>
  </si>
  <si>
    <t>SKU-0008</t>
  </si>
  <si>
    <t>EVGA HDD Model-119</t>
  </si>
  <si>
    <t>HDD</t>
  </si>
  <si>
    <t>M9317</t>
  </si>
  <si>
    <t>Media</t>
  </si>
  <si>
    <t>USA</t>
  </si>
  <si>
    <t>7509957813353</t>
  </si>
  <si>
    <t>Producto EVGA HDD modelo M9317, gama media</t>
  </si>
  <si>
    <t>SKU-0009</t>
  </si>
  <si>
    <t>Samsung GPU Model-533</t>
  </si>
  <si>
    <t>M9727</t>
  </si>
  <si>
    <t>PROV-034</t>
  </si>
  <si>
    <t>7506898796145</t>
  </si>
  <si>
    <t>Producto Samsung GPU modelo M9727, gama media</t>
  </si>
  <si>
    <t>SKU-0010</t>
  </si>
  <si>
    <t>NZXT Case Model-172</t>
  </si>
  <si>
    <t>Case</t>
  </si>
  <si>
    <t>NZXT</t>
  </si>
  <si>
    <t>M8397</t>
  </si>
  <si>
    <t>Vietnam</t>
  </si>
  <si>
    <t>7503208283728</t>
  </si>
  <si>
    <t>Producto NZXT Case modelo M8397, gama baja</t>
  </si>
  <si>
    <t>SKU-0011</t>
  </si>
  <si>
    <t>Gigabyte Cooling Model-294</t>
  </si>
  <si>
    <t>Gigabyte</t>
  </si>
  <si>
    <t>M4510</t>
  </si>
  <si>
    <t>PROV-031</t>
  </si>
  <si>
    <t>ISO 9001</t>
  </si>
  <si>
    <t>7509822598054</t>
  </si>
  <si>
    <t>Producto Gigabyte Cooling modelo M4510, gama media</t>
  </si>
  <si>
    <t>SKU-0012</t>
  </si>
  <si>
    <t>Crucial GPU Model-243</t>
  </si>
  <si>
    <t>M1993</t>
  </si>
  <si>
    <t>PROV-013</t>
  </si>
  <si>
    <t>7509807209816</t>
  </si>
  <si>
    <t>Producto Crucial GPU modelo M1993, gama premium</t>
  </si>
  <si>
    <t>SKU-0013</t>
  </si>
  <si>
    <t>CoolerMaster CPU Model-102</t>
  </si>
  <si>
    <t>CoolerMaster</t>
  </si>
  <si>
    <t>M2528</t>
  </si>
  <si>
    <t>Alemania</t>
  </si>
  <si>
    <t>PROV-004</t>
  </si>
  <si>
    <t>7501664847319</t>
  </si>
  <si>
    <t>Producto CoolerMaster CPU modelo M2528, gama media</t>
  </si>
  <si>
    <t>SKU-0014</t>
  </si>
  <si>
    <t>Gigabyte SSD Model-182</t>
  </si>
  <si>
    <t>SSD</t>
  </si>
  <si>
    <t>M1958</t>
  </si>
  <si>
    <t>Taiwan</t>
  </si>
  <si>
    <t>7503446737272</t>
  </si>
  <si>
    <t>Producto Gigabyte SSD modelo M1958, gama baja</t>
  </si>
  <si>
    <t>SKU-0015</t>
  </si>
  <si>
    <t>NVIDIA Peripherals Model-421</t>
  </si>
  <si>
    <t>M1651</t>
  </si>
  <si>
    <t>80 PLUS</t>
  </si>
  <si>
    <t>7505018948187</t>
  </si>
  <si>
    <t>Producto NVIDIA Peripherals modelo M1651, gama baja</t>
  </si>
  <si>
    <t>SKU-0016</t>
  </si>
  <si>
    <t>Intel Cooling Model-478</t>
  </si>
  <si>
    <t>Intel</t>
  </si>
  <si>
    <t>M2638</t>
  </si>
  <si>
    <t>PROV-005</t>
  </si>
  <si>
    <t>7507676965974</t>
  </si>
  <si>
    <t>Producto Intel Cooling modelo M2638, gama baja</t>
  </si>
  <si>
    <t>SKU-0017</t>
  </si>
  <si>
    <t>NZXT GPU Model-834</t>
  </si>
  <si>
    <t>M3200</t>
  </si>
  <si>
    <t>PROV-019</t>
  </si>
  <si>
    <t>7504633987776</t>
  </si>
  <si>
    <t>Producto NZXT GPU modelo M3200, gama alta</t>
  </si>
  <si>
    <t>SKU-0018</t>
  </si>
  <si>
    <t>AMD PSU Model-664</t>
  </si>
  <si>
    <t>PSU</t>
  </si>
  <si>
    <t>AMD</t>
  </si>
  <si>
    <t>M5533</t>
  </si>
  <si>
    <t>PROV-011</t>
  </si>
  <si>
    <t>RoHS</t>
  </si>
  <si>
    <t>7503343292475</t>
  </si>
  <si>
    <t>Producto AMD PSU modelo M5533, gama baja</t>
  </si>
  <si>
    <t>SKU-0019</t>
  </si>
  <si>
    <t>EVGA Motherboard Model-355</t>
  </si>
  <si>
    <t>M3426</t>
  </si>
  <si>
    <t>PROV-023</t>
  </si>
  <si>
    <t>7502770791023</t>
  </si>
  <si>
    <t>Producto EVGA Motherboard modelo M3426, gama premium</t>
  </si>
  <si>
    <t>SKU-0020</t>
  </si>
  <si>
    <t>ASUS Motherboard Model-936</t>
  </si>
  <si>
    <t>ASUS</t>
  </si>
  <si>
    <t>M7745</t>
  </si>
  <si>
    <t>7507006365648</t>
  </si>
  <si>
    <t>Producto ASUS Motherboard modelo M7745, gama media</t>
  </si>
  <si>
    <t>SKU-0021</t>
  </si>
  <si>
    <t>Gigabyte GPU Model-282</t>
  </si>
  <si>
    <t>M5573</t>
  </si>
  <si>
    <t>PROV-002</t>
  </si>
  <si>
    <t>7506642201119</t>
  </si>
  <si>
    <t>Producto Gigabyte GPU modelo M5573, gama alta</t>
  </si>
  <si>
    <t>SKU-0022</t>
  </si>
  <si>
    <t>NVIDIA Case Model-651</t>
  </si>
  <si>
    <t>M2894</t>
  </si>
  <si>
    <t>PROV-001</t>
  </si>
  <si>
    <t>7504642197907</t>
  </si>
  <si>
    <t>Producto NVIDIA Case modelo M2894, gama premium</t>
  </si>
  <si>
    <t>SKU-0023</t>
  </si>
  <si>
    <t>Western Digital HDD Model-488</t>
  </si>
  <si>
    <t>M9308</t>
  </si>
  <si>
    <t>7506600100279</t>
  </si>
  <si>
    <t>Producto Western Digital HDD modelo M9308, gama alta</t>
  </si>
  <si>
    <t>SKU-0024</t>
  </si>
  <si>
    <t>MSI PSU Model-779</t>
  </si>
  <si>
    <t>MSI</t>
  </si>
  <si>
    <t>M6279</t>
  </si>
  <si>
    <t>7501632880459</t>
  </si>
  <si>
    <t>Producto MSI PSU modelo M6279, gama premium</t>
  </si>
  <si>
    <t>SKU-0025</t>
  </si>
  <si>
    <t>Intel SSD Model-251</t>
  </si>
  <si>
    <t>M8784</t>
  </si>
  <si>
    <t>PROV-032</t>
  </si>
  <si>
    <t>7509805620900</t>
  </si>
  <si>
    <t>Producto Intel SSD modelo M8784, gama baja</t>
  </si>
  <si>
    <t>SKU-0026</t>
  </si>
  <si>
    <t>MSI GPU Model-836</t>
  </si>
  <si>
    <t>M8478</t>
  </si>
  <si>
    <t>PROV-029</t>
  </si>
  <si>
    <t>7507228002201</t>
  </si>
  <si>
    <t>Producto MSI GPU modelo M8478, gama media</t>
  </si>
  <si>
    <t>SKU-0027</t>
  </si>
  <si>
    <t>Seagate SSD Model-427</t>
  </si>
  <si>
    <t>Seagate</t>
  </si>
  <si>
    <t>M5543</t>
  </si>
  <si>
    <t>PROV-016</t>
  </si>
  <si>
    <t>7504034047118</t>
  </si>
  <si>
    <t>Producto Seagate SSD modelo M5543, gama premium</t>
  </si>
  <si>
    <t>SKU-0028</t>
  </si>
  <si>
    <t>AMD PSU Model-698</t>
  </si>
  <si>
    <t>M7678</t>
  </si>
  <si>
    <t>PROV-025</t>
  </si>
  <si>
    <t>7508884394611</t>
  </si>
  <si>
    <t>Producto AMD PSU modelo M7678, gama alta</t>
  </si>
  <si>
    <t>SKU-0029</t>
  </si>
  <si>
    <t>CoolerMaster Case Model-960</t>
  </si>
  <si>
    <t>M4613</t>
  </si>
  <si>
    <t>PROV-026</t>
  </si>
  <si>
    <t>7509950486177</t>
  </si>
  <si>
    <t>Producto CoolerMaster Case modelo M4613, gama premium</t>
  </si>
  <si>
    <t>SKU-0030</t>
  </si>
  <si>
    <t>Kingston RAM Model-384</t>
  </si>
  <si>
    <t>RAM</t>
  </si>
  <si>
    <t>Kingston</t>
  </si>
  <si>
    <t>M8564</t>
  </si>
  <si>
    <t>PROV-022</t>
  </si>
  <si>
    <t>7502503068227</t>
  </si>
  <si>
    <t>Producto Kingston RAM modelo M8564, gama media</t>
  </si>
  <si>
    <t>SKU-0031</t>
  </si>
  <si>
    <t>Crucial GPU Model-785</t>
  </si>
  <si>
    <t>M1659</t>
  </si>
  <si>
    <t>7504085320828</t>
  </si>
  <si>
    <t>Producto Crucial GPU modelo M1659, gama baja</t>
  </si>
  <si>
    <t>SKU-0032</t>
  </si>
  <si>
    <t>Seagate RAM Model-303</t>
  </si>
  <si>
    <t>M6096</t>
  </si>
  <si>
    <t>7504361393222</t>
  </si>
  <si>
    <t>Producto Seagate RAM modelo M6096, gama baja</t>
  </si>
  <si>
    <t>SKU-0033</t>
  </si>
  <si>
    <t>Corsair Case Model-470</t>
  </si>
  <si>
    <t>Corsair</t>
  </si>
  <si>
    <t>M8018</t>
  </si>
  <si>
    <t>7508622026979</t>
  </si>
  <si>
    <t>Producto Corsair Case modelo M8018, gama alta</t>
  </si>
  <si>
    <t>SKU-0034</t>
  </si>
  <si>
    <t>Samsung PSU Model-683</t>
  </si>
  <si>
    <t>M5397</t>
  </si>
  <si>
    <t>7503094011037</t>
  </si>
  <si>
    <t>Producto Samsung PSU modelo M5397, gama alta</t>
  </si>
  <si>
    <t>SKU-0035</t>
  </si>
  <si>
    <t>Corsair HDD Model-187</t>
  </si>
  <si>
    <t>M6576</t>
  </si>
  <si>
    <t>7507403028869</t>
  </si>
  <si>
    <t>Producto Corsair HDD modelo M6576, gama alta</t>
  </si>
  <si>
    <t>SKU-0036</t>
  </si>
  <si>
    <t>Seagate CPU Model-452</t>
  </si>
  <si>
    <t>M2524</t>
  </si>
  <si>
    <t>7506458544482</t>
  </si>
  <si>
    <t>Producto Seagate CPU modelo M2524, gama alta</t>
  </si>
  <si>
    <t>SKU-0037</t>
  </si>
  <si>
    <t>Gigabyte SSD Model-595</t>
  </si>
  <si>
    <t>M2976</t>
  </si>
  <si>
    <t>7502272368870</t>
  </si>
  <si>
    <t>Producto Gigabyte SSD modelo M2976, gama media</t>
  </si>
  <si>
    <t>SKU-0038</t>
  </si>
  <si>
    <t>Corsair RAM Model-229</t>
  </si>
  <si>
    <t>M5952</t>
  </si>
  <si>
    <t>PROV-036</t>
  </si>
  <si>
    <t>7507311011808</t>
  </si>
  <si>
    <t>Producto Corsair RAM modelo M5952, gama baja</t>
  </si>
  <si>
    <t>SKU-0039</t>
  </si>
  <si>
    <t>Samsung Motherboard Model-690</t>
  </si>
  <si>
    <t>M4020</t>
  </si>
  <si>
    <t>7505268845844</t>
  </si>
  <si>
    <t>Producto Samsung Motherboard modelo M4020, gama baja</t>
  </si>
  <si>
    <t>SKU-0040</t>
  </si>
  <si>
    <t>AMD Case Model-682</t>
  </si>
  <si>
    <t>M7818</t>
  </si>
  <si>
    <t>7501348697524</t>
  </si>
  <si>
    <t>Producto AMD Case modelo M7818, gama media</t>
  </si>
  <si>
    <t>SKU-0041</t>
  </si>
  <si>
    <t>MSI RAM Model-823</t>
  </si>
  <si>
    <t>M2229</t>
  </si>
  <si>
    <t>PROV-003</t>
  </si>
  <si>
    <t>7502825957977</t>
  </si>
  <si>
    <t>Producto MSI RAM modelo M2229, gama media</t>
  </si>
  <si>
    <t>SKU-0042</t>
  </si>
  <si>
    <t>CoolerMaster SSD Model-682</t>
  </si>
  <si>
    <t>M3441</t>
  </si>
  <si>
    <t>7509343730920</t>
  </si>
  <si>
    <t>Producto CoolerMaster SSD modelo M3441, gama alta</t>
  </si>
  <si>
    <t>SKU-0043</t>
  </si>
  <si>
    <t>CoolerMaster Case Model-193</t>
  </si>
  <si>
    <t>M9090</t>
  </si>
  <si>
    <t>7503474961963</t>
  </si>
  <si>
    <t>Producto CoolerMaster Case modelo M9090, gama premium</t>
  </si>
  <si>
    <t>SKU-0044</t>
  </si>
  <si>
    <t>Seagate RAM Model-518</t>
  </si>
  <si>
    <t>M8708</t>
  </si>
  <si>
    <t>7509354542654</t>
  </si>
  <si>
    <t>Producto Seagate RAM modelo M8708, gama premium</t>
  </si>
  <si>
    <t>SKU-0045</t>
  </si>
  <si>
    <t>EVGA Case Model-773</t>
  </si>
  <si>
    <t>M1601</t>
  </si>
  <si>
    <t>PROV-033</t>
  </si>
  <si>
    <t>7501221670908</t>
  </si>
  <si>
    <t>Producto EVGA Case modelo M1601, gama premium</t>
  </si>
  <si>
    <t>SKU-0046</t>
  </si>
  <si>
    <t>Gigabyte Case Model-114</t>
  </si>
  <si>
    <t>M3146</t>
  </si>
  <si>
    <t>7508372755146</t>
  </si>
  <si>
    <t>Producto Gigabyte Case modelo M3146, gama alta</t>
  </si>
  <si>
    <t>SKU-0047</t>
  </si>
  <si>
    <t>CoolerMaster HDD Model-620</t>
  </si>
  <si>
    <t>M7807</t>
  </si>
  <si>
    <t>7504524233168</t>
  </si>
  <si>
    <t>Producto CoolerMaster HDD modelo M7807, gama premium</t>
  </si>
  <si>
    <t>SKU-0048</t>
  </si>
  <si>
    <t>Gigabyte HDD Model-990</t>
  </si>
  <si>
    <t>M9022</t>
  </si>
  <si>
    <t>PROV-030</t>
  </si>
  <si>
    <t>7505482431018</t>
  </si>
  <si>
    <t>Producto Gigabyte HDD modelo M9022, gama media</t>
  </si>
  <si>
    <t>SKU-0049</t>
  </si>
  <si>
    <t>Western Digital Cooling Model-229</t>
  </si>
  <si>
    <t>M7246</t>
  </si>
  <si>
    <t>7509655852024</t>
  </si>
  <si>
    <t>Producto Western Digital Cooling modelo M7246, gama premium</t>
  </si>
  <si>
    <t>SKU-0050</t>
  </si>
  <si>
    <t>ASUS PSU Model-972</t>
  </si>
  <si>
    <t>M3529</t>
  </si>
  <si>
    <t>7503651968205</t>
  </si>
  <si>
    <t>Producto ASUS PSU modelo M3529, gama baja</t>
  </si>
  <si>
    <t>SKU-0051</t>
  </si>
  <si>
    <t>MSI HDD Model-406</t>
  </si>
  <si>
    <t>M4727</t>
  </si>
  <si>
    <t>7502849785671</t>
  </si>
  <si>
    <t>Producto MSI HDD modelo M4727, gama baja</t>
  </si>
  <si>
    <t>SKU-0052</t>
  </si>
  <si>
    <t>MSI Case Model-246</t>
  </si>
  <si>
    <t>M7751</t>
  </si>
  <si>
    <t>7503347621138</t>
  </si>
  <si>
    <t>Producto MSI Case modelo M7751, gama media</t>
  </si>
  <si>
    <t>SKU-0053</t>
  </si>
  <si>
    <t>AMD Cooling Model-594</t>
  </si>
  <si>
    <t>M6661</t>
  </si>
  <si>
    <t>7506994940029</t>
  </si>
  <si>
    <t>Producto AMD Cooling modelo M6661, gama alta</t>
  </si>
  <si>
    <t>SKU-0054</t>
  </si>
  <si>
    <t>Intel Peripherals Model-324</t>
  </si>
  <si>
    <t>M1803</t>
  </si>
  <si>
    <t>7503776011793</t>
  </si>
  <si>
    <t>Producto Intel Peripherals modelo M1803, gama premium</t>
  </si>
  <si>
    <t>SKU-0055</t>
  </si>
  <si>
    <t>Gigabyte Cooling Model-905</t>
  </si>
  <si>
    <t>M1546</t>
  </si>
  <si>
    <t>PROV-012</t>
  </si>
  <si>
    <t>7509350223102</t>
  </si>
  <si>
    <t>Producto Gigabyte Cooling modelo M1546, gama alta</t>
  </si>
  <si>
    <t>SKU-0056</t>
  </si>
  <si>
    <t>Seagate HDD Model-923</t>
  </si>
  <si>
    <t>M6549</t>
  </si>
  <si>
    <t>7507248258423</t>
  </si>
  <si>
    <t>Producto Seagate HDD modelo M6549, gama baja</t>
  </si>
  <si>
    <t>SKU-0057</t>
  </si>
  <si>
    <t>Crucial HDD Model-164</t>
  </si>
  <si>
    <t>M7242</t>
  </si>
  <si>
    <t>PROV-040</t>
  </si>
  <si>
    <t>7505454792171</t>
  </si>
  <si>
    <t>Producto Crucial HDD modelo M7242, gama alta</t>
  </si>
  <si>
    <t>SKU-0058</t>
  </si>
  <si>
    <t>Samsung GPU Model-258</t>
  </si>
  <si>
    <t>M2592</t>
  </si>
  <si>
    <t>7509730449971</t>
  </si>
  <si>
    <t>Producto Samsung GPU modelo M2592, gama media</t>
  </si>
  <si>
    <t>SKU-0059</t>
  </si>
  <si>
    <t>Corsair SSD Model-467</t>
  </si>
  <si>
    <t>M8264</t>
  </si>
  <si>
    <t>7501091729577</t>
  </si>
  <si>
    <t>Producto Corsair SSD modelo M8264, gama premium</t>
  </si>
  <si>
    <t>SKU-0060</t>
  </si>
  <si>
    <t>Seagate Motherboard Model-990</t>
  </si>
  <si>
    <t>M4990</t>
  </si>
  <si>
    <t>7505241397494</t>
  </si>
  <si>
    <t>Producto Seagate Motherboard modelo M4990, gama media</t>
  </si>
  <si>
    <t>SKU-0061</t>
  </si>
  <si>
    <t>CoolerMaster HDD Model-278</t>
  </si>
  <si>
    <t>M3858</t>
  </si>
  <si>
    <t>7507340428136</t>
  </si>
  <si>
    <t>Producto CoolerMaster HDD modelo M3858, gama baja</t>
  </si>
  <si>
    <t>SKU-0062</t>
  </si>
  <si>
    <t>Seagate Motherboard Model-162</t>
  </si>
  <si>
    <t>M9408</t>
  </si>
  <si>
    <t>7505641959772</t>
  </si>
  <si>
    <t>Producto Seagate Motherboard modelo M9408, gama baja</t>
  </si>
  <si>
    <t>SKU-0063</t>
  </si>
  <si>
    <t>NVIDIA RAM Model-401</t>
  </si>
  <si>
    <t>M2076</t>
  </si>
  <si>
    <t>7507142103618</t>
  </si>
  <si>
    <t>Producto NVIDIA RAM modelo M2076, gama media</t>
  </si>
  <si>
    <t>SKU-0064</t>
  </si>
  <si>
    <t>NZXT SSD Model-361</t>
  </si>
  <si>
    <t>M7779</t>
  </si>
  <si>
    <t>PROV-028</t>
  </si>
  <si>
    <t>7505695387521</t>
  </si>
  <si>
    <t>Producto NZXT SSD modelo M7779, gama alta</t>
  </si>
  <si>
    <t>SKU-0065</t>
  </si>
  <si>
    <t>AMD Motherboard Model-781</t>
  </si>
  <si>
    <t>M3131</t>
  </si>
  <si>
    <t>PROV-027</t>
  </si>
  <si>
    <t>7502510308881</t>
  </si>
  <si>
    <t>Producto AMD Motherboard modelo M3131, gama baja</t>
  </si>
  <si>
    <t>SKU-0066</t>
  </si>
  <si>
    <t>NVIDIA Case Model-687</t>
  </si>
  <si>
    <t>M4485</t>
  </si>
  <si>
    <t>PROV-008</t>
  </si>
  <si>
    <t>7508273403366</t>
  </si>
  <si>
    <t>Producto NVIDIA Case modelo M4485, gama media</t>
  </si>
  <si>
    <t>SKU-0067</t>
  </si>
  <si>
    <t>Intel RAM Model-171</t>
  </si>
  <si>
    <t>M5477</t>
  </si>
  <si>
    <t>7507098134112</t>
  </si>
  <si>
    <t>Producto Intel RAM modelo M5477, gama alta</t>
  </si>
  <si>
    <t>SKU-0068</t>
  </si>
  <si>
    <t>Corsair RAM Model-872</t>
  </si>
  <si>
    <t>M7062</t>
  </si>
  <si>
    <t>7507193532615</t>
  </si>
  <si>
    <t>Producto Corsair RAM modelo M7062, gama alta</t>
  </si>
  <si>
    <t>SKU-0069</t>
  </si>
  <si>
    <t>Gigabyte SSD Model-146</t>
  </si>
  <si>
    <t>M9394</t>
  </si>
  <si>
    <t>7504295741120</t>
  </si>
  <si>
    <t>Producto Gigabyte SSD modelo M9394, gama baja</t>
  </si>
  <si>
    <t>SKU-0070</t>
  </si>
  <si>
    <t>Seagate HDD Model-335</t>
  </si>
  <si>
    <t>M5742</t>
  </si>
  <si>
    <t>7502873548915</t>
  </si>
  <si>
    <t>Producto Seagate HDD modelo M5742, gama alta</t>
  </si>
  <si>
    <t>SKU-0071</t>
  </si>
  <si>
    <t>Samsung GPU Model-275</t>
  </si>
  <si>
    <t>M6129</t>
  </si>
  <si>
    <t>7504627032705</t>
  </si>
  <si>
    <t>Producto Samsung GPU modelo M6129, gama premium</t>
  </si>
  <si>
    <t>SKU-0072</t>
  </si>
  <si>
    <t>MSI PSU Model-748</t>
  </si>
  <si>
    <t>M7560</t>
  </si>
  <si>
    <t>7502014766981</t>
  </si>
  <si>
    <t>Producto MSI PSU modelo M7560, gama baja</t>
  </si>
  <si>
    <t>SKU-0073</t>
  </si>
  <si>
    <t>ASUS HDD Model-677</t>
  </si>
  <si>
    <t>M4232</t>
  </si>
  <si>
    <t>7505943324387</t>
  </si>
  <si>
    <t>Producto ASUS HDD modelo M4232, gama media</t>
  </si>
  <si>
    <t>SKU-0074</t>
  </si>
  <si>
    <t>AMD Cooling Model-138</t>
  </si>
  <si>
    <t>M8245</t>
  </si>
  <si>
    <t>PROV-020</t>
  </si>
  <si>
    <t>7504847761430</t>
  </si>
  <si>
    <t>Producto AMD Cooling modelo M8245, gama alta</t>
  </si>
  <si>
    <t>SKU-0075</t>
  </si>
  <si>
    <t>Samsung Peripherals Model-451</t>
  </si>
  <si>
    <t>M4084</t>
  </si>
  <si>
    <t>PROV-007</t>
  </si>
  <si>
    <t>7508334179373</t>
  </si>
  <si>
    <t>Producto Samsung Peripherals modelo M4084, gama alta</t>
  </si>
  <si>
    <t>SKU-0076</t>
  </si>
  <si>
    <t>Samsung Case Model-746</t>
  </si>
  <si>
    <t>M9564</t>
  </si>
  <si>
    <t>7506515369278</t>
  </si>
  <si>
    <t>Producto Samsung Case modelo M9564, gama media</t>
  </si>
  <si>
    <t>SKU-0077</t>
  </si>
  <si>
    <t>Western Digital Peripherals Model-825</t>
  </si>
  <si>
    <t>M3463</t>
  </si>
  <si>
    <t>7502554039848</t>
  </si>
  <si>
    <t>Producto Western Digital Peripherals modelo M3463, gama alta</t>
  </si>
  <si>
    <t>SKU-0078</t>
  </si>
  <si>
    <t>Corsair HDD Model-964</t>
  </si>
  <si>
    <t>M3953</t>
  </si>
  <si>
    <t>7503654424954</t>
  </si>
  <si>
    <t>Producto Corsair HDD modelo M3953, gama media</t>
  </si>
  <si>
    <t>SKU-0079</t>
  </si>
  <si>
    <t>NVIDIA PSU Model-473</t>
  </si>
  <si>
    <t>M3527</t>
  </si>
  <si>
    <t>7506322188162</t>
  </si>
  <si>
    <t>Producto NVIDIA PSU modelo M3527, gama media</t>
  </si>
  <si>
    <t>SKU-0080</t>
  </si>
  <si>
    <t>Seagate Cooling Model-528</t>
  </si>
  <si>
    <t>M4178</t>
  </si>
  <si>
    <t>7509049270990</t>
  </si>
  <si>
    <t>Producto Seagate Cooling modelo M4178, gama alta</t>
  </si>
  <si>
    <t>SKU-0081</t>
  </si>
  <si>
    <t>CoolerMaster GPU Model-936</t>
  </si>
  <si>
    <t>M9452</t>
  </si>
  <si>
    <t>7506307626407</t>
  </si>
  <si>
    <t>Producto CoolerMaster GPU modelo M9452, gama baja</t>
  </si>
  <si>
    <t>SKU-0082</t>
  </si>
  <si>
    <t>AMD Motherboard Model-393</t>
  </si>
  <si>
    <t>M4678</t>
  </si>
  <si>
    <t>7504890628295</t>
  </si>
  <si>
    <t>Producto AMD Motherboard modelo M4678, gama baja</t>
  </si>
  <si>
    <t>SKU-0083</t>
  </si>
  <si>
    <t>Intel HDD Model-224</t>
  </si>
  <si>
    <t>M4533</t>
  </si>
  <si>
    <t>7503302333490</t>
  </si>
  <si>
    <t>Producto Intel HDD modelo M4533, gama media</t>
  </si>
  <si>
    <t>SKU-0084</t>
  </si>
  <si>
    <t>Crucial Case Model-187</t>
  </si>
  <si>
    <t>M4963</t>
  </si>
  <si>
    <t>7503019214800</t>
  </si>
  <si>
    <t>Producto Crucial Case modelo M4963, gama media</t>
  </si>
  <si>
    <t>SKU-0085</t>
  </si>
  <si>
    <t>Crucial PSU Model-852</t>
  </si>
  <si>
    <t>M7116</t>
  </si>
  <si>
    <t>7508235656521</t>
  </si>
  <si>
    <t>Producto Crucial PSU modelo M7116, gama alta</t>
  </si>
  <si>
    <t>SKU-0086</t>
  </si>
  <si>
    <t>Western Digital Cooling Model-304</t>
  </si>
  <si>
    <t>M3986</t>
  </si>
  <si>
    <t>7502087974350</t>
  </si>
  <si>
    <t>Producto Western Digital Cooling modelo M3986, gama media</t>
  </si>
  <si>
    <t>SKU-0087</t>
  </si>
  <si>
    <t>Seagate SSD Model-547</t>
  </si>
  <si>
    <t>M5687</t>
  </si>
  <si>
    <t>7508267378816</t>
  </si>
  <si>
    <t>Producto Seagate SSD modelo M5687, gama alta</t>
  </si>
  <si>
    <t>SKU-0088</t>
  </si>
  <si>
    <t>Corsair Case Model-205</t>
  </si>
  <si>
    <t>M5369</t>
  </si>
  <si>
    <t>7507201539282</t>
  </si>
  <si>
    <t>Producto Corsair Case modelo M5369, gama baja</t>
  </si>
  <si>
    <t>SKU-0089</t>
  </si>
  <si>
    <t>Samsung CPU Model-920</t>
  </si>
  <si>
    <t>M6776</t>
  </si>
  <si>
    <t>7501149460439</t>
  </si>
  <si>
    <t>Producto Samsung CPU modelo M6776, gama premium</t>
  </si>
  <si>
    <t>SKU-0090</t>
  </si>
  <si>
    <t>AMD SSD Model-881</t>
  </si>
  <si>
    <t>M7001</t>
  </si>
  <si>
    <t>PROV-024</t>
  </si>
  <si>
    <t>7501487258103</t>
  </si>
  <si>
    <t>Producto AMD SSD modelo M7001, gama alta</t>
  </si>
  <si>
    <t>SKU-0091</t>
  </si>
  <si>
    <t>Western Digital RAM Model-810</t>
  </si>
  <si>
    <t>M9176</t>
  </si>
  <si>
    <t>7508358867651</t>
  </si>
  <si>
    <t>Producto Western Digital RAM modelo M9176, gama premium</t>
  </si>
  <si>
    <t>SKU-0092</t>
  </si>
  <si>
    <t>AMD Motherboard Model-620</t>
  </si>
  <si>
    <t>M6692</t>
  </si>
  <si>
    <t>7506879428703</t>
  </si>
  <si>
    <t>Producto AMD Motherboard modelo M6692, gama baja</t>
  </si>
  <si>
    <t>SKU-0093</t>
  </si>
  <si>
    <t>Seagate Case Model-519</t>
  </si>
  <si>
    <t>M3126</t>
  </si>
  <si>
    <t>7502479679716</t>
  </si>
  <si>
    <t>Producto Seagate Case modelo M3126, gama baja</t>
  </si>
  <si>
    <t>SKU-0094</t>
  </si>
  <si>
    <t>NZXT Case Model-268</t>
  </si>
  <si>
    <t>M3981</t>
  </si>
  <si>
    <t>7502076341629</t>
  </si>
  <si>
    <t>Producto NZXT Case modelo M3981, gama media</t>
  </si>
  <si>
    <t>SKU-0095</t>
  </si>
  <si>
    <t>Crucial Case Model-257</t>
  </si>
  <si>
    <t>M5496</t>
  </si>
  <si>
    <t>7501121863227</t>
  </si>
  <si>
    <t>Producto Crucial Case modelo M5496, gama media</t>
  </si>
  <si>
    <t>SKU-0096</t>
  </si>
  <si>
    <t>Intel Peripherals Model-409</t>
  </si>
  <si>
    <t>M5336</t>
  </si>
  <si>
    <t>7503957572769</t>
  </si>
  <si>
    <t>Producto Intel Peripherals modelo M5336, gama media</t>
  </si>
  <si>
    <t>SKU-0097</t>
  </si>
  <si>
    <t>ASUS Cooling Model-878</t>
  </si>
  <si>
    <t>M7809</t>
  </si>
  <si>
    <t>7506443749394</t>
  </si>
  <si>
    <t>Producto ASUS Cooling modelo M7809, gama premium</t>
  </si>
  <si>
    <t>SKU-0098</t>
  </si>
  <si>
    <t>MSI RAM Model-691</t>
  </si>
  <si>
    <t>M2586</t>
  </si>
  <si>
    <t>7509070568519</t>
  </si>
  <si>
    <t>Producto MSI RAM modelo M2586, gama baja</t>
  </si>
  <si>
    <t>SKU-0099</t>
  </si>
  <si>
    <t>Samsung CPU Model-606</t>
  </si>
  <si>
    <t>M2475</t>
  </si>
  <si>
    <t>7504638577630</t>
  </si>
  <si>
    <t>Producto Samsung CPU modelo M2475, gama premium</t>
  </si>
  <si>
    <t>SKU-0100</t>
  </si>
  <si>
    <t>Kingston RAM Model-175</t>
  </si>
  <si>
    <t>M5333</t>
  </si>
  <si>
    <t>7505710211115</t>
  </si>
  <si>
    <t>Producto Kingston RAM modelo M5333, gama alta</t>
  </si>
  <si>
    <t>SKU-0101</t>
  </si>
  <si>
    <t>Corsair Motherboard Model-441</t>
  </si>
  <si>
    <t>M6990</t>
  </si>
  <si>
    <t>7507928074841</t>
  </si>
  <si>
    <t>Producto Corsair Motherboard modelo M6990, gama media</t>
  </si>
  <si>
    <t>SKU-0102</t>
  </si>
  <si>
    <t>ASUS PSU Model-477</t>
  </si>
  <si>
    <t>M5902</t>
  </si>
  <si>
    <t>7507858674568</t>
  </si>
  <si>
    <t>Producto ASUS PSU modelo M5902, gama alta</t>
  </si>
  <si>
    <t>SKU-0103</t>
  </si>
  <si>
    <t>Gigabyte Peripherals Model-348</t>
  </si>
  <si>
    <t>M4728</t>
  </si>
  <si>
    <t>7502798647685</t>
  </si>
  <si>
    <t>Producto Gigabyte Peripherals modelo M4728, gama baja</t>
  </si>
  <si>
    <t>SKU-0104</t>
  </si>
  <si>
    <t>Kingston SSD Model-432</t>
  </si>
  <si>
    <t>M7723</t>
  </si>
  <si>
    <t>7508272725281</t>
  </si>
  <si>
    <t>Producto Kingston SSD modelo M7723, gama premium</t>
  </si>
  <si>
    <t>SKU-0105</t>
  </si>
  <si>
    <t>NVIDIA Cooling Model-806</t>
  </si>
  <si>
    <t>M4150</t>
  </si>
  <si>
    <t>7502236045959</t>
  </si>
  <si>
    <t>Producto NVIDIA Cooling modelo M4150, gama media</t>
  </si>
  <si>
    <t>SKU-0106</t>
  </si>
  <si>
    <t>NVIDIA Case Model-180</t>
  </si>
  <si>
    <t>M7220</t>
  </si>
  <si>
    <t>7502166605339</t>
  </si>
  <si>
    <t>Producto NVIDIA Case modelo M7220, gama premium</t>
  </si>
  <si>
    <t>SKU-0107</t>
  </si>
  <si>
    <t>AMD Peripherals Model-438</t>
  </si>
  <si>
    <t>M4920</t>
  </si>
  <si>
    <t>7509067664957</t>
  </si>
  <si>
    <t>Producto AMD Peripherals modelo M4920, gama media</t>
  </si>
  <si>
    <t>SKU-0108</t>
  </si>
  <si>
    <t>Samsung SSD Model-970</t>
  </si>
  <si>
    <t>M5706</t>
  </si>
  <si>
    <t>7501160916026</t>
  </si>
  <si>
    <t>Producto Samsung SSD modelo M5706, gama alta</t>
  </si>
  <si>
    <t>SKU-0109</t>
  </si>
  <si>
    <t>Gigabyte Peripherals Model-579</t>
  </si>
  <si>
    <t>M2758</t>
  </si>
  <si>
    <t>PROV-009</t>
  </si>
  <si>
    <t>7508079331637</t>
  </si>
  <si>
    <t>Producto Gigabyte Peripherals modelo M2758, gama alta</t>
  </si>
  <si>
    <t>SKU-0110</t>
  </si>
  <si>
    <t>Western Digital RAM Model-515</t>
  </si>
  <si>
    <t>M1230</t>
  </si>
  <si>
    <t>7505898890707</t>
  </si>
  <si>
    <t>Producto Western Digital RAM modelo M1230, gama alta</t>
  </si>
  <si>
    <t>SKU-0111</t>
  </si>
  <si>
    <t>Corsair SSD Model-686</t>
  </si>
  <si>
    <t>M1111</t>
  </si>
  <si>
    <t>7507293823553</t>
  </si>
  <si>
    <t>Producto Corsair SSD modelo M1111, gama alta</t>
  </si>
  <si>
    <t>SKU-0112</t>
  </si>
  <si>
    <t>ASUS PSU Model-236</t>
  </si>
  <si>
    <t>M9233</t>
  </si>
  <si>
    <t>7504545940090</t>
  </si>
  <si>
    <t>Producto ASUS PSU modelo M9233, gama alta</t>
  </si>
  <si>
    <t>SKU-0113</t>
  </si>
  <si>
    <t>Seagate SSD Model-617</t>
  </si>
  <si>
    <t>M2341</t>
  </si>
  <si>
    <t>7507799567490</t>
  </si>
  <si>
    <t>Producto Seagate SSD modelo M2341, gama premium</t>
  </si>
  <si>
    <t>SKU-0114</t>
  </si>
  <si>
    <t>AMD Case Model-926</t>
  </si>
  <si>
    <t>M8298</t>
  </si>
  <si>
    <t>7503483827971</t>
  </si>
  <si>
    <t>Producto AMD Case modelo M8298, gama baja</t>
  </si>
  <si>
    <t>SKU-0115</t>
  </si>
  <si>
    <t>Intel PSU Model-284</t>
  </si>
  <si>
    <t>M6644</t>
  </si>
  <si>
    <t>7506916301780</t>
  </si>
  <si>
    <t>Producto Intel PSU modelo M6644, gama baja</t>
  </si>
  <si>
    <t>SKU-0116</t>
  </si>
  <si>
    <t>AMD Case Model-874</t>
  </si>
  <si>
    <t>M3178</t>
  </si>
  <si>
    <t>PROV-015</t>
  </si>
  <si>
    <t>7504536306171</t>
  </si>
  <si>
    <t>Producto AMD Case modelo M3178, gama alta</t>
  </si>
  <si>
    <t>SKU-0117</t>
  </si>
  <si>
    <t>MSI Cooling Model-529</t>
  </si>
  <si>
    <t>M6671</t>
  </si>
  <si>
    <t>7504746123831</t>
  </si>
  <si>
    <t>Producto MSI Cooling modelo M6671, gama media</t>
  </si>
  <si>
    <t>SKU-0118</t>
  </si>
  <si>
    <t>MSI CPU Model-339</t>
  </si>
  <si>
    <t>M7590</t>
  </si>
  <si>
    <t>7506312462377</t>
  </si>
  <si>
    <t>Producto MSI CPU modelo M7590, gama premium</t>
  </si>
  <si>
    <t>SKU-0119</t>
  </si>
  <si>
    <t>NZXT RAM Model-148</t>
  </si>
  <si>
    <t>M9540</t>
  </si>
  <si>
    <t>7502753459822</t>
  </si>
  <si>
    <t>Producto NZXT RAM modelo M9540, gama media</t>
  </si>
  <si>
    <t>SKU-0120</t>
  </si>
  <si>
    <t>Gigabyte PSU Model-675</t>
  </si>
  <si>
    <t>M4012</t>
  </si>
  <si>
    <t>7502095197958</t>
  </si>
  <si>
    <t>Producto Gigabyte PSU modelo M4012, gama premium</t>
  </si>
  <si>
    <t>SKU-0121</t>
  </si>
  <si>
    <t>Corsair GPU Model-717</t>
  </si>
  <si>
    <t>M8369</t>
  </si>
  <si>
    <t>7509190643621</t>
  </si>
  <si>
    <t>Producto Corsair GPU modelo M8369, gama alta</t>
  </si>
  <si>
    <t>SKU-0122</t>
  </si>
  <si>
    <t>Gigabyte CPU Model-820</t>
  </si>
  <si>
    <t>M4470</t>
  </si>
  <si>
    <t>7506837975356</t>
  </si>
  <si>
    <t>Producto Gigabyte CPU modelo M4470, gama media</t>
  </si>
  <si>
    <t>SKU-0123</t>
  </si>
  <si>
    <t>Gigabyte Motherboard Model-523</t>
  </si>
  <si>
    <t>M9401</t>
  </si>
  <si>
    <t>7502267841227</t>
  </si>
  <si>
    <t>Producto Gigabyte Motherboard modelo M9401, gama premium</t>
  </si>
  <si>
    <t>SKU-0124</t>
  </si>
  <si>
    <t>MSI Motherboard Model-600</t>
  </si>
  <si>
    <t>M4768</t>
  </si>
  <si>
    <t>PROV-017</t>
  </si>
  <si>
    <t>7501726990714</t>
  </si>
  <si>
    <t>Producto MSI Motherboard modelo M4768, gama premium</t>
  </si>
  <si>
    <t>SKU-0125</t>
  </si>
  <si>
    <t>Western Digital Case Model-967</t>
  </si>
  <si>
    <t>M9000</t>
  </si>
  <si>
    <t>7509881854670</t>
  </si>
  <si>
    <t>Producto Western Digital Case modelo M9000, gama media</t>
  </si>
  <si>
    <t>SKU-0126</t>
  </si>
  <si>
    <t>ASUS CPU Model-644</t>
  </si>
  <si>
    <t>M4583</t>
  </si>
  <si>
    <t>7509663561486</t>
  </si>
  <si>
    <t>Producto ASUS CPU modelo M4583, gama premium</t>
  </si>
  <si>
    <t>SKU-0127</t>
  </si>
  <si>
    <t>EVGA PSU Model-506</t>
  </si>
  <si>
    <t>M3937</t>
  </si>
  <si>
    <t>7509936181631</t>
  </si>
  <si>
    <t>Producto EVGA PSU modelo M3937, gama baja</t>
  </si>
  <si>
    <t>SKU-0128</t>
  </si>
  <si>
    <t>EVGA CPU Model-965</t>
  </si>
  <si>
    <t>M2531</t>
  </si>
  <si>
    <t>7501986839603</t>
  </si>
  <si>
    <t>Producto EVGA CPU modelo M2531, gama premium</t>
  </si>
  <si>
    <t>SKU-0129</t>
  </si>
  <si>
    <t>NZXT Peripherals Model-422</t>
  </si>
  <si>
    <t>M8790</t>
  </si>
  <si>
    <t>7506719736115</t>
  </si>
  <si>
    <t>Producto NZXT Peripherals modelo M8790, gama alta</t>
  </si>
  <si>
    <t>SKU-0130</t>
  </si>
  <si>
    <t>Seagate RAM Model-709</t>
  </si>
  <si>
    <t>M2284</t>
  </si>
  <si>
    <t>7506274814220</t>
  </si>
  <si>
    <t>Producto Seagate RAM modelo M2284, gama alta</t>
  </si>
  <si>
    <t>SKU-0131</t>
  </si>
  <si>
    <t>CoolerMaster PSU Model-184</t>
  </si>
  <si>
    <t>M8075</t>
  </si>
  <si>
    <t>7506655089949</t>
  </si>
  <si>
    <t>Producto CoolerMaster PSU modelo M8075, gama media</t>
  </si>
  <si>
    <t>SKU-0132</t>
  </si>
  <si>
    <t>AMD GPU Model-670</t>
  </si>
  <si>
    <t>M1085</t>
  </si>
  <si>
    <t>7508664105957</t>
  </si>
  <si>
    <t>Producto AMD GPU modelo M1085, gama alta</t>
  </si>
  <si>
    <t>SKU-0133</t>
  </si>
  <si>
    <t>EVGA PSU Model-801</t>
  </si>
  <si>
    <t>M1202</t>
  </si>
  <si>
    <t>7501271730355</t>
  </si>
  <si>
    <t>Producto EVGA PSU modelo M1202, gama alta</t>
  </si>
  <si>
    <t>SKU-0134</t>
  </si>
  <si>
    <t>Kingston HDD Model-300</t>
  </si>
  <si>
    <t>M7899</t>
  </si>
  <si>
    <t>7506710338189</t>
  </si>
  <si>
    <t>Producto Kingston HDD modelo M7899, gama alta</t>
  </si>
  <si>
    <t>SKU-0135</t>
  </si>
  <si>
    <t>Corsair PSU Model-426</t>
  </si>
  <si>
    <t>M3230</t>
  </si>
  <si>
    <t>7506910112521</t>
  </si>
  <si>
    <t>Producto Corsair PSU modelo M3230, gama alta</t>
  </si>
  <si>
    <t>SKU-0136</t>
  </si>
  <si>
    <t>EVGA PSU Model-572</t>
  </si>
  <si>
    <t>M6980</t>
  </si>
  <si>
    <t>7502300656317</t>
  </si>
  <si>
    <t>Producto EVGA PSU modelo M6980, gama baja</t>
  </si>
  <si>
    <t>SKU-0137</t>
  </si>
  <si>
    <t>Gigabyte RAM Model-808</t>
  </si>
  <si>
    <t>M7932</t>
  </si>
  <si>
    <t>7508149805821</t>
  </si>
  <si>
    <t>Producto Gigabyte RAM modelo M7932, gama premium</t>
  </si>
  <si>
    <t>SKU-0138</t>
  </si>
  <si>
    <t>ASUS Peripherals Model-327</t>
  </si>
  <si>
    <t>M1725</t>
  </si>
  <si>
    <t>7506901798608</t>
  </si>
  <si>
    <t>Producto ASUS Peripherals modelo M1725, gama premium</t>
  </si>
  <si>
    <t>SKU-0139</t>
  </si>
  <si>
    <t>Samsung Peripherals Model-847</t>
  </si>
  <si>
    <t>M9199</t>
  </si>
  <si>
    <t>7506790905673</t>
  </si>
  <si>
    <t>Producto Samsung Peripherals modelo M9199, gama media</t>
  </si>
  <si>
    <t>SKU-0140</t>
  </si>
  <si>
    <t>AMD Cooling Model-793</t>
  </si>
  <si>
    <t>M8412</t>
  </si>
  <si>
    <t>7502984507492</t>
  </si>
  <si>
    <t>Producto AMD Cooling modelo M8412, gama alta</t>
  </si>
  <si>
    <t>SKU-0141</t>
  </si>
  <si>
    <t>Seagate PSU Model-498</t>
  </si>
  <si>
    <t>M4022</t>
  </si>
  <si>
    <t>7503305920746</t>
  </si>
  <si>
    <t>Producto Seagate PSU modelo M4022, gama media</t>
  </si>
  <si>
    <t>SKU-0142</t>
  </si>
  <si>
    <t>Corsair Motherboard Model-501</t>
  </si>
  <si>
    <t>M4228</t>
  </si>
  <si>
    <t>7503534753843</t>
  </si>
  <si>
    <t>Producto Corsair Motherboard modelo M4228, gama premium</t>
  </si>
  <si>
    <t>SKU-0143</t>
  </si>
  <si>
    <t>Crucial RAM Model-710</t>
  </si>
  <si>
    <t>M6131</t>
  </si>
  <si>
    <t>7503383331379</t>
  </si>
  <si>
    <t>Producto Crucial RAM modelo M6131, gama baja</t>
  </si>
  <si>
    <t>SKU-0144</t>
  </si>
  <si>
    <t>Samsung HDD Model-299</t>
  </si>
  <si>
    <t>M3298</t>
  </si>
  <si>
    <t>7508902275119</t>
  </si>
  <si>
    <t>Producto Samsung HDD modelo M3298, gama media</t>
  </si>
  <si>
    <t>SKU-0145</t>
  </si>
  <si>
    <t>Samsung RAM Model-899</t>
  </si>
  <si>
    <t>M2354</t>
  </si>
  <si>
    <t>7509550822977</t>
  </si>
  <si>
    <t>Producto Samsung RAM modelo M2354, gama baja</t>
  </si>
  <si>
    <t>SKU-0146</t>
  </si>
  <si>
    <t>CoolerMaster CPU Model-560</t>
  </si>
  <si>
    <t>M8231</t>
  </si>
  <si>
    <t>7502838963536</t>
  </si>
  <si>
    <t>Producto CoolerMaster CPU modelo M8231, gama media</t>
  </si>
  <si>
    <t>SKU-0147</t>
  </si>
  <si>
    <t>NVIDIA RAM Model-396</t>
  </si>
  <si>
    <t>M4385</t>
  </si>
  <si>
    <t>PROV-021</t>
  </si>
  <si>
    <t>7509557663181</t>
  </si>
  <si>
    <t>Producto NVIDIA RAM modelo M4385, gama media</t>
  </si>
  <si>
    <t>SKU-0148</t>
  </si>
  <si>
    <t>EVGA RAM Model-747</t>
  </si>
  <si>
    <t>M3174</t>
  </si>
  <si>
    <t>7508515344013</t>
  </si>
  <si>
    <t>Producto EVGA RAM modelo M3174, gama media</t>
  </si>
  <si>
    <t>SKU-0149</t>
  </si>
  <si>
    <t>Western Digital Motherboard Model-814</t>
  </si>
  <si>
    <t>M8449</t>
  </si>
  <si>
    <t>7507419751815</t>
  </si>
  <si>
    <t>Producto Western Digital Motherboard modelo M8449, gama premium</t>
  </si>
  <si>
    <t>SKU-0150</t>
  </si>
  <si>
    <t>Corsair HDD Model-902</t>
  </si>
  <si>
    <t>M6533</t>
  </si>
  <si>
    <t>7502837384013</t>
  </si>
  <si>
    <t>Producto Corsair HDD modelo M6533, gama media</t>
  </si>
  <si>
    <t>SKU-0151</t>
  </si>
  <si>
    <t>Western Digital RAM Model-780</t>
  </si>
  <si>
    <t>M5945</t>
  </si>
  <si>
    <t>7509981632126</t>
  </si>
  <si>
    <t>Producto Western Digital RAM modelo M5945, gama media</t>
  </si>
  <si>
    <t>SKU-0152</t>
  </si>
  <si>
    <t>AMD CPU Model-451</t>
  </si>
  <si>
    <t>M4496</t>
  </si>
  <si>
    <t>7502645272822</t>
  </si>
  <si>
    <t>Producto AMD CPU modelo M4496, gama premium</t>
  </si>
  <si>
    <t>SKU-0153</t>
  </si>
  <si>
    <t>Western Digital GPU Model-676</t>
  </si>
  <si>
    <t>M2690</t>
  </si>
  <si>
    <t>7508243746556</t>
  </si>
  <si>
    <t>Producto Western Digital GPU modelo M2690, gama alta</t>
  </si>
  <si>
    <t>SKU-0154</t>
  </si>
  <si>
    <t>EVGA SSD Model-243</t>
  </si>
  <si>
    <t>M2420</t>
  </si>
  <si>
    <t>7503965572185</t>
  </si>
  <si>
    <t>Producto EVGA SSD modelo M2420, gama baja</t>
  </si>
  <si>
    <t>SKU-0155</t>
  </si>
  <si>
    <t>EVGA HDD Model-346</t>
  </si>
  <si>
    <t>M4366</t>
  </si>
  <si>
    <t>7505861829469</t>
  </si>
  <si>
    <t>Producto EVGA HDD modelo M4366, gama media</t>
  </si>
  <si>
    <t>SKU-0156</t>
  </si>
  <si>
    <t>EVGA Peripherals Model-114</t>
  </si>
  <si>
    <t>M7895</t>
  </si>
  <si>
    <t>7502727768349</t>
  </si>
  <si>
    <t>Producto EVGA Peripherals modelo M7895, gama alta</t>
  </si>
  <si>
    <t>SKU-0157</t>
  </si>
  <si>
    <t>Crucial Case Model-500</t>
  </si>
  <si>
    <t>M9808</t>
  </si>
  <si>
    <t>7504635552887</t>
  </si>
  <si>
    <t>Producto Crucial Case modelo M9808, gama media</t>
  </si>
  <si>
    <t>SKU-0158</t>
  </si>
  <si>
    <t>Intel SSD Model-240</t>
  </si>
  <si>
    <t>M2412</t>
  </si>
  <si>
    <t>7506012067717</t>
  </si>
  <si>
    <t>Producto Intel SSD modelo M2412, gama premium</t>
  </si>
  <si>
    <t>SKU-0159</t>
  </si>
  <si>
    <t>ASUS HDD Model-608</t>
  </si>
  <si>
    <t>M2934</t>
  </si>
  <si>
    <t>7505970608512</t>
  </si>
  <si>
    <t>Producto ASUS HDD modelo M2934, gama baja</t>
  </si>
  <si>
    <t>SKU-0160</t>
  </si>
  <si>
    <t>Seagate GPU Model-472</t>
  </si>
  <si>
    <t>M2889</t>
  </si>
  <si>
    <t>7506259253237</t>
  </si>
  <si>
    <t>Producto Seagate GPU modelo M2889, gama media</t>
  </si>
  <si>
    <t>SKU-0161</t>
  </si>
  <si>
    <t>MSI PSU Model-628</t>
  </si>
  <si>
    <t>M6241</t>
  </si>
  <si>
    <t>7509960957575</t>
  </si>
  <si>
    <t>Producto MSI PSU modelo M6241, gama alta</t>
  </si>
  <si>
    <t>SKU-0162</t>
  </si>
  <si>
    <t>Samsung CPU Model-605</t>
  </si>
  <si>
    <t>M7044</t>
  </si>
  <si>
    <t>7502761091683</t>
  </si>
  <si>
    <t>Producto Samsung CPU modelo M7044, gama media</t>
  </si>
  <si>
    <t>SKU-0163</t>
  </si>
  <si>
    <t>MSI Case Model-343</t>
  </si>
  <si>
    <t>M6675</t>
  </si>
  <si>
    <t>7504956843441</t>
  </si>
  <si>
    <t>Producto MSI Case modelo M6675, gama baja</t>
  </si>
  <si>
    <t>SKU-0164</t>
  </si>
  <si>
    <t>NZXT Case Model-681</t>
  </si>
  <si>
    <t>M7767</t>
  </si>
  <si>
    <t>7506696207128</t>
  </si>
  <si>
    <t>Producto NZXT Case modelo M7767, gama alta</t>
  </si>
  <si>
    <t>SKU-0165</t>
  </si>
  <si>
    <t>Samsung HDD Model-560</t>
  </si>
  <si>
    <t>M4827</t>
  </si>
  <si>
    <t>7506619138852</t>
  </si>
  <si>
    <t>Producto Samsung HDD modelo M4827, gama baja</t>
  </si>
  <si>
    <t>SKU-0166</t>
  </si>
  <si>
    <t>Gigabyte GPU Model-435</t>
  </si>
  <si>
    <t>M2481</t>
  </si>
  <si>
    <t>7508203447752</t>
  </si>
  <si>
    <t>Producto Gigabyte GPU modelo M2481, gama media</t>
  </si>
  <si>
    <t>SKU-0167</t>
  </si>
  <si>
    <t>Gigabyte RAM Model-912</t>
  </si>
  <si>
    <t>M1509</t>
  </si>
  <si>
    <t>7503768901084</t>
  </si>
  <si>
    <t>Producto Gigabyte RAM modelo M1509, gama premium</t>
  </si>
  <si>
    <t>SKU-0168</t>
  </si>
  <si>
    <t>NVIDIA Peripherals Model-949</t>
  </si>
  <si>
    <t>M5240</t>
  </si>
  <si>
    <t>7506991473746</t>
  </si>
  <si>
    <t>Producto NVIDIA Peripherals modelo M5240, gama baja</t>
  </si>
  <si>
    <t>SKU-0169</t>
  </si>
  <si>
    <t>Intel PSU Model-734</t>
  </si>
  <si>
    <t>M7990</t>
  </si>
  <si>
    <t>7501261903104</t>
  </si>
  <si>
    <t>Producto Intel PSU modelo M7990, gama media</t>
  </si>
  <si>
    <t>SKU-0170</t>
  </si>
  <si>
    <t>Gigabyte PSU Model-467</t>
  </si>
  <si>
    <t>M3248</t>
  </si>
  <si>
    <t>7506963052185</t>
  </si>
  <si>
    <t>Producto Gigabyte PSU modelo M3248, gama premium</t>
  </si>
  <si>
    <t>SKU-0171</t>
  </si>
  <si>
    <t>ASUS CPU Model-698</t>
  </si>
  <si>
    <t>M6224</t>
  </si>
  <si>
    <t>7505070780669</t>
  </si>
  <si>
    <t>Producto ASUS CPU modelo M6224, gama media</t>
  </si>
  <si>
    <t>SKU-0172</t>
  </si>
  <si>
    <t>NVIDIA PSU Model-817</t>
  </si>
  <si>
    <t>M6813</t>
  </si>
  <si>
    <t>7507623374739</t>
  </si>
  <si>
    <t>Producto NVIDIA PSU modelo M6813, gama media</t>
  </si>
  <si>
    <t>SKU-0173</t>
  </si>
  <si>
    <t>ASUS Cooling Model-306</t>
  </si>
  <si>
    <t>M1621</t>
  </si>
  <si>
    <t>7505606488160</t>
  </si>
  <si>
    <t>Producto ASUS Cooling modelo M1621, gama baja</t>
  </si>
  <si>
    <t>SKU-0174</t>
  </si>
  <si>
    <t>Western Digital PSU Model-278</t>
  </si>
  <si>
    <t>M2655</t>
  </si>
  <si>
    <t>7506920114673</t>
  </si>
  <si>
    <t>Producto Western Digital PSU modelo M2655, gama alta</t>
  </si>
  <si>
    <t>SKU-0175</t>
  </si>
  <si>
    <t>Western Digital HDD Model-716</t>
  </si>
  <si>
    <t>M3086</t>
  </si>
  <si>
    <t>7505899025962</t>
  </si>
  <si>
    <t>Producto Western Digital HDD modelo M3086, gama media</t>
  </si>
  <si>
    <t>SKU-0176</t>
  </si>
  <si>
    <t>Western Digital GPU Model-371</t>
  </si>
  <si>
    <t>M4899</t>
  </si>
  <si>
    <t>7505501759051</t>
  </si>
  <si>
    <t>Producto Western Digital GPU modelo M4899, gama alta</t>
  </si>
  <si>
    <t>SKU-0177</t>
  </si>
  <si>
    <t>Samsung PSU Model-691</t>
  </si>
  <si>
    <t>M3725</t>
  </si>
  <si>
    <t>7502266622851</t>
  </si>
  <si>
    <t>Producto Samsung PSU modelo M3725, gama premium</t>
  </si>
  <si>
    <t>SKU-0178</t>
  </si>
  <si>
    <t>Corsair HDD Model-446</t>
  </si>
  <si>
    <t>M2715</t>
  </si>
  <si>
    <t>7502864876473</t>
  </si>
  <si>
    <t>Producto Corsair HDD modelo M2715, gama baja</t>
  </si>
  <si>
    <t>SKU-0179</t>
  </si>
  <si>
    <t>Intel GPU Model-198</t>
  </si>
  <si>
    <t>M6424</t>
  </si>
  <si>
    <t>7505311355060</t>
  </si>
  <si>
    <t>Producto Intel GPU modelo M6424, gama media</t>
  </si>
  <si>
    <t>SKU-0180</t>
  </si>
  <si>
    <t>AMD HDD Model-415</t>
  </si>
  <si>
    <t>M8869</t>
  </si>
  <si>
    <t>7506089026099</t>
  </si>
  <si>
    <t>Producto AMD HDD modelo M8869, gama media</t>
  </si>
  <si>
    <t>SKU-0181</t>
  </si>
  <si>
    <t>NZXT PSU Model-254</t>
  </si>
  <si>
    <t>M7052</t>
  </si>
  <si>
    <t>PROV-018</t>
  </si>
  <si>
    <t>7503532855799</t>
  </si>
  <si>
    <t>Producto NZXT PSU modelo M7052, gama media</t>
  </si>
  <si>
    <t>SKU-0182</t>
  </si>
  <si>
    <t>CoolerMaster CPU Model-504</t>
  </si>
  <si>
    <t>M7342</t>
  </si>
  <si>
    <t>7508547068234</t>
  </si>
  <si>
    <t>Producto CoolerMaster CPU modelo M7342, gama premium</t>
  </si>
  <si>
    <t>SKU-0183</t>
  </si>
  <si>
    <t>ASUS RAM Model-251</t>
  </si>
  <si>
    <t>M4471</t>
  </si>
  <si>
    <t>7507684533347</t>
  </si>
  <si>
    <t>Producto ASUS RAM modelo M4471, gama media</t>
  </si>
  <si>
    <t>SKU-0184</t>
  </si>
  <si>
    <t>CoolerMaster Motherboard Model-251</t>
  </si>
  <si>
    <t>M5525</t>
  </si>
  <si>
    <t>7509075121701</t>
  </si>
  <si>
    <t>Producto CoolerMaster Motherboard modelo M5525, gama premium</t>
  </si>
  <si>
    <t>SKU-0185</t>
  </si>
  <si>
    <t>NZXT PSU Model-733</t>
  </si>
  <si>
    <t>M5327</t>
  </si>
  <si>
    <t>7509801637712</t>
  </si>
  <si>
    <t>Producto NZXT PSU modelo M5327, gama premium</t>
  </si>
  <si>
    <t>SKU-0186</t>
  </si>
  <si>
    <t>Samsung HDD Model-237</t>
  </si>
  <si>
    <t>M7102</t>
  </si>
  <si>
    <t>7501383484123</t>
  </si>
  <si>
    <t>Producto Samsung HDD modelo M7102, gama baja</t>
  </si>
  <si>
    <t>SKU-0187</t>
  </si>
  <si>
    <t>Samsung SSD Model-618</t>
  </si>
  <si>
    <t>M7671</t>
  </si>
  <si>
    <t>7501247508299</t>
  </si>
  <si>
    <t>Producto Samsung SSD modelo M7671, gama premium</t>
  </si>
  <si>
    <t>SKU-0188</t>
  </si>
  <si>
    <t>Intel Cooling Model-347</t>
  </si>
  <si>
    <t>M1828</t>
  </si>
  <si>
    <t>7502478538226</t>
  </si>
  <si>
    <t>Producto Intel Cooling modelo M1828, gama alta</t>
  </si>
  <si>
    <t>SKU-0189</t>
  </si>
  <si>
    <t>EVGA HDD Model-793</t>
  </si>
  <si>
    <t>M2480</t>
  </si>
  <si>
    <t>7504439688162</t>
  </si>
  <si>
    <t>Producto EVGA HDD modelo M2480, gama alta</t>
  </si>
  <si>
    <t>SKU-0190</t>
  </si>
  <si>
    <t>MSI HDD Model-793</t>
  </si>
  <si>
    <t>M6004</t>
  </si>
  <si>
    <t>7506509055260</t>
  </si>
  <si>
    <t>Producto MSI HDD modelo M6004, gama alta</t>
  </si>
  <si>
    <t>SKU-0191</t>
  </si>
  <si>
    <t>Crucial GPU Model-767</t>
  </si>
  <si>
    <t>M8892</t>
  </si>
  <si>
    <t>7508131923452</t>
  </si>
  <si>
    <t>Producto Crucial GPU modelo M8892, gama baja</t>
  </si>
  <si>
    <t>SKU-0192</t>
  </si>
  <si>
    <t>Crucial RAM Model-685</t>
  </si>
  <si>
    <t>M1417</t>
  </si>
  <si>
    <t>7508180620422</t>
  </si>
  <si>
    <t>Producto Crucial RAM modelo M1417, gama premium</t>
  </si>
  <si>
    <t>SKU-0193</t>
  </si>
  <si>
    <t>CoolerMaster HDD Model-327</t>
  </si>
  <si>
    <t>M3785</t>
  </si>
  <si>
    <t>7507809974292</t>
  </si>
  <si>
    <t>Producto CoolerMaster HDD modelo M3785, gama media</t>
  </si>
  <si>
    <t>SKU-0194</t>
  </si>
  <si>
    <t>Samsung GPU Model-612</t>
  </si>
  <si>
    <t>M8709</t>
  </si>
  <si>
    <t>7501647588523</t>
  </si>
  <si>
    <t>Producto Samsung GPU modelo M8709, gama baja</t>
  </si>
  <si>
    <t>SKU-0195</t>
  </si>
  <si>
    <t>MSI Motherboard Model-281</t>
  </si>
  <si>
    <t>M7704</t>
  </si>
  <si>
    <t>7505975440949</t>
  </si>
  <si>
    <t>Producto MSI Motherboard modelo M7704, gama premium</t>
  </si>
  <si>
    <t>SKU-0196</t>
  </si>
  <si>
    <t>Seagate GPU Model-304</t>
  </si>
  <si>
    <t>M3120</t>
  </si>
  <si>
    <t>7502068687175</t>
  </si>
  <si>
    <t>Producto Seagate GPU modelo M3120, gama premium</t>
  </si>
  <si>
    <t>SKU-0197</t>
  </si>
  <si>
    <t>Western Digital Motherboard Model-566</t>
  </si>
  <si>
    <t>M6113</t>
  </si>
  <si>
    <t>7509166381136</t>
  </si>
  <si>
    <t>Producto Western Digital Motherboard modelo M6113, gama media</t>
  </si>
  <si>
    <t>SKU-0198</t>
  </si>
  <si>
    <t>Corsair SSD Model-273</t>
  </si>
  <si>
    <t>M3701</t>
  </si>
  <si>
    <t>7503676343517</t>
  </si>
  <si>
    <t>Producto Corsair SSD modelo M3701, gama premium</t>
  </si>
  <si>
    <t>SKU-0199</t>
  </si>
  <si>
    <t>NVIDIA CPU Model-818</t>
  </si>
  <si>
    <t>M2771</t>
  </si>
  <si>
    <t>7503841827734</t>
  </si>
  <si>
    <t>Producto NVIDIA CPU modelo M2771, gama baja</t>
  </si>
  <si>
    <t>SKU-0200</t>
  </si>
  <si>
    <t>Crucial Case Model-208</t>
  </si>
  <si>
    <t>M5423</t>
  </si>
  <si>
    <t>7508316205130</t>
  </si>
  <si>
    <t>Producto Crucial Case modelo M5423, gama media</t>
  </si>
  <si>
    <t>ID</t>
  </si>
  <si>
    <t>País</t>
  </si>
  <si>
    <t>Ciudad</t>
  </si>
  <si>
    <t>Dirección</t>
  </si>
  <si>
    <t>Código Postal</t>
  </si>
  <si>
    <t>Teléfono</t>
  </si>
  <si>
    <t>Email</t>
  </si>
  <si>
    <t>Contacto Principal</t>
  </si>
  <si>
    <t>Lead Time Días</t>
  </si>
  <si>
    <t>MOQ (Cantidad Mínima)</t>
  </si>
  <si>
    <t>Moneda</t>
  </si>
  <si>
    <t>Condición de Pago</t>
  </si>
  <si>
    <t>Tipo</t>
  </si>
  <si>
    <t>Calificación</t>
  </si>
  <si>
    <t>Años de Relación</t>
  </si>
  <si>
    <t>Notas</t>
  </si>
  <si>
    <t>ProveedorGlobal1</t>
  </si>
  <si>
    <t>Ciudad de México</t>
  </si>
  <si>
    <t>Calle 933 #3403, Zona Industrial</t>
  </si>
  <si>
    <t>73001</t>
  </si>
  <si>
    <t>+43-340-1045936</t>
  </si>
  <si>
    <t>contacto14@proveedorglobal1.com</t>
  </si>
  <si>
    <t>Contacto Li Wang</t>
  </si>
  <si>
    <t>INR</t>
  </si>
  <si>
    <t>30 días</t>
  </si>
  <si>
    <t>Fabricante</t>
  </si>
  <si>
    <t>Suspendido</t>
  </si>
  <si>
    <t>Proveedor confiable</t>
  </si>
  <si>
    <t>ProveedorGlobal2</t>
  </si>
  <si>
    <t>Tokio</t>
  </si>
  <si>
    <t>Calle 660 #3788, Zona Industrial</t>
  </si>
  <si>
    <t>69867</t>
  </si>
  <si>
    <t>+38-370-8789281</t>
  </si>
  <si>
    <t>contacto52@proveedorglobal2.com</t>
  </si>
  <si>
    <t>Contacto Li Chen</t>
  </si>
  <si>
    <t>JPY</t>
  </si>
  <si>
    <t>45 días</t>
  </si>
  <si>
    <t>Mayorista</t>
  </si>
  <si>
    <t>ProveedorGlobal3</t>
  </si>
  <si>
    <t>Shenzhen</t>
  </si>
  <si>
    <t>Calle 873 #2268, Zona Industrial</t>
  </si>
  <si>
    <t>96947</t>
  </si>
  <si>
    <t>+83-274-6514013</t>
  </si>
  <si>
    <t>contacto367@proveedorglobal3.com</t>
  </si>
  <si>
    <t>Contacto Ana Kim</t>
  </si>
  <si>
    <t>CNY</t>
  </si>
  <si>
    <t>Proveedor regular</t>
  </si>
  <si>
    <t>ProveedorGlobal4</t>
  </si>
  <si>
    <t>Calle 856 #6320, Zona Industrial</t>
  </si>
  <si>
    <t>72684</t>
  </si>
  <si>
    <t>+54-764-3798082</t>
  </si>
  <si>
    <t>contacto116@proveedorglobal4.com</t>
  </si>
  <si>
    <t>Contacto Wei Pérez</t>
  </si>
  <si>
    <t>60 días</t>
  </si>
  <si>
    <t>Consignatario</t>
  </si>
  <si>
    <t>ProveedorGlobal5</t>
  </si>
  <si>
    <t>Los Ángeles</t>
  </si>
  <si>
    <t>Calle 626 #6222, Zona Industrial</t>
  </si>
  <si>
    <t>57002</t>
  </si>
  <si>
    <t>+79-129-3192032</t>
  </si>
  <si>
    <t>contacto495@proveedorglobal5.com</t>
  </si>
  <si>
    <t>Contacto Ana Wang</t>
  </si>
  <si>
    <t>USD</t>
  </si>
  <si>
    <t>Contado</t>
  </si>
  <si>
    <t>Proveedor premium</t>
  </si>
  <si>
    <t>ProveedorGlobal6</t>
  </si>
  <si>
    <t>Malasia</t>
  </si>
  <si>
    <t>Kuala Lumpur</t>
  </si>
  <si>
    <t>Calle 742 #9258, Zona Industrial</t>
  </si>
  <si>
    <t>39358</t>
  </si>
  <si>
    <t>+86-994-6675742</t>
  </si>
  <si>
    <t>contacto532@proveedorglobal6.com</t>
  </si>
  <si>
    <t>Contacto Carlos Kim</t>
  </si>
  <si>
    <t>EUR</t>
  </si>
  <si>
    <t>Proveedor nuevo</t>
  </si>
  <si>
    <t>ProveedorGlobal7</t>
  </si>
  <si>
    <t>India</t>
  </si>
  <si>
    <t>Mumbai</t>
  </si>
  <si>
    <t>Calle 914 #895, Zona Industrial</t>
  </si>
  <si>
    <t>11526</t>
  </si>
  <si>
    <t>+83-260-9482016</t>
  </si>
  <si>
    <t>contacto870@proveedorglobal7.com</t>
  </si>
  <si>
    <t>Contacto Ana García</t>
  </si>
  <si>
    <t>ProveedorGlobal8</t>
  </si>
  <si>
    <t>Ho Chi Minh</t>
  </si>
  <si>
    <t>Calle 564 #6204, Zona Industrial</t>
  </si>
  <si>
    <t>62858</t>
  </si>
  <si>
    <t>+31-180-8702329</t>
  </si>
  <si>
    <t>contacto455@proveedorglobal8.com</t>
  </si>
  <si>
    <t>Contacto Yuki García</t>
  </si>
  <si>
    <t>ProveedorGlobal9</t>
  </si>
  <si>
    <t>Taipéi</t>
  </si>
  <si>
    <t>Calle 414 #6756, Zona Industrial</t>
  </si>
  <si>
    <t>14696</t>
  </si>
  <si>
    <t>+72-662-1002847</t>
  </si>
  <si>
    <t>contacto846@proveedorglobal9.com</t>
  </si>
  <si>
    <t>Contacto Li Kim</t>
  </si>
  <si>
    <t>90 días</t>
  </si>
  <si>
    <t>Proveedor estratégico</t>
  </si>
  <si>
    <t>ProveedorGlobal10</t>
  </si>
  <si>
    <t>Seúl</t>
  </si>
  <si>
    <t>Calle 846 #890, Zona Industrial</t>
  </si>
  <si>
    <t>39218</t>
  </si>
  <si>
    <t>+59-439-8937865</t>
  </si>
  <si>
    <t>contacto734@proveedorglobal10.com</t>
  </si>
  <si>
    <t>Contacto Klaus García</t>
  </si>
  <si>
    <t>En evaluación</t>
  </si>
  <si>
    <t>ProveedorGlobal11</t>
  </si>
  <si>
    <t>Calle 535 #6126, Zona Industrial</t>
  </si>
  <si>
    <t>23935</t>
  </si>
  <si>
    <t>+6-268-9261472</t>
  </si>
  <si>
    <t>contacto144@proveedorglobal11.com</t>
  </si>
  <si>
    <t>Contacto Raj Wang</t>
  </si>
  <si>
    <t>ProveedorGlobal12</t>
  </si>
  <si>
    <t>Calle 734 #5537, Zona Industrial</t>
  </si>
  <si>
    <t>24125</t>
  </si>
  <si>
    <t>+97-524-1780146</t>
  </si>
  <si>
    <t>contacto949@proveedorglobal12.com</t>
  </si>
  <si>
    <t>Contacto Yuki Wang</t>
  </si>
  <si>
    <t>ProveedorGlobal13</t>
  </si>
  <si>
    <t>Calle 567 #7092, Zona Industrial</t>
  </si>
  <si>
    <t>86692</t>
  </si>
  <si>
    <t>+62-620-3972963</t>
  </si>
  <si>
    <t>contacto709@proveedorglobal13.com</t>
  </si>
  <si>
    <t>Contacto Yuki Chen</t>
  </si>
  <si>
    <t>Inactivo</t>
  </si>
  <si>
    <t>ProveedorGlobal14</t>
  </si>
  <si>
    <t>Berlín</t>
  </si>
  <si>
    <t>Calle 624 #4068, Zona Industrial</t>
  </si>
  <si>
    <t>45860</t>
  </si>
  <si>
    <t>+51-451-5935413</t>
  </si>
  <si>
    <t>contacto464@proveedorglobal14.com</t>
  </si>
  <si>
    <t>Contacto Wei Chen</t>
  </si>
  <si>
    <t>MYR</t>
  </si>
  <si>
    <t>ProveedorGlobal15</t>
  </si>
  <si>
    <t>Calle 206 #3436, Zona Industrial</t>
  </si>
  <si>
    <t>91810</t>
  </si>
  <si>
    <t>+92-397-6793064</t>
  </si>
  <si>
    <t>contacto944@proveedorglobal15.com</t>
  </si>
  <si>
    <t>KRW</t>
  </si>
  <si>
    <t>ProveedorGlobal16</t>
  </si>
  <si>
    <t>Calle 293 #6921, Zona Industrial</t>
  </si>
  <si>
    <t>11673</t>
  </si>
  <si>
    <t>+67-209-1423996</t>
  </si>
  <si>
    <t>contacto391@proveedorglobal16.com</t>
  </si>
  <si>
    <t>Distribuidor</t>
  </si>
  <si>
    <t>ProveedorGlobal17</t>
  </si>
  <si>
    <t>Calle 708 #4836, Zona Industrial</t>
  </si>
  <si>
    <t>36738</t>
  </si>
  <si>
    <t>+97-654-1542011</t>
  </si>
  <si>
    <t>contacto368@proveedorglobal17.com</t>
  </si>
  <si>
    <t>ProveedorGlobal18</t>
  </si>
  <si>
    <t>Calle 949 #6252, Zona Industrial</t>
  </si>
  <si>
    <t>60797</t>
  </si>
  <si>
    <t>+54-907-6245463</t>
  </si>
  <si>
    <t>contacto990@proveedorglobal18.com</t>
  </si>
  <si>
    <t>Contacto Carlos Pérez</t>
  </si>
  <si>
    <t>ProveedorGlobal19</t>
  </si>
  <si>
    <t>Calle 934 #6026, Zona Industrial</t>
  </si>
  <si>
    <t>87120</t>
  </si>
  <si>
    <t>+70-856-4296204</t>
  </si>
  <si>
    <t>contacto795@proveedorglobal19.com</t>
  </si>
  <si>
    <t>Contacto Michael Tanaka</t>
  </si>
  <si>
    <t>ProveedorGlobal20</t>
  </si>
  <si>
    <t>Calle 286 #9120, Zona Industrial</t>
  </si>
  <si>
    <t>44634</t>
  </si>
  <si>
    <t>+17-264-5278461</t>
  </si>
  <si>
    <t>contacto6@proveedorglobal20.com</t>
  </si>
  <si>
    <t>ProveedorGlobal21</t>
  </si>
  <si>
    <t>Calle 503 #9383, Zona Industrial</t>
  </si>
  <si>
    <t>82110</t>
  </si>
  <si>
    <t>+46-174-6332789</t>
  </si>
  <si>
    <t>contacto539@proveedorglobal21.com</t>
  </si>
  <si>
    <t>Contacto Michael Chen</t>
  </si>
  <si>
    <t>Importador</t>
  </si>
  <si>
    <t>ProveedorGlobal22</t>
  </si>
  <si>
    <t>Calle 905 #3496, Zona Industrial</t>
  </si>
  <si>
    <t>96944</t>
  </si>
  <si>
    <t>+43-439-7053183</t>
  </si>
  <si>
    <t>contacto301@proveedorglobal22.com</t>
  </si>
  <si>
    <t>Contacto Michael Kim</t>
  </si>
  <si>
    <t>ProveedorGlobal23</t>
  </si>
  <si>
    <t>Calle 250 #654, Zona Industrial</t>
  </si>
  <si>
    <t>99463</t>
  </si>
  <si>
    <t>+42-490-2902100</t>
  </si>
  <si>
    <t>contacto396@proveedorglobal23.com</t>
  </si>
  <si>
    <t>Contacto Hiroshi Suzuki</t>
  </si>
  <si>
    <t>ProveedorGlobal24</t>
  </si>
  <si>
    <t>Calle 304 #3155, Zona Industrial</t>
  </si>
  <si>
    <t>51984</t>
  </si>
  <si>
    <t>+66-184-2609881</t>
  </si>
  <si>
    <t>contacto172@proveedorglobal24.com</t>
  </si>
  <si>
    <t>Contacto Carlos Suzuki</t>
  </si>
  <si>
    <t>ProveedorGlobal25</t>
  </si>
  <si>
    <t>Calle 551 #7131, Zona Industrial</t>
  </si>
  <si>
    <t>94746</t>
  </si>
  <si>
    <t>+10-864-3579573</t>
  </si>
  <si>
    <t>contacto25@proveedorglobal25.com</t>
  </si>
  <si>
    <t>Contacto Ana Müller</t>
  </si>
  <si>
    <t>ProveedorGlobal26</t>
  </si>
  <si>
    <t>Calle 933 #4238, Zona Industrial</t>
  </si>
  <si>
    <t>63429</t>
  </si>
  <si>
    <t>+50-561-7785511</t>
  </si>
  <si>
    <t>contacto444@proveedorglobal26.com</t>
  </si>
  <si>
    <t>Contacto Klaus Pérez</t>
  </si>
  <si>
    <t>ProveedorGlobal27</t>
  </si>
  <si>
    <t>Calle 718 #1190, Zona Industrial</t>
  </si>
  <si>
    <t>56884</t>
  </si>
  <si>
    <t>+65-208-5862651</t>
  </si>
  <si>
    <t>contacto806@proveedorglobal27.com</t>
  </si>
  <si>
    <t>Contacto Hiroshi Kim</t>
  </si>
  <si>
    <t>ProveedorGlobal28</t>
  </si>
  <si>
    <t>Calle 226 #2235, Zona Industrial</t>
  </si>
  <si>
    <t>61248</t>
  </si>
  <si>
    <t>+70-402-3417186</t>
  </si>
  <si>
    <t>contacto306@proveedorglobal28.com</t>
  </si>
  <si>
    <t>TWD</t>
  </si>
  <si>
    <t>ProveedorGlobal29</t>
  </si>
  <si>
    <t>Calle 970 #1395, Zona Industrial</t>
  </si>
  <si>
    <t>49936</t>
  </si>
  <si>
    <t>+27-866-6768873</t>
  </si>
  <si>
    <t>contacto217@proveedorglobal29.com</t>
  </si>
  <si>
    <t>Contacto Raj Suzuki</t>
  </si>
  <si>
    <t>ProveedorGlobal30</t>
  </si>
  <si>
    <t>Calle 873 #892, Zona Industrial</t>
  </si>
  <si>
    <t>81939</t>
  </si>
  <si>
    <t>+60-760-2227162</t>
  </si>
  <si>
    <t>contacto298@proveedorglobal30.com</t>
  </si>
  <si>
    <t>Contacto Li Tanaka</t>
  </si>
  <si>
    <t>ProveedorGlobal31</t>
  </si>
  <si>
    <t>Calle 635 #1144, Zona Industrial</t>
  </si>
  <si>
    <t>35362</t>
  </si>
  <si>
    <t>+41-597-8560584</t>
  </si>
  <si>
    <t>contacto337@proveedorglobal31.com</t>
  </si>
  <si>
    <t>Contacto Yuki Tanaka</t>
  </si>
  <si>
    <t>ProveedorGlobal32</t>
  </si>
  <si>
    <t>Calle 321 #4034, Zona Industrial</t>
  </si>
  <si>
    <t>39035</t>
  </si>
  <si>
    <t>+92-857-8316947</t>
  </si>
  <si>
    <t>contacto284@proveedorglobal32.com</t>
  </si>
  <si>
    <t>Contacto Klaus Chen</t>
  </si>
  <si>
    <t>ProveedorGlobal33</t>
  </si>
  <si>
    <t>Calle 112 #2880, Zona Industrial</t>
  </si>
  <si>
    <t>94613</t>
  </si>
  <si>
    <t>+78-183-5707954</t>
  </si>
  <si>
    <t>contacto880@proveedorglobal33.com</t>
  </si>
  <si>
    <t>Contacto Wei Suzuki</t>
  </si>
  <si>
    <t>ProveedorGlobal34</t>
  </si>
  <si>
    <t>Calle 415 #9668, Zona Industrial</t>
  </si>
  <si>
    <t>37886</t>
  </si>
  <si>
    <t>+5-664-5372416</t>
  </si>
  <si>
    <t>contacto557@proveedorglobal34.com</t>
  </si>
  <si>
    <t>Contacto Carlos García</t>
  </si>
  <si>
    <t>ProveedorGlobal35</t>
  </si>
  <si>
    <t>Calle 476 #8211, Zona Industrial</t>
  </si>
  <si>
    <t>76900</t>
  </si>
  <si>
    <t>+12-506-7104651</t>
  </si>
  <si>
    <t>contacto515@proveedorglobal35.com</t>
  </si>
  <si>
    <t>Contacto Juan Smith</t>
  </si>
  <si>
    <t>ProveedorGlobal36</t>
  </si>
  <si>
    <t>Calle 754 #7922, Zona Industrial</t>
  </si>
  <si>
    <t>57028</t>
  </si>
  <si>
    <t>+6-324-9181277</t>
  </si>
  <si>
    <t>contacto238@proveedorglobal36.com</t>
  </si>
  <si>
    <t>ProveedorGlobal37</t>
  </si>
  <si>
    <t>Calle 903 #761, Zona Industrial</t>
  </si>
  <si>
    <t>15230</t>
  </si>
  <si>
    <t>+84-431-2731828</t>
  </si>
  <si>
    <t>contacto721@proveedorglobal37.com</t>
  </si>
  <si>
    <t>Contacto Carlos Tanaka</t>
  </si>
  <si>
    <t>ProveedorGlobal38</t>
  </si>
  <si>
    <t>Calle 602 #1276, Zona Industrial</t>
  </si>
  <si>
    <t>77720</t>
  </si>
  <si>
    <t>+33-485-4739628</t>
  </si>
  <si>
    <t>contacto529@proveedorglobal38.com</t>
  </si>
  <si>
    <t>Contacto Raj Müller</t>
  </si>
  <si>
    <t>ProveedorGlobal39</t>
  </si>
  <si>
    <t>Calle 236 #1264, Zona Industrial</t>
  </si>
  <si>
    <t>77441</t>
  </si>
  <si>
    <t>+83-387-4548668</t>
  </si>
  <si>
    <t>contacto154@proveedorglobal39.com</t>
  </si>
  <si>
    <t>ProveedorGlobal40</t>
  </si>
  <si>
    <t>Calle 491 #3453, Zona Industrial</t>
  </si>
  <si>
    <t>87436</t>
  </si>
  <si>
    <t>+21-762-7893744</t>
  </si>
  <si>
    <t>contacto23@proveedorglobal40.com</t>
  </si>
  <si>
    <t>Contacto Michael Pérez</t>
  </si>
  <si>
    <t>PROV-041</t>
  </si>
  <si>
    <t>ProveedorGlobal41</t>
  </si>
  <si>
    <t>Calle 265 #2950, Zona Industrial</t>
  </si>
  <si>
    <t>77717</t>
  </si>
  <si>
    <t>+52-713-1312392</t>
  </si>
  <si>
    <t>contacto900@proveedorglobal41.com</t>
  </si>
  <si>
    <t>Contacto Hiroshi Wang</t>
  </si>
  <si>
    <t>PROV-042</t>
  </si>
  <si>
    <t>ProveedorGlobal42</t>
  </si>
  <si>
    <t>Calle 841 #2980, Zona Industrial</t>
  </si>
  <si>
    <t>91685</t>
  </si>
  <si>
    <t>+85-623-5437920</t>
  </si>
  <si>
    <t>contacto172@proveedorglobal42.com</t>
  </si>
  <si>
    <t>PROV-043</t>
  </si>
  <si>
    <t>ProveedorGlobal43</t>
  </si>
  <si>
    <t>Calle 881 #8264, Zona Industrial</t>
  </si>
  <si>
    <t>99701</t>
  </si>
  <si>
    <t>+54-946-3509220</t>
  </si>
  <si>
    <t>contacto621@proveedorglobal43.com</t>
  </si>
  <si>
    <t>PROV-044</t>
  </si>
  <si>
    <t>ProveedorGlobal44</t>
  </si>
  <si>
    <t>Calle 553 #20, Zona Industrial</t>
  </si>
  <si>
    <t>98940</t>
  </si>
  <si>
    <t>+84-541-9758448</t>
  </si>
  <si>
    <t>contacto431@proveedorglobal44.com</t>
  </si>
  <si>
    <t>MXN</t>
  </si>
  <si>
    <t>PROV-045</t>
  </si>
  <si>
    <t>ProveedorGlobal45</t>
  </si>
  <si>
    <t>Calle 101 #6972, Zona Industrial</t>
  </si>
  <si>
    <t>27548</t>
  </si>
  <si>
    <t>+33-588-4900918</t>
  </si>
  <si>
    <t>contacto932@proveedorglobal45.com</t>
  </si>
  <si>
    <t>PROV-046</t>
  </si>
  <si>
    <t>ProveedorGlobal46</t>
  </si>
  <si>
    <t>Calle 536 #1931, Zona Industrial</t>
  </si>
  <si>
    <t>78126</t>
  </si>
  <si>
    <t>+1-484-4446353</t>
  </si>
  <si>
    <t>contacto705@proveedorglobal46.com</t>
  </si>
  <si>
    <t>Contacto Klaus Patel</t>
  </si>
  <si>
    <t>PROV-047</t>
  </si>
  <si>
    <t>ProveedorGlobal47</t>
  </si>
  <si>
    <t>Calle 375 #4515, Zona Industrial</t>
  </si>
  <si>
    <t>99208</t>
  </si>
  <si>
    <t>+51-873-4417412</t>
  </si>
  <si>
    <t>contacto424@proveedorglobal47.com</t>
  </si>
  <si>
    <t>PROV-048</t>
  </si>
  <si>
    <t>ProveedorGlobal48</t>
  </si>
  <si>
    <t>Calle 754 #2263, Zona Industrial</t>
  </si>
  <si>
    <t>96413</t>
  </si>
  <si>
    <t>+16-865-4854922</t>
  </si>
  <si>
    <t>contacto458@proveedorglobal48.com</t>
  </si>
  <si>
    <t>Contacto Wei Wang</t>
  </si>
  <si>
    <t>PROV-049</t>
  </si>
  <si>
    <t>ProveedorGlobal49</t>
  </si>
  <si>
    <t>Calle 399 #87, Zona Industrial</t>
  </si>
  <si>
    <t>21939</t>
  </si>
  <si>
    <t>+19-582-8304421</t>
  </si>
  <si>
    <t>contacto91@proveedorglobal49.com</t>
  </si>
  <si>
    <t>PROV-050</t>
  </si>
  <si>
    <t>ProveedorGlobal50</t>
  </si>
  <si>
    <t>Calle 294 #9789, Zona Industrial</t>
  </si>
  <si>
    <t>17531</t>
  </si>
  <si>
    <t>+23-755-9294125</t>
  </si>
  <si>
    <t>contacto450@proveedorglobal50.com</t>
  </si>
  <si>
    <t>Empresa</t>
  </si>
  <si>
    <t>Razón Social</t>
  </si>
  <si>
    <t>Sector</t>
  </si>
  <si>
    <t>Límite Crédito USD</t>
  </si>
  <si>
    <t>Días Crédito</t>
  </si>
  <si>
    <t>Descuento %</t>
  </si>
  <si>
    <t>Volumen Anual Estimado</t>
  </si>
  <si>
    <t>Fecha Registro</t>
  </si>
  <si>
    <t>CLI-001</t>
  </si>
  <si>
    <t>ClienteTech1</t>
  </si>
  <si>
    <t>ClienteTech1 S.A. de C.V.</t>
  </si>
  <si>
    <t>España</t>
  </si>
  <si>
    <t>Madrid</t>
  </si>
  <si>
    <t>Avenida 41 #1522, Madrid</t>
  </si>
  <si>
    <t>46167</t>
  </si>
  <si>
    <t>+52-461-7629401</t>
  </si>
  <si>
    <t>cliente1@mail.com</t>
  </si>
  <si>
    <t>Pedro Flores</t>
  </si>
  <si>
    <t>Minorista</t>
  </si>
  <si>
    <t>Educación</t>
  </si>
  <si>
    <t>2025-02-25</t>
  </si>
  <si>
    <t>Cliente potencial</t>
  </si>
  <si>
    <t>CLI-002</t>
  </si>
  <si>
    <t>ClienteTech2</t>
  </si>
  <si>
    <t>ClienteTech2 S.A. de C.V.</t>
  </si>
  <si>
    <t>Argentina</t>
  </si>
  <si>
    <t>Buenos Aires</t>
  </si>
  <si>
    <t>Avenida 150 #5803, Buenos Aires</t>
  </si>
  <si>
    <t>55544</t>
  </si>
  <si>
    <t>+36-331-4263591</t>
  </si>
  <si>
    <t>cliente2@mail.com</t>
  </si>
  <si>
    <t>Laura Sánchez</t>
  </si>
  <si>
    <t>Cadena Retail</t>
  </si>
  <si>
    <t>Tecnología</t>
  </si>
  <si>
    <t>2023-02-18</t>
  </si>
  <si>
    <t>CLI-003</t>
  </si>
  <si>
    <t>ClienteTech3</t>
  </si>
  <si>
    <t>ClienteTech3 S.A. de C.V.</t>
  </si>
  <si>
    <t>Avenida 30 #8509, Buenos Aires</t>
  </si>
  <si>
    <t>43776</t>
  </si>
  <si>
    <t>+69-932-5196677</t>
  </si>
  <si>
    <t>cliente3@mail.com</t>
  </si>
  <si>
    <t>Finanzas</t>
  </si>
  <si>
    <t>2023-10-27</t>
  </si>
  <si>
    <t>CLI-004</t>
  </si>
  <si>
    <t>ClienteTech4</t>
  </si>
  <si>
    <t>ClienteTech4 S.A. de C.V.</t>
  </si>
  <si>
    <t>Miami</t>
  </si>
  <si>
    <t>Avenida 30 #4324, Miami</t>
  </si>
  <si>
    <t>18854</t>
  </si>
  <si>
    <t>+49-748-4697401</t>
  </si>
  <si>
    <t>cliente4@mail.com</t>
  </si>
  <si>
    <t>Ana Pérez</t>
  </si>
  <si>
    <t>E-commerce</t>
  </si>
  <si>
    <t>Salud</t>
  </si>
  <si>
    <t>2024-08-31</t>
  </si>
  <si>
    <t>Cliente nuevo</t>
  </si>
  <si>
    <t>CLI-005</t>
  </si>
  <si>
    <t>ClienteTech5</t>
  </si>
  <si>
    <t>ClienteTech5 S.A. de C.V.</t>
  </si>
  <si>
    <t>Avenida 103 #5703, Buenos Aires</t>
  </si>
  <si>
    <t>19965</t>
  </si>
  <si>
    <t>+71-282-8995273</t>
  </si>
  <si>
    <t>cliente5@mail.com</t>
  </si>
  <si>
    <t>Sofía Pérez</t>
  </si>
  <si>
    <t>2023-10-31</t>
  </si>
  <si>
    <t>Cliente VIP</t>
  </si>
  <si>
    <t>CLI-006</t>
  </si>
  <si>
    <t>ClienteTech6</t>
  </si>
  <si>
    <t>ClienteTech6 S.A. de C.V.</t>
  </si>
  <si>
    <t>Avenida 62 #4448, Madrid</t>
  </si>
  <si>
    <t>37102</t>
  </si>
  <si>
    <t>+30-307-5189194</t>
  </si>
  <si>
    <t>cliente6@mail.com</t>
  </si>
  <si>
    <t>Camila Pérez</t>
  </si>
  <si>
    <t>Gaming</t>
  </si>
  <si>
    <t>2025-05-11</t>
  </si>
  <si>
    <t>CLI-007</t>
  </si>
  <si>
    <t>ClienteTech7</t>
  </si>
  <si>
    <t>ClienteTech7 S.A. de C.V.</t>
  </si>
  <si>
    <t>Avenida 11 #8001, Miami</t>
  </si>
  <si>
    <t>58653</t>
  </si>
  <si>
    <t>+80-422-9260100</t>
  </si>
  <si>
    <t>cliente7@mail.com</t>
  </si>
  <si>
    <t>Camila Hernández</t>
  </si>
  <si>
    <t>2024-03-16</t>
  </si>
  <si>
    <t>Cliente estratégico</t>
  </si>
  <si>
    <t>CLI-008</t>
  </si>
  <si>
    <t>ClienteTech8</t>
  </si>
  <si>
    <t>ClienteTech8 S.A. de C.V.</t>
  </si>
  <si>
    <t>Canadá</t>
  </si>
  <si>
    <t>Toronto</t>
  </si>
  <si>
    <t>Avenida 123 #8959, Toronto</t>
  </si>
  <si>
    <t>14268</t>
  </si>
  <si>
    <t>+65-455-7605473</t>
  </si>
  <si>
    <t>cliente8@mail.com</t>
  </si>
  <si>
    <t>José Ramírez</t>
  </si>
  <si>
    <t>Electrónica</t>
  </si>
  <si>
    <t>2020-01-18</t>
  </si>
  <si>
    <t>CLI-009</t>
  </si>
  <si>
    <t>ClienteTech9</t>
  </si>
  <si>
    <t>ClienteTech9 S.A. de C.V.</t>
  </si>
  <si>
    <t>Perú</t>
  </si>
  <si>
    <t>Lima</t>
  </si>
  <si>
    <t>Avenida 26 #5431, Lima</t>
  </si>
  <si>
    <t>57395</t>
  </si>
  <si>
    <t>+79-982-5357055</t>
  </si>
  <si>
    <t>cliente9@mail.com</t>
  </si>
  <si>
    <t>José Torres</t>
  </si>
  <si>
    <t>Corporativo</t>
  </si>
  <si>
    <t>2021-12-03</t>
  </si>
  <si>
    <t>CLI-010</t>
  </si>
  <si>
    <t>ClienteTech10</t>
  </si>
  <si>
    <t>ClienteTech10 S.A. de C.V.</t>
  </si>
  <si>
    <t>Brasil</t>
  </si>
  <si>
    <t>São Paulo</t>
  </si>
  <si>
    <t>Avenida 54 #6966, São Paulo</t>
  </si>
  <si>
    <t>58799</t>
  </si>
  <si>
    <t>+47-974-7720828</t>
  </si>
  <si>
    <t>cliente10@mail.com</t>
  </si>
  <si>
    <t>Luis Ramírez</t>
  </si>
  <si>
    <t>2021-04-13</t>
  </si>
  <si>
    <t>Cliente regular</t>
  </si>
  <si>
    <t>CLI-011</t>
  </si>
  <si>
    <t>ClienteTech11</t>
  </si>
  <si>
    <t>ClienteTech11 S.A. de C.V.</t>
  </si>
  <si>
    <t>Avenida 111 #6340, Madrid</t>
  </si>
  <si>
    <t>35698</t>
  </si>
  <si>
    <t>+19-919-3509000</t>
  </si>
  <si>
    <t>cliente11@mail.com</t>
  </si>
  <si>
    <t>Laura Gómez</t>
  </si>
  <si>
    <t>2022-11-24</t>
  </si>
  <si>
    <t>CLI-012</t>
  </si>
  <si>
    <t>ClienteTech12</t>
  </si>
  <si>
    <t>ClienteTech12 S.A. de C.V.</t>
  </si>
  <si>
    <t>Avenida 144 #9403, Buenos Aires</t>
  </si>
  <si>
    <t>16253</t>
  </si>
  <si>
    <t>+51-201-3740422</t>
  </si>
  <si>
    <t>cliente12@mail.com</t>
  </si>
  <si>
    <t>Carlos Rodríguez</t>
  </si>
  <si>
    <t>2021-11-16</t>
  </si>
  <si>
    <t>CLI-013</t>
  </si>
  <si>
    <t>ClienteTech13</t>
  </si>
  <si>
    <t>ClienteTech13 S.A. de C.V.</t>
  </si>
  <si>
    <t>Chile</t>
  </si>
  <si>
    <t>Santiago</t>
  </si>
  <si>
    <t>Avenida 143 #4322, Santiago</t>
  </si>
  <si>
    <t>55107</t>
  </si>
  <si>
    <t>+3-521-3034027</t>
  </si>
  <si>
    <t>cliente13@mail.com</t>
  </si>
  <si>
    <t>Sofía Flores</t>
  </si>
  <si>
    <t>2020-12-23</t>
  </si>
  <si>
    <t>CLI-014</t>
  </si>
  <si>
    <t>ClienteTech14</t>
  </si>
  <si>
    <t>ClienteTech14 S.A. de C.V.</t>
  </si>
  <si>
    <t>Avenida 125 #7422, Santiago</t>
  </si>
  <si>
    <t>20277</t>
  </si>
  <si>
    <t>+49-728-5807067</t>
  </si>
  <si>
    <t>cliente14@mail.com</t>
  </si>
  <si>
    <t>Laura Martínez</t>
  </si>
  <si>
    <t>2023-03-16</t>
  </si>
  <si>
    <t>Moroso</t>
  </si>
  <si>
    <t>CLI-015</t>
  </si>
  <si>
    <t>ClienteTech15</t>
  </si>
  <si>
    <t>ClienteTech15 S.A. de C.V.</t>
  </si>
  <si>
    <t>Colombia</t>
  </si>
  <si>
    <t>Bogotá</t>
  </si>
  <si>
    <t>Avenida 88 #3839, Bogotá</t>
  </si>
  <si>
    <t>51088</t>
  </si>
  <si>
    <t>+41-768-5888148</t>
  </si>
  <si>
    <t>cliente15@mail.com</t>
  </si>
  <si>
    <t>Luis Flores</t>
  </si>
  <si>
    <t>2024-03-11</t>
  </si>
  <si>
    <t>CLI-016</t>
  </si>
  <si>
    <t>ClienteTech16</t>
  </si>
  <si>
    <t>ClienteTech16 S.A. de C.V.</t>
  </si>
  <si>
    <t>CDMX</t>
  </si>
  <si>
    <t>Avenida 6 #2148, CDMX</t>
  </si>
  <si>
    <t>40753</t>
  </si>
  <si>
    <t>+85-357-2343263</t>
  </si>
  <si>
    <t>cliente16@mail.com</t>
  </si>
  <si>
    <t>Ana Martínez</t>
  </si>
  <si>
    <t>2023-01-28</t>
  </si>
  <si>
    <t>CLI-017</t>
  </si>
  <si>
    <t>ClienteTech17</t>
  </si>
  <si>
    <t>ClienteTech17 S.A. de C.V.</t>
  </si>
  <si>
    <t>Avenida 22 #1802, Lima</t>
  </si>
  <si>
    <t>44400</t>
  </si>
  <si>
    <t>+80-259-2414508</t>
  </si>
  <si>
    <t>cliente17@mail.com</t>
  </si>
  <si>
    <t>Pedro Hernández</t>
  </si>
  <si>
    <t>2020-09-15</t>
  </si>
  <si>
    <t>CLI-018</t>
  </si>
  <si>
    <t>ClienteTech18</t>
  </si>
  <si>
    <t>ClienteTech18 S.A. de C.V.</t>
  </si>
  <si>
    <t>Avenida 9 #5946, CDMX</t>
  </si>
  <si>
    <t>52624</t>
  </si>
  <si>
    <t>+61-578-5570355</t>
  </si>
  <si>
    <t>cliente18@mail.com</t>
  </si>
  <si>
    <t>Diego Ramírez</t>
  </si>
  <si>
    <t>2022-07-24</t>
  </si>
  <si>
    <t>CLI-019</t>
  </si>
  <si>
    <t>ClienteTech19</t>
  </si>
  <si>
    <t>ClienteTech19 S.A. de C.V.</t>
  </si>
  <si>
    <t>Avenida 89 #7991, Toronto</t>
  </si>
  <si>
    <t>80735</t>
  </si>
  <si>
    <t>+30-924-2502467</t>
  </si>
  <si>
    <t>cliente19@mail.com</t>
  </si>
  <si>
    <t>Laura Hernández</t>
  </si>
  <si>
    <t>Gobierno</t>
  </si>
  <si>
    <t>2020-01-01</t>
  </si>
  <si>
    <t>CLI-020</t>
  </si>
  <si>
    <t>ClienteTech20</t>
  </si>
  <si>
    <t>ClienteTech20 S.A. de C.V.</t>
  </si>
  <si>
    <t>Avenida 137 #236, Buenos Aires</t>
  </si>
  <si>
    <t>74478</t>
  </si>
  <si>
    <t>+97-588-6026630</t>
  </si>
  <si>
    <t>cliente20@mail.com</t>
  </si>
  <si>
    <t>Carlos Sánchez</t>
  </si>
  <si>
    <t>2022-02-04</t>
  </si>
  <si>
    <t>CLI-021</t>
  </si>
  <si>
    <t>ClienteTech21</t>
  </si>
  <si>
    <t>ClienteTech21 S.A. de C.V.</t>
  </si>
  <si>
    <t>Avenida 102 #4194, Toronto</t>
  </si>
  <si>
    <t>31400</t>
  </si>
  <si>
    <t>+92-854-7538471</t>
  </si>
  <si>
    <t>cliente21@mail.com</t>
  </si>
  <si>
    <t>Pedro Rodríguez</t>
  </si>
  <si>
    <t>2024-04-14</t>
  </si>
  <si>
    <t>CLI-022</t>
  </si>
  <si>
    <t>ClienteTech22</t>
  </si>
  <si>
    <t>ClienteTech22 S.A. de C.V.</t>
  </si>
  <si>
    <t>Avenida 106 #3180, Toronto</t>
  </si>
  <si>
    <t>18973</t>
  </si>
  <si>
    <t>+24-239-5858602</t>
  </si>
  <si>
    <t>cliente22@mail.com</t>
  </si>
  <si>
    <t>María Ramírez</t>
  </si>
  <si>
    <t>2021-10-18</t>
  </si>
  <si>
    <t>CLI-023</t>
  </si>
  <si>
    <t>ClienteTech23</t>
  </si>
  <si>
    <t>ClienteTech23 S.A. de C.V.</t>
  </si>
  <si>
    <t>Avenida 6 #3146, Miami</t>
  </si>
  <si>
    <t>23405</t>
  </si>
  <si>
    <t>+37-375-3097809</t>
  </si>
  <si>
    <t>cliente23@mail.com</t>
  </si>
  <si>
    <t>2021-12-01</t>
  </si>
  <si>
    <t>CLI-024</t>
  </si>
  <si>
    <t>ClienteTech24</t>
  </si>
  <si>
    <t>ClienteTech24 S.A. de C.V.</t>
  </si>
  <si>
    <t>Avenida 119 #619, São Paulo</t>
  </si>
  <si>
    <t>53286</t>
  </si>
  <si>
    <t>+11-963-3450947</t>
  </si>
  <si>
    <t>cliente24@mail.com</t>
  </si>
  <si>
    <t>Carlos Hernández</t>
  </si>
  <si>
    <t>2025-01-08</t>
  </si>
  <si>
    <t>CLI-025</t>
  </si>
  <si>
    <t>ClienteTech25</t>
  </si>
  <si>
    <t>ClienteTech25 S.A. de C.V.</t>
  </si>
  <si>
    <t>Avenida 64 #6404, Miami</t>
  </si>
  <si>
    <t>68059</t>
  </si>
  <si>
    <t>+32-855-1562209</t>
  </si>
  <si>
    <t>cliente25@mail.com</t>
  </si>
  <si>
    <t>Ana Ramírez</t>
  </si>
  <si>
    <t>2022-03-07</t>
  </si>
  <si>
    <t>CLI-026</t>
  </si>
  <si>
    <t>ClienteTech26</t>
  </si>
  <si>
    <t>ClienteTech26 S.A. de C.V.</t>
  </si>
  <si>
    <t>Avenida 141 #8634, CDMX</t>
  </si>
  <si>
    <t>26009</t>
  </si>
  <si>
    <t>+33-592-6013251</t>
  </si>
  <si>
    <t>cliente26@mail.com</t>
  </si>
  <si>
    <t>2023-07-20</t>
  </si>
  <si>
    <t>CLI-027</t>
  </si>
  <si>
    <t>ClienteTech27</t>
  </si>
  <si>
    <t>ClienteTech27 S.A. de C.V.</t>
  </si>
  <si>
    <t>Avenida 71 #9679, Miami</t>
  </si>
  <si>
    <t>25682</t>
  </si>
  <si>
    <t>+51-908-5078362</t>
  </si>
  <si>
    <t>cliente27@mail.com</t>
  </si>
  <si>
    <t>Carlos Gómez</t>
  </si>
  <si>
    <t>2021-05-24</t>
  </si>
  <si>
    <t>CLI-028</t>
  </si>
  <si>
    <t>ClienteTech28</t>
  </si>
  <si>
    <t>ClienteTech28 S.A. de C.V.</t>
  </si>
  <si>
    <t>Avenida 87 #1083, Bogotá</t>
  </si>
  <si>
    <t>17834</t>
  </si>
  <si>
    <t>+46-760-3582322</t>
  </si>
  <si>
    <t>cliente28@mail.com</t>
  </si>
  <si>
    <t>Diego López</t>
  </si>
  <si>
    <t>2024-06-02</t>
  </si>
  <si>
    <t>CLI-029</t>
  </si>
  <si>
    <t>ClienteTech29</t>
  </si>
  <si>
    <t>ClienteTech29 S.A. de C.V.</t>
  </si>
  <si>
    <t>Avenida 97 #5968, Madrid</t>
  </si>
  <si>
    <t>27659</t>
  </si>
  <si>
    <t>+33-140-9142018</t>
  </si>
  <si>
    <t>cliente29@mail.com</t>
  </si>
  <si>
    <t>Laura Torres</t>
  </si>
  <si>
    <t>2021-01-17</t>
  </si>
  <si>
    <t>CLI-030</t>
  </si>
  <si>
    <t>ClienteTech30</t>
  </si>
  <si>
    <t>ClienteTech30 S.A. de C.V.</t>
  </si>
  <si>
    <t>Avenida 142 #2727, São Paulo</t>
  </si>
  <si>
    <t>19027</t>
  </si>
  <si>
    <t>+68-258-8539415</t>
  </si>
  <si>
    <t>cliente30@mail.com</t>
  </si>
  <si>
    <t>Luis Hernández</t>
  </si>
  <si>
    <t>2022-02-15</t>
  </si>
  <si>
    <t>CLI-031</t>
  </si>
  <si>
    <t>ClienteTech31</t>
  </si>
  <si>
    <t>ClienteTech31 S.A. de C.V.</t>
  </si>
  <si>
    <t>Panamá</t>
  </si>
  <si>
    <t>Ciudad de Panamá</t>
  </si>
  <si>
    <t>Avenida 62 #5354, Ciudad de Panamá</t>
  </si>
  <si>
    <t>18302</t>
  </si>
  <si>
    <t>+85-651-7501017</t>
  </si>
  <si>
    <t>cliente31@mail.com</t>
  </si>
  <si>
    <t>Ana Torres</t>
  </si>
  <si>
    <t>2022-04-19</t>
  </si>
  <si>
    <t>CLI-032</t>
  </si>
  <si>
    <t>ClienteTech32</t>
  </si>
  <si>
    <t>ClienteTech32 S.A. de C.V.</t>
  </si>
  <si>
    <t>Avenida 18 #817, Bogotá</t>
  </si>
  <si>
    <t>27009</t>
  </si>
  <si>
    <t>+23-994-1524686</t>
  </si>
  <si>
    <t>cliente32@mail.com</t>
  </si>
  <si>
    <t>Ana López</t>
  </si>
  <si>
    <t>2024-09-08</t>
  </si>
  <si>
    <t>CLI-033</t>
  </si>
  <si>
    <t>ClienteTech33</t>
  </si>
  <si>
    <t>ClienteTech33 S.A. de C.V.</t>
  </si>
  <si>
    <t>Avenida 66 #904, Toronto</t>
  </si>
  <si>
    <t>58018</t>
  </si>
  <si>
    <t>+29-720-2189067</t>
  </si>
  <si>
    <t>cliente33@mail.com</t>
  </si>
  <si>
    <t>2022-01-09</t>
  </si>
  <si>
    <t>CLI-034</t>
  </si>
  <si>
    <t>ClienteTech34</t>
  </si>
  <si>
    <t>ClienteTech34 S.A. de C.V.</t>
  </si>
  <si>
    <t>Avenida 69 #8767, Miami</t>
  </si>
  <si>
    <t>15328</t>
  </si>
  <si>
    <t>+94-172-6098672</t>
  </si>
  <si>
    <t>cliente34@mail.com</t>
  </si>
  <si>
    <t>María Rodríguez</t>
  </si>
  <si>
    <t>2021-01-23</t>
  </si>
  <si>
    <t>CLI-035</t>
  </si>
  <si>
    <t>ClienteTech35</t>
  </si>
  <si>
    <t>ClienteTech35 S.A. de C.V.</t>
  </si>
  <si>
    <t>Avenida 46 #9249, Madrid</t>
  </si>
  <si>
    <t>83156</t>
  </si>
  <si>
    <t>+54-864-2770234</t>
  </si>
  <si>
    <t>cliente35@mail.com</t>
  </si>
  <si>
    <t>2020-12-07</t>
  </si>
  <si>
    <t>CLI-036</t>
  </si>
  <si>
    <t>ClienteTech36</t>
  </si>
  <si>
    <t>ClienteTech36 S.A. de C.V.</t>
  </si>
  <si>
    <t>Avenida 87 #2691, Lima</t>
  </si>
  <si>
    <t>79979</t>
  </si>
  <si>
    <t>+77-553-6911017</t>
  </si>
  <si>
    <t>cliente36@mail.com</t>
  </si>
  <si>
    <t>Sofía Torres</t>
  </si>
  <si>
    <t>2024-08-18</t>
  </si>
  <si>
    <t>CLI-037</t>
  </si>
  <si>
    <t>ClienteTech37</t>
  </si>
  <si>
    <t>ClienteTech37 S.A. de C.V.</t>
  </si>
  <si>
    <t>Avenida 140 #3604, Madrid</t>
  </si>
  <si>
    <t>59160</t>
  </si>
  <si>
    <t>+99-663-5262908</t>
  </si>
  <si>
    <t>cliente37@mail.com</t>
  </si>
  <si>
    <t>Sofía Ramírez</t>
  </si>
  <si>
    <t>2023-05-05</t>
  </si>
  <si>
    <t>CLI-038</t>
  </si>
  <si>
    <t>ClienteTech38</t>
  </si>
  <si>
    <t>ClienteTech38 S.A. de C.V.</t>
  </si>
  <si>
    <t>Avenida 2 #5020, CDMX</t>
  </si>
  <si>
    <t>39083</t>
  </si>
  <si>
    <t>+28-976-6283223</t>
  </si>
  <si>
    <t>cliente38@mail.com</t>
  </si>
  <si>
    <t>2020-10-10</t>
  </si>
  <si>
    <t>CLI-039</t>
  </si>
  <si>
    <t>ClienteTech39</t>
  </si>
  <si>
    <t>ClienteTech39 S.A. de C.V.</t>
  </si>
  <si>
    <t>Avenida 60 #4298, Ciudad de Panamá</t>
  </si>
  <si>
    <t>49361</t>
  </si>
  <si>
    <t>+12-684-7707501</t>
  </si>
  <si>
    <t>cliente39@mail.com</t>
  </si>
  <si>
    <t>Camila Rodríguez</t>
  </si>
  <si>
    <t>2022-09-26</t>
  </si>
  <si>
    <t>CLI-040</t>
  </si>
  <si>
    <t>ClienteTech40</t>
  </si>
  <si>
    <t>ClienteTech40 S.A. de C.V.</t>
  </si>
  <si>
    <t>Avenida 148 #6351, Buenos Aires</t>
  </si>
  <si>
    <t>20286</t>
  </si>
  <si>
    <t>+8-889-6610127</t>
  </si>
  <si>
    <t>cliente40@mail.com</t>
  </si>
  <si>
    <t>Sofía Sánchez</t>
  </si>
  <si>
    <t>2025-03-16</t>
  </si>
  <si>
    <t>CLI-041</t>
  </si>
  <si>
    <t>ClienteTech41</t>
  </si>
  <si>
    <t>ClienteTech41 S.A. de C.V.</t>
  </si>
  <si>
    <t>Avenida 135 #774, Miami</t>
  </si>
  <si>
    <t>51853</t>
  </si>
  <si>
    <t>+70-678-3509536</t>
  </si>
  <si>
    <t>cliente41@mail.com</t>
  </si>
  <si>
    <t>2025-06-11</t>
  </si>
  <si>
    <t>CLI-042</t>
  </si>
  <si>
    <t>ClienteTech42</t>
  </si>
  <si>
    <t>ClienteTech42 S.A. de C.V.</t>
  </si>
  <si>
    <t>Avenida 24 #3738, Ciudad de Panamá</t>
  </si>
  <si>
    <t>66614</t>
  </si>
  <si>
    <t>+38-905-7615632</t>
  </si>
  <si>
    <t>cliente42@mail.com</t>
  </si>
  <si>
    <t>José Martínez</t>
  </si>
  <si>
    <t>2023-01-27</t>
  </si>
  <si>
    <t>CLI-043</t>
  </si>
  <si>
    <t>ClienteTech43</t>
  </si>
  <si>
    <t>ClienteTech43 S.A. de C.V.</t>
  </si>
  <si>
    <t>Avenida 129 #7218, Bogotá</t>
  </si>
  <si>
    <t>27088</t>
  </si>
  <si>
    <t>+98-238-9068540</t>
  </si>
  <si>
    <t>cliente43@mail.com</t>
  </si>
  <si>
    <t>Diego Rodríguez</t>
  </si>
  <si>
    <t>2023-06-15</t>
  </si>
  <si>
    <t>CLI-044</t>
  </si>
  <si>
    <t>ClienteTech44</t>
  </si>
  <si>
    <t>ClienteTech44 S.A. de C.V.</t>
  </si>
  <si>
    <t>Avenida 111 #5398, Bogotá</t>
  </si>
  <si>
    <t>99749</t>
  </si>
  <si>
    <t>+74-191-2887937</t>
  </si>
  <si>
    <t>cliente44@mail.com</t>
  </si>
  <si>
    <t>Pedro Sánchez</t>
  </si>
  <si>
    <t>2023-09-04</t>
  </si>
  <si>
    <t>CLI-045</t>
  </si>
  <si>
    <t>ClienteTech45</t>
  </si>
  <si>
    <t>ClienteTech45 S.A. de C.V.</t>
  </si>
  <si>
    <t>Avenida 114 #2489, CDMX</t>
  </si>
  <si>
    <t>67732</t>
  </si>
  <si>
    <t>+6-937-4917305</t>
  </si>
  <si>
    <t>cliente45@mail.com</t>
  </si>
  <si>
    <t>2021-05-12</t>
  </si>
  <si>
    <t>CLI-046</t>
  </si>
  <si>
    <t>ClienteTech46</t>
  </si>
  <si>
    <t>ClienteTech46 S.A. de C.V.</t>
  </si>
  <si>
    <t>Avenida 29 #5099, Miami</t>
  </si>
  <si>
    <t>68990</t>
  </si>
  <si>
    <t>+61-123-6567967</t>
  </si>
  <si>
    <t>cliente46@mail.com</t>
  </si>
  <si>
    <t>CLI-047</t>
  </si>
  <si>
    <t>ClienteTech47</t>
  </si>
  <si>
    <t>ClienteTech47 S.A. de C.V.</t>
  </si>
  <si>
    <t>Avenida 97 #9651, CDMX</t>
  </si>
  <si>
    <t>96969</t>
  </si>
  <si>
    <t>+68-144-5285846</t>
  </si>
  <si>
    <t>cliente47@mail.com</t>
  </si>
  <si>
    <t>José Gómez</t>
  </si>
  <si>
    <t>2022-08-10</t>
  </si>
  <si>
    <t>CLI-048</t>
  </si>
  <si>
    <t>ClienteTech48</t>
  </si>
  <si>
    <t>ClienteTech48 S.A. de C.V.</t>
  </si>
  <si>
    <t>Avenida 93 #1867, Lima</t>
  </si>
  <si>
    <t>12500</t>
  </si>
  <si>
    <t>+38-988-7484783</t>
  </si>
  <si>
    <t>cliente48@mail.com</t>
  </si>
  <si>
    <t>Ana Sánchez</t>
  </si>
  <si>
    <t>2020-06-29</t>
  </si>
  <si>
    <t>CLI-049</t>
  </si>
  <si>
    <t>ClienteTech49</t>
  </si>
  <si>
    <t>ClienteTech49 S.A. de C.V.</t>
  </si>
  <si>
    <t>Avenida 144 #452, Toronto</t>
  </si>
  <si>
    <t>15210</t>
  </si>
  <si>
    <t>+32-642-6115834</t>
  </si>
  <si>
    <t>cliente49@mail.com</t>
  </si>
  <si>
    <t>2021-12-21</t>
  </si>
  <si>
    <t>CLI-050</t>
  </si>
  <si>
    <t>ClienteTech50</t>
  </si>
  <si>
    <t>ClienteTech50 S.A. de C.V.</t>
  </si>
  <si>
    <t>Avenida 71 #1115, Madrid</t>
  </si>
  <si>
    <t>92023</t>
  </si>
  <si>
    <t>+33-999-7495644</t>
  </si>
  <si>
    <t>cliente50@mail.com</t>
  </si>
  <si>
    <t>Carlos Torres</t>
  </si>
  <si>
    <t>2023-09-07</t>
  </si>
  <si>
    <t>CLI-051</t>
  </si>
  <si>
    <t>ClienteTech51</t>
  </si>
  <si>
    <t>ClienteTech51 S.A. de C.V.</t>
  </si>
  <si>
    <t>Avenida 59 #6937, Lima</t>
  </si>
  <si>
    <t>41504</t>
  </si>
  <si>
    <t>+74-256-8154895</t>
  </si>
  <si>
    <t>cliente51@mail.com</t>
  </si>
  <si>
    <t>CLI-052</t>
  </si>
  <si>
    <t>ClienteTech52</t>
  </si>
  <si>
    <t>ClienteTech52 S.A. de C.V.</t>
  </si>
  <si>
    <t>Avenida 35 #7146, Buenos Aires</t>
  </si>
  <si>
    <t>29025</t>
  </si>
  <si>
    <t>+84-678-3651604</t>
  </si>
  <si>
    <t>cliente52@mail.com</t>
  </si>
  <si>
    <t>Sofía López</t>
  </si>
  <si>
    <t>2024-01-29</t>
  </si>
  <si>
    <t>CLI-053</t>
  </si>
  <si>
    <t>ClienteTech53</t>
  </si>
  <si>
    <t>ClienteTech53 S.A. de C.V.</t>
  </si>
  <si>
    <t>Avenida 78 #7358, Lima</t>
  </si>
  <si>
    <t>93472</t>
  </si>
  <si>
    <t>+95-380-3549416</t>
  </si>
  <si>
    <t>cliente53@mail.com</t>
  </si>
  <si>
    <t>2023-06-17</t>
  </si>
  <si>
    <t>CLI-054</t>
  </si>
  <si>
    <t>ClienteTech54</t>
  </si>
  <si>
    <t>ClienteTech54 S.A. de C.V.</t>
  </si>
  <si>
    <t>Avenida 60 #9870, Ciudad de Panamá</t>
  </si>
  <si>
    <t>40432</t>
  </si>
  <si>
    <t>+30-803-1437625</t>
  </si>
  <si>
    <t>cliente54@mail.com</t>
  </si>
  <si>
    <t>2023-12-29</t>
  </si>
  <si>
    <t>CLI-055</t>
  </si>
  <si>
    <t>ClienteTech55</t>
  </si>
  <si>
    <t>ClienteTech55 S.A. de C.V.</t>
  </si>
  <si>
    <t>Avenida 122 #2353, Lima</t>
  </si>
  <si>
    <t>31467</t>
  </si>
  <si>
    <t>+25-331-1540722</t>
  </si>
  <si>
    <t>cliente55@mail.com</t>
  </si>
  <si>
    <t>Pedro Gómez</t>
  </si>
  <si>
    <t>2024-03-31</t>
  </si>
  <si>
    <t>CLI-056</t>
  </si>
  <si>
    <t>ClienteTech56</t>
  </si>
  <si>
    <t>ClienteTech56 S.A. de C.V.</t>
  </si>
  <si>
    <t>Avenida 126 #5423, CDMX</t>
  </si>
  <si>
    <t>69971</t>
  </si>
  <si>
    <t>+32-537-7792537</t>
  </si>
  <si>
    <t>cliente56@mail.com</t>
  </si>
  <si>
    <t>Carlos Flores</t>
  </si>
  <si>
    <t>2023-03-17</t>
  </si>
  <si>
    <t>CLI-057</t>
  </si>
  <si>
    <t>ClienteTech57</t>
  </si>
  <si>
    <t>ClienteTech57 S.A. de C.V.</t>
  </si>
  <si>
    <t>Avenida 117 #794, Bogotá</t>
  </si>
  <si>
    <t>42207</t>
  </si>
  <si>
    <t>+67-650-7637254</t>
  </si>
  <si>
    <t>cliente57@mail.com</t>
  </si>
  <si>
    <t>2021-08-19</t>
  </si>
  <si>
    <t>CLI-058</t>
  </si>
  <si>
    <t>ClienteTech58</t>
  </si>
  <si>
    <t>ClienteTech58 S.A. de C.V.</t>
  </si>
  <si>
    <t>Avenida 119 #2827, Buenos Aires</t>
  </si>
  <si>
    <t>65372</t>
  </si>
  <si>
    <t>+38-727-1915141</t>
  </si>
  <si>
    <t>cliente58@mail.com</t>
  </si>
  <si>
    <t>Diego Martínez</t>
  </si>
  <si>
    <t>2020-08-19</t>
  </si>
  <si>
    <t>CLI-059</t>
  </si>
  <si>
    <t>ClienteTech59</t>
  </si>
  <si>
    <t>ClienteTech59 S.A. de C.V.</t>
  </si>
  <si>
    <t>Avenida 101 #6875, Toronto</t>
  </si>
  <si>
    <t>52396</t>
  </si>
  <si>
    <t>+58-125-4001084</t>
  </si>
  <si>
    <t>cliente59@mail.com</t>
  </si>
  <si>
    <t>Laura Flores</t>
  </si>
  <si>
    <t>2023-08-21</t>
  </si>
  <si>
    <t>CLI-060</t>
  </si>
  <si>
    <t>ClienteTech60</t>
  </si>
  <si>
    <t>ClienteTech60 S.A. de C.V.</t>
  </si>
  <si>
    <t>Avenida 116 #6046, Bogotá</t>
  </si>
  <si>
    <t>21181</t>
  </si>
  <si>
    <t>+68-824-7443916</t>
  </si>
  <si>
    <t>cliente60@mail.com</t>
  </si>
  <si>
    <t>Diego Flores</t>
  </si>
  <si>
    <t>2025-02-11</t>
  </si>
  <si>
    <t>CLI-061</t>
  </si>
  <si>
    <t>ClienteTech61</t>
  </si>
  <si>
    <t>ClienteTech61 S.A. de C.V.</t>
  </si>
  <si>
    <t>Avenida 38 #3030, CDMX</t>
  </si>
  <si>
    <t>16725</t>
  </si>
  <si>
    <t>+54-415-6192855</t>
  </si>
  <si>
    <t>cliente61@mail.com</t>
  </si>
  <si>
    <t>2023-06-29</t>
  </si>
  <si>
    <t>CLI-062</t>
  </si>
  <si>
    <t>ClienteTech62</t>
  </si>
  <si>
    <t>ClienteTech62 S.A. de C.V.</t>
  </si>
  <si>
    <t>Avenida 128 #9004, São Paulo</t>
  </si>
  <si>
    <t>10753</t>
  </si>
  <si>
    <t>+78-605-4990936</t>
  </si>
  <si>
    <t>cliente62@mail.com</t>
  </si>
  <si>
    <t>Ana Flores</t>
  </si>
  <si>
    <t>2023-05-14</t>
  </si>
  <si>
    <t>CLI-063</t>
  </si>
  <si>
    <t>ClienteTech63</t>
  </si>
  <si>
    <t>ClienteTech63 S.A. de C.V.</t>
  </si>
  <si>
    <t>Avenida 143 #3501, Toronto</t>
  </si>
  <si>
    <t>16411</t>
  </si>
  <si>
    <t>+24-251-1923819</t>
  </si>
  <si>
    <t>cliente63@mail.com</t>
  </si>
  <si>
    <t>Sofía Gómez</t>
  </si>
  <si>
    <t>2021-09-03</t>
  </si>
  <si>
    <t>CLI-064</t>
  </si>
  <si>
    <t>ClienteTech64</t>
  </si>
  <si>
    <t>ClienteTech64 S.A. de C.V.</t>
  </si>
  <si>
    <t>Avenida 107 #3020, Miami</t>
  </si>
  <si>
    <t>31146</t>
  </si>
  <si>
    <t>+87-391-3976601</t>
  </si>
  <si>
    <t>cliente64@mail.com</t>
  </si>
  <si>
    <t>2022-01-24</t>
  </si>
  <si>
    <t>CLI-065</t>
  </si>
  <si>
    <t>ClienteTech65</t>
  </si>
  <si>
    <t>ClienteTech65 S.A. de C.V.</t>
  </si>
  <si>
    <t>Avenida 17 #4897, Lima</t>
  </si>
  <si>
    <t>71710</t>
  </si>
  <si>
    <t>+18-224-5603979</t>
  </si>
  <si>
    <t>cliente65@mail.com</t>
  </si>
  <si>
    <t>2020-04-29</t>
  </si>
  <si>
    <t>CLI-066</t>
  </si>
  <si>
    <t>ClienteTech66</t>
  </si>
  <si>
    <t>ClienteTech66 S.A. de C.V.</t>
  </si>
  <si>
    <t>Avenida 124 #4805, Toronto</t>
  </si>
  <si>
    <t>65974</t>
  </si>
  <si>
    <t>+78-968-6309796</t>
  </si>
  <si>
    <t>cliente66@mail.com</t>
  </si>
  <si>
    <t>Luis Torres</t>
  </si>
  <si>
    <t>2024-02-02</t>
  </si>
  <si>
    <t>CLI-067</t>
  </si>
  <si>
    <t>ClienteTech67</t>
  </si>
  <si>
    <t>ClienteTech67 S.A. de C.V.</t>
  </si>
  <si>
    <t>Avenida 60 #4859, CDMX</t>
  </si>
  <si>
    <t>35369</t>
  </si>
  <si>
    <t>+1-221-1402431</t>
  </si>
  <si>
    <t>cliente67@mail.com</t>
  </si>
  <si>
    <t>Laura López</t>
  </si>
  <si>
    <t>2021-12-17</t>
  </si>
  <si>
    <t>CLI-068</t>
  </si>
  <si>
    <t>ClienteTech68</t>
  </si>
  <si>
    <t>ClienteTech68 S.A. de C.V.</t>
  </si>
  <si>
    <t>Avenida 66 #1211, Madrid</t>
  </si>
  <si>
    <t>50340</t>
  </si>
  <si>
    <t>+39-618-6434540</t>
  </si>
  <si>
    <t>cliente68@mail.com</t>
  </si>
  <si>
    <t>Carlos López</t>
  </si>
  <si>
    <t>2025-05-20</t>
  </si>
  <si>
    <t>CLI-069</t>
  </si>
  <si>
    <t>ClienteTech69</t>
  </si>
  <si>
    <t>ClienteTech69 S.A. de C.V.</t>
  </si>
  <si>
    <t>Avenida 87 #7949, Madrid</t>
  </si>
  <si>
    <t>72193</t>
  </si>
  <si>
    <t>+5-761-3277572</t>
  </si>
  <si>
    <t>cliente69@mail.com</t>
  </si>
  <si>
    <t>2025-03-15</t>
  </si>
  <si>
    <t>CLI-070</t>
  </si>
  <si>
    <t>ClienteTech70</t>
  </si>
  <si>
    <t>ClienteTech70 S.A. de C.V.</t>
  </si>
  <si>
    <t>Avenida 81 #9196, Buenos Aires</t>
  </si>
  <si>
    <t>80239</t>
  </si>
  <si>
    <t>+3-313-6565326</t>
  </si>
  <si>
    <t>cliente70@mail.com</t>
  </si>
  <si>
    <t>2023-07-07</t>
  </si>
  <si>
    <t>CLI-071</t>
  </si>
  <si>
    <t>ClienteTech71</t>
  </si>
  <si>
    <t>ClienteTech71 S.A. de C.V.</t>
  </si>
  <si>
    <t>Avenida 48 #9851, Ciudad de Panamá</t>
  </si>
  <si>
    <t>25315</t>
  </si>
  <si>
    <t>+97-415-6276424</t>
  </si>
  <si>
    <t>cliente71@mail.com</t>
  </si>
  <si>
    <t>2022-07-14</t>
  </si>
  <si>
    <t>CLI-072</t>
  </si>
  <si>
    <t>ClienteTech72</t>
  </si>
  <si>
    <t>ClienteTech72 S.A. de C.V.</t>
  </si>
  <si>
    <t>Avenida 45 #1938, Toronto</t>
  </si>
  <si>
    <t>59049</t>
  </si>
  <si>
    <t>+5-896-4390648</t>
  </si>
  <si>
    <t>cliente72@mail.com</t>
  </si>
  <si>
    <t>2025-03-06</t>
  </si>
  <si>
    <t>CLI-073</t>
  </si>
  <si>
    <t>ClienteTech73</t>
  </si>
  <si>
    <t>ClienteTech73 S.A. de C.V.</t>
  </si>
  <si>
    <t>Avenida 37 #1709, Buenos Aires</t>
  </si>
  <si>
    <t>77652</t>
  </si>
  <si>
    <t>+87-235-4442468</t>
  </si>
  <si>
    <t>cliente73@mail.com</t>
  </si>
  <si>
    <t>Carlos Ramírez</t>
  </si>
  <si>
    <t>2025-03-24</t>
  </si>
  <si>
    <t>CLI-074</t>
  </si>
  <si>
    <t>ClienteTech74</t>
  </si>
  <si>
    <t>ClienteTech74 S.A. de C.V.</t>
  </si>
  <si>
    <t>Avenida 120 #855, Bogotá</t>
  </si>
  <si>
    <t>23513</t>
  </si>
  <si>
    <t>+67-884-6242557</t>
  </si>
  <si>
    <t>cliente74@mail.com</t>
  </si>
  <si>
    <t>2021-08-09</t>
  </si>
  <si>
    <t>CLI-075</t>
  </si>
  <si>
    <t>ClienteTech75</t>
  </si>
  <si>
    <t>ClienteTech75 S.A. de C.V.</t>
  </si>
  <si>
    <t>Avenida 31 #4567, Santiago</t>
  </si>
  <si>
    <t>29571</t>
  </si>
  <si>
    <t>+21-380-2920326</t>
  </si>
  <si>
    <t>cliente75@mail.com</t>
  </si>
  <si>
    <t>2021-07-09</t>
  </si>
  <si>
    <t>CLI-076</t>
  </si>
  <si>
    <t>ClienteTech76</t>
  </si>
  <si>
    <t>ClienteTech76 S.A. de C.V.</t>
  </si>
  <si>
    <t>Avenida 44 #1267, Ciudad de Panamá</t>
  </si>
  <si>
    <t>50812</t>
  </si>
  <si>
    <t>+79-446-8443172</t>
  </si>
  <si>
    <t>cliente76@mail.com</t>
  </si>
  <si>
    <t>Carlos Martínez</t>
  </si>
  <si>
    <t>2020-04-20</t>
  </si>
  <si>
    <t>CLI-077</t>
  </si>
  <si>
    <t>ClienteTech77</t>
  </si>
  <si>
    <t>ClienteTech77 S.A. de C.V.</t>
  </si>
  <si>
    <t>Avenida 115 #5926, Lima</t>
  </si>
  <si>
    <t>50952</t>
  </si>
  <si>
    <t>+43-937-4324357</t>
  </si>
  <si>
    <t>cliente77@mail.com</t>
  </si>
  <si>
    <t>2022-08-17</t>
  </si>
  <si>
    <t>CLI-078</t>
  </si>
  <si>
    <t>ClienteTech78</t>
  </si>
  <si>
    <t>ClienteTech78 S.A. de C.V.</t>
  </si>
  <si>
    <t>Avenida 121 #3896, Buenos Aires</t>
  </si>
  <si>
    <t>39333</t>
  </si>
  <si>
    <t>+19-981-5329406</t>
  </si>
  <si>
    <t>cliente78@mail.com</t>
  </si>
  <si>
    <t>2022-07-17</t>
  </si>
  <si>
    <t>CLI-079</t>
  </si>
  <si>
    <t>ClienteTech79</t>
  </si>
  <si>
    <t>ClienteTech79 S.A. de C.V.</t>
  </si>
  <si>
    <t>Avenida 29 #5858, Bogotá</t>
  </si>
  <si>
    <t>72737</t>
  </si>
  <si>
    <t>+60-966-3865574</t>
  </si>
  <si>
    <t>cliente79@mail.com</t>
  </si>
  <si>
    <t>Luis Pérez</t>
  </si>
  <si>
    <t>2024-06-19</t>
  </si>
  <si>
    <t>CLI-080</t>
  </si>
  <si>
    <t>ClienteTech80</t>
  </si>
  <si>
    <t>ClienteTech80 S.A. de C.V.</t>
  </si>
  <si>
    <t>Avenida 78 #8828, Toronto</t>
  </si>
  <si>
    <t>70420</t>
  </si>
  <si>
    <t>+52-704-7936404</t>
  </si>
  <si>
    <t>cliente80@mail.com</t>
  </si>
  <si>
    <t>2020-05-15</t>
  </si>
  <si>
    <t>CLI-081</t>
  </si>
  <si>
    <t>ClienteTech81</t>
  </si>
  <si>
    <t>ClienteTech81 S.A. de C.V.</t>
  </si>
  <si>
    <t>Avenida 112 #9393, Ciudad de Panamá</t>
  </si>
  <si>
    <t>54852</t>
  </si>
  <si>
    <t>+70-810-4962012</t>
  </si>
  <si>
    <t>cliente81@mail.com</t>
  </si>
  <si>
    <t>José López</t>
  </si>
  <si>
    <t>2023-02-10</t>
  </si>
  <si>
    <t>CLI-082</t>
  </si>
  <si>
    <t>ClienteTech82</t>
  </si>
  <si>
    <t>ClienteTech82 S.A. de C.V.</t>
  </si>
  <si>
    <t>Avenida 104 #1240, CDMX</t>
  </si>
  <si>
    <t>88415</t>
  </si>
  <si>
    <t>+14-801-7357071</t>
  </si>
  <si>
    <t>cliente82@mail.com</t>
  </si>
  <si>
    <t>2025-01-23</t>
  </si>
  <si>
    <t>CLI-083</t>
  </si>
  <si>
    <t>ClienteTech83</t>
  </si>
  <si>
    <t>ClienteTech83 S.A. de C.V.</t>
  </si>
  <si>
    <t>Avenida 137 #4875, CDMX</t>
  </si>
  <si>
    <t>61115</t>
  </si>
  <si>
    <t>+79-691-8502096</t>
  </si>
  <si>
    <t>cliente83@mail.com</t>
  </si>
  <si>
    <t>Ana Rodríguez</t>
  </si>
  <si>
    <t>2021-09-15</t>
  </si>
  <si>
    <t>CLI-084</t>
  </si>
  <si>
    <t>ClienteTech84</t>
  </si>
  <si>
    <t>ClienteTech84 S.A. de C.V.</t>
  </si>
  <si>
    <t>Avenida 3 #8462, Bogotá</t>
  </si>
  <si>
    <t>62978</t>
  </si>
  <si>
    <t>+17-972-5935599</t>
  </si>
  <si>
    <t>cliente84@mail.com</t>
  </si>
  <si>
    <t>Carlos Pérez</t>
  </si>
  <si>
    <t>2020-08-12</t>
  </si>
  <si>
    <t>CLI-085</t>
  </si>
  <si>
    <t>ClienteTech85</t>
  </si>
  <si>
    <t>ClienteTech85 S.A. de C.V.</t>
  </si>
  <si>
    <t>Avenida 101 #5312, Madrid</t>
  </si>
  <si>
    <t>60173</t>
  </si>
  <si>
    <t>+52-490-8301277</t>
  </si>
  <si>
    <t>cliente85@mail.com</t>
  </si>
  <si>
    <t>2024-09-23</t>
  </si>
  <si>
    <t>CLI-086</t>
  </si>
  <si>
    <t>ClienteTech86</t>
  </si>
  <si>
    <t>ClienteTech86 S.A. de C.V.</t>
  </si>
  <si>
    <t>Avenida 33 #2300, CDMX</t>
  </si>
  <si>
    <t>11520</t>
  </si>
  <si>
    <t>+10-763-1263533</t>
  </si>
  <si>
    <t>cliente86@mail.com</t>
  </si>
  <si>
    <t>2024-10-27</t>
  </si>
  <si>
    <t>CLI-087</t>
  </si>
  <si>
    <t>ClienteTech87</t>
  </si>
  <si>
    <t>ClienteTech87 S.A. de C.V.</t>
  </si>
  <si>
    <t>Avenida 47 #7544, Lima</t>
  </si>
  <si>
    <t>76770</t>
  </si>
  <si>
    <t>+55-665-8550515</t>
  </si>
  <si>
    <t>cliente87@mail.com</t>
  </si>
  <si>
    <t>Pedro Pérez</t>
  </si>
  <si>
    <t>2022-10-17</t>
  </si>
  <si>
    <t>CLI-088</t>
  </si>
  <si>
    <t>ClienteTech88</t>
  </si>
  <si>
    <t>ClienteTech88 S.A. de C.V.</t>
  </si>
  <si>
    <t>Avenida 140 #9542, Buenos Aires</t>
  </si>
  <si>
    <t>58099</t>
  </si>
  <si>
    <t>+5-138-9107893</t>
  </si>
  <si>
    <t>cliente88@mail.com</t>
  </si>
  <si>
    <t>2022-12-14</t>
  </si>
  <si>
    <t>CLI-089</t>
  </si>
  <si>
    <t>ClienteTech89</t>
  </si>
  <si>
    <t>ClienteTech89 S.A. de C.V.</t>
  </si>
  <si>
    <t>Avenida 134 #1549, Toronto</t>
  </si>
  <si>
    <t>42142</t>
  </si>
  <si>
    <t>+61-745-2309997</t>
  </si>
  <si>
    <t>cliente89@mail.com</t>
  </si>
  <si>
    <t>2024-05-13</t>
  </si>
  <si>
    <t>CLI-090</t>
  </si>
  <si>
    <t>ClienteTech90</t>
  </si>
  <si>
    <t>ClienteTech90 S.A. de C.V.</t>
  </si>
  <si>
    <t>Avenida 121 #9503, São Paulo</t>
  </si>
  <si>
    <t>53452</t>
  </si>
  <si>
    <t>+54-461-5942868</t>
  </si>
  <si>
    <t>cliente90@mail.com</t>
  </si>
  <si>
    <t>Luis Martínez</t>
  </si>
  <si>
    <t>2024-05-26</t>
  </si>
  <si>
    <t>CLI-091</t>
  </si>
  <si>
    <t>ClienteTech91</t>
  </si>
  <si>
    <t>ClienteTech91 S.A. de C.V.</t>
  </si>
  <si>
    <t>Avenida 44 #9485, São Paulo</t>
  </si>
  <si>
    <t>16765</t>
  </si>
  <si>
    <t>+85-398-1457985</t>
  </si>
  <si>
    <t>cliente91@mail.com</t>
  </si>
  <si>
    <t>2021-05-31</t>
  </si>
  <si>
    <t>CLI-092</t>
  </si>
  <si>
    <t>ClienteTech92</t>
  </si>
  <si>
    <t>ClienteTech92 S.A. de C.V.</t>
  </si>
  <si>
    <t>Avenida 66 #332, Buenos Aires</t>
  </si>
  <si>
    <t>24621</t>
  </si>
  <si>
    <t>+78-278-3535634</t>
  </si>
  <si>
    <t>cliente92@mail.com</t>
  </si>
  <si>
    <t>Laura Pérez</t>
  </si>
  <si>
    <t>2024-06-25</t>
  </si>
  <si>
    <t>CLI-093</t>
  </si>
  <si>
    <t>ClienteTech93</t>
  </si>
  <si>
    <t>ClienteTech93 S.A. de C.V.</t>
  </si>
  <si>
    <t>Avenida 40 #8225, Bogotá</t>
  </si>
  <si>
    <t>64125</t>
  </si>
  <si>
    <t>+99-492-4992095</t>
  </si>
  <si>
    <t>cliente93@mail.com</t>
  </si>
  <si>
    <t>2023-08-08</t>
  </si>
  <si>
    <t>CLI-094</t>
  </si>
  <si>
    <t>ClienteTech94</t>
  </si>
  <si>
    <t>ClienteTech94 S.A. de C.V.</t>
  </si>
  <si>
    <t>Avenida 119 #6633, Miami</t>
  </si>
  <si>
    <t>72420</t>
  </si>
  <si>
    <t>+39-587-9934217</t>
  </si>
  <si>
    <t>cliente94@mail.com</t>
  </si>
  <si>
    <t>2020-01-25</t>
  </si>
  <si>
    <t>CLI-095</t>
  </si>
  <si>
    <t>ClienteTech95</t>
  </si>
  <si>
    <t>ClienteTech95 S.A. de C.V.</t>
  </si>
  <si>
    <t>Avenida 136 #772, Lima</t>
  </si>
  <si>
    <t>22761</t>
  </si>
  <si>
    <t>+69-752-6936250</t>
  </si>
  <si>
    <t>cliente95@mail.com</t>
  </si>
  <si>
    <t>2021-06-06</t>
  </si>
  <si>
    <t>CLI-096</t>
  </si>
  <si>
    <t>ClienteTech96</t>
  </si>
  <si>
    <t>ClienteTech96 S.A. de C.V.</t>
  </si>
  <si>
    <t>Avenida 50 #8618, Madrid</t>
  </si>
  <si>
    <t>54224</t>
  </si>
  <si>
    <t>+87-806-4018500</t>
  </si>
  <si>
    <t>cliente96@mail.com</t>
  </si>
  <si>
    <t>2022-04-22</t>
  </si>
  <si>
    <t>CLI-097</t>
  </si>
  <si>
    <t>ClienteTech97</t>
  </si>
  <si>
    <t>ClienteTech97 S.A. de C.V.</t>
  </si>
  <si>
    <t>Avenida 90 #3694, Bogotá</t>
  </si>
  <si>
    <t>47132</t>
  </si>
  <si>
    <t>+33-297-1571126</t>
  </si>
  <si>
    <t>cliente97@mail.com</t>
  </si>
  <si>
    <t>2025-04-30</t>
  </si>
  <si>
    <t>CLI-098</t>
  </si>
  <si>
    <t>ClienteTech98</t>
  </si>
  <si>
    <t>ClienteTech98 S.A. de C.V.</t>
  </si>
  <si>
    <t>Avenida 34 #6259, Bogotá</t>
  </si>
  <si>
    <t>96034</t>
  </si>
  <si>
    <t>+98-763-4099902</t>
  </si>
  <si>
    <t>cliente98@mail.com</t>
  </si>
  <si>
    <t>María Martínez</t>
  </si>
  <si>
    <t>2023-08-01</t>
  </si>
  <si>
    <t>CLI-099</t>
  </si>
  <si>
    <t>ClienteTech99</t>
  </si>
  <si>
    <t>ClienteTech99 S.A. de C.V.</t>
  </si>
  <si>
    <t>Avenida 66 #2753, Lima</t>
  </si>
  <si>
    <t>19698</t>
  </si>
  <si>
    <t>+36-895-2046686</t>
  </si>
  <si>
    <t>cliente99@mail.com</t>
  </si>
  <si>
    <t>2020-12-30</t>
  </si>
  <si>
    <t>CLI-100</t>
  </si>
  <si>
    <t>ClienteTech100</t>
  </si>
  <si>
    <t>ClienteTech100 S.A. de C.V.</t>
  </si>
  <si>
    <t>Avenida 101 #3023, São Paulo</t>
  </si>
  <si>
    <t>94604</t>
  </si>
  <si>
    <t>+63-211-3413781</t>
  </si>
  <si>
    <t>cliente100@mail.com</t>
  </si>
  <si>
    <t>Diego Sánchez</t>
  </si>
  <si>
    <t>2024-01-05</t>
  </si>
  <si>
    <t>Capacidad Total</t>
  </si>
  <si>
    <t>Capacidad Usada</t>
  </si>
  <si>
    <t>Temperatura Controlada</t>
  </si>
  <si>
    <t>Horario Operación</t>
  </si>
  <si>
    <t>Responsable</t>
  </si>
  <si>
    <t>Fecha Apertura</t>
  </si>
  <si>
    <t>ALM-01</t>
  </si>
  <si>
    <t>Almacén Bogotá Norte</t>
  </si>
  <si>
    <t>Carrera 128 #162-84, Bogotá</t>
  </si>
  <si>
    <t>93930</t>
  </si>
  <si>
    <t>+1-138-7551231</t>
  </si>
  <si>
    <t>alm1@logistica.com</t>
  </si>
  <si>
    <t>Regional</t>
  </si>
  <si>
    <t>No</t>
  </si>
  <si>
    <t>Lun-Vie 06:00-22:00</t>
  </si>
  <si>
    <t>Luis Gómez</t>
  </si>
  <si>
    <t>En mantenimiento</t>
  </si>
  <si>
    <t>2023-07-03</t>
  </si>
  <si>
    <t>ALM-02</t>
  </si>
  <si>
    <t>Almacén Miami Oeste</t>
  </si>
  <si>
    <t>Carrera 104 #874-94, Miami</t>
  </si>
  <si>
    <t>19188</t>
  </si>
  <si>
    <t>+70-331-1055488</t>
  </si>
  <si>
    <t>alm2@logistica.com</t>
  </si>
  <si>
    <t>Cross-dock</t>
  </si>
  <si>
    <t>Sí</t>
  </si>
  <si>
    <t>Lun-Sab 08:00-20:00</t>
  </si>
  <si>
    <t>2021-05-25</t>
  </si>
  <si>
    <t>ALM-03</t>
  </si>
  <si>
    <t>Almacén Madrid Norte</t>
  </si>
  <si>
    <t>Carrera 24 #384-69, Madrid</t>
  </si>
  <si>
    <t>54572</t>
  </si>
  <si>
    <t>+11-961-8711468</t>
  </si>
  <si>
    <t>alm3@logistica.com</t>
  </si>
  <si>
    <t>Juan Rodríguez</t>
  </si>
  <si>
    <t>Cerrado</t>
  </si>
  <si>
    <t>2020-02-22</t>
  </si>
  <si>
    <t>ALM-04</t>
  </si>
  <si>
    <t>Almacén CDMX Principal</t>
  </si>
  <si>
    <t>Carrera 100 #927-14, CDMX</t>
  </si>
  <si>
    <t>92656</t>
  </si>
  <si>
    <t>+89-467-9162175</t>
  </si>
  <si>
    <t>alm4@logistica.com</t>
  </si>
  <si>
    <t>24/7</t>
  </si>
  <si>
    <t>Juan López</t>
  </si>
  <si>
    <t>2024-08-25</t>
  </si>
  <si>
    <t>ALM-05</t>
  </si>
  <si>
    <t>Almacén São Paulo Oeste</t>
  </si>
  <si>
    <t>Carrera 100 #74-70, São Paulo</t>
  </si>
  <si>
    <t>94332</t>
  </si>
  <si>
    <t>+40-611-9958027</t>
  </si>
  <si>
    <t>alm5@logistica.com</t>
  </si>
  <si>
    <t>Central</t>
  </si>
  <si>
    <t>Juan Martínez</t>
  </si>
  <si>
    <t>2018-06-25</t>
  </si>
  <si>
    <t>ALM-06</t>
  </si>
  <si>
    <t>Almacén Santiago Norte</t>
  </si>
  <si>
    <t>Carrera 55 #836-84, Santiago</t>
  </si>
  <si>
    <t>97466</t>
  </si>
  <si>
    <t>+67-569-3499027</t>
  </si>
  <si>
    <t>alm6@logistica.com</t>
  </si>
  <si>
    <t>2018-03-20</t>
  </si>
  <si>
    <t>ALM-07</t>
  </si>
  <si>
    <t>Almacén Ciudad de Panamá Central</t>
  </si>
  <si>
    <t>Carrera 12 #258-90, Ciudad de Panamá</t>
  </si>
  <si>
    <t>95037</t>
  </si>
  <si>
    <t>+17-114-3889858</t>
  </si>
  <si>
    <t>alm7@logistica.com</t>
  </si>
  <si>
    <t>Ana Hernández</t>
  </si>
  <si>
    <t>2024-08-17</t>
  </si>
  <si>
    <t>ALM-08</t>
  </si>
  <si>
    <t>Almacén Buenos Aires Norte</t>
  </si>
  <si>
    <t>Carrera 30 #519-77, Buenos Aires</t>
  </si>
  <si>
    <t>90691</t>
  </si>
  <si>
    <t>+29-164-4399754</t>
  </si>
  <si>
    <t>alm8@logistica.com</t>
  </si>
  <si>
    <t>Satélite</t>
  </si>
  <si>
    <t>Juan Pérez</t>
  </si>
  <si>
    <t>2024-02-14</t>
  </si>
  <si>
    <t>ALM-09</t>
  </si>
  <si>
    <t>Almacén Toronto Este</t>
  </si>
  <si>
    <t>Carrera 55 #792-6, Toronto</t>
  </si>
  <si>
    <t>87736</t>
  </si>
  <si>
    <t>+23-443-2060687</t>
  </si>
  <si>
    <t>alm9@logistica.com</t>
  </si>
  <si>
    <t>María Pérez</t>
  </si>
  <si>
    <t>ALM-10</t>
  </si>
  <si>
    <t>Almacén Lima Oeste</t>
  </si>
  <si>
    <t>Carrera 63 #957-75, Lima</t>
  </si>
  <si>
    <t>15334</t>
  </si>
  <si>
    <t>+18-202-7310431</t>
  </si>
  <si>
    <t>alm10@logistica.com</t>
  </si>
  <si>
    <t>Juan Gómez</t>
  </si>
  <si>
    <t>2019-01-01</t>
  </si>
  <si>
    <t>Nombre Ruta</t>
  </si>
  <si>
    <t>Costo Base USD</t>
  </si>
  <si>
    <t>Costo por kg USD</t>
  </si>
  <si>
    <t>Costo por m3 USD</t>
  </si>
  <si>
    <t>Tiempo Estimado Días</t>
  </si>
  <si>
    <t>Destino</t>
  </si>
  <si>
    <t>Capacidad Máx kg</t>
  </si>
  <si>
    <t>Modalidad</t>
  </si>
  <si>
    <t>Seguro Incluido</t>
  </si>
  <si>
    <t>Tracking Disponible</t>
  </si>
  <si>
    <t>Fecha Contrato</t>
  </si>
  <si>
    <t>TR-001</t>
  </si>
  <si>
    <t>Ruta Internacional 1</t>
  </si>
  <si>
    <t>Marítimo</t>
  </si>
  <si>
    <t>UPS</t>
  </si>
  <si>
    <t>Express</t>
  </si>
  <si>
    <t>2019-12-27</t>
  </si>
  <si>
    <t>TR-002</t>
  </si>
  <si>
    <t>Ruta Norte-Sur 2</t>
  </si>
  <si>
    <t>Terrestre</t>
  </si>
  <si>
    <t>DB Schenker</t>
  </si>
  <si>
    <t>2022-02-06</t>
  </si>
  <si>
    <t>TR-003</t>
  </si>
  <si>
    <t>Ruta Regional 3</t>
  </si>
  <si>
    <t>Aéreo</t>
  </si>
  <si>
    <t>Económico</t>
  </si>
  <si>
    <t>2022-03-13</t>
  </si>
  <si>
    <t>TR-004</t>
  </si>
  <si>
    <t>Ruta Central 4</t>
  </si>
  <si>
    <t>Kuehne+Nagel</t>
  </si>
  <si>
    <t>2024-06-09</t>
  </si>
  <si>
    <t>TR-005</t>
  </si>
  <si>
    <t>Ruta Este-Oeste 5</t>
  </si>
  <si>
    <t>Multimodal</t>
  </si>
  <si>
    <t>FedEx</t>
  </si>
  <si>
    <t>LCL</t>
  </si>
  <si>
    <t>2020-02-06</t>
  </si>
  <si>
    <t>TR-006</t>
  </si>
  <si>
    <t>Ruta Regional 6</t>
  </si>
  <si>
    <t>Expeditors</t>
  </si>
  <si>
    <t>FCL</t>
  </si>
  <si>
    <t>2025-11-01</t>
  </si>
  <si>
    <t>TR-007</t>
  </si>
  <si>
    <t>Ruta Central 7</t>
  </si>
  <si>
    <t>Ferroviario</t>
  </si>
  <si>
    <t>Maersk</t>
  </si>
  <si>
    <t>FTL</t>
  </si>
  <si>
    <t>2019-09-02</t>
  </si>
  <si>
    <t>TR-008</t>
  </si>
  <si>
    <t>Ruta Regional 8</t>
  </si>
  <si>
    <t>2023-08-14</t>
  </si>
  <si>
    <t>TR-009</t>
  </si>
  <si>
    <t>Ruta Este-Oeste 9</t>
  </si>
  <si>
    <t>C.H. Robinson</t>
  </si>
  <si>
    <t>2021-06-29</t>
  </si>
  <si>
    <t>TR-010</t>
  </si>
  <si>
    <t>Ruta Norte-Sur 10</t>
  </si>
  <si>
    <t>2024-01-28</t>
  </si>
  <si>
    <t>TR-011</t>
  </si>
  <si>
    <t>Ruta Interior 11</t>
  </si>
  <si>
    <t>2024-05-19</t>
  </si>
  <si>
    <t>TR-012</t>
  </si>
  <si>
    <t>Ruta Costa 12</t>
  </si>
  <si>
    <t>TR-013</t>
  </si>
  <si>
    <t>Ruta Costa 13</t>
  </si>
  <si>
    <t>Panalpina</t>
  </si>
  <si>
    <t>2022-10-07</t>
  </si>
  <si>
    <t>TR-014</t>
  </si>
  <si>
    <t>Ruta Central 14</t>
  </si>
  <si>
    <t>XPO Logistics</t>
  </si>
  <si>
    <t>2019-10-02</t>
  </si>
  <si>
    <t>TR-015</t>
  </si>
  <si>
    <t>Ruta Este-Oeste 15</t>
  </si>
  <si>
    <t>2022-12-15</t>
  </si>
  <si>
    <t>TR-016</t>
  </si>
  <si>
    <t>Ruta Costa 16</t>
  </si>
  <si>
    <t>2024-12-22</t>
  </si>
  <si>
    <t>TR-017</t>
  </si>
  <si>
    <t>Ruta Central 17</t>
  </si>
  <si>
    <t>2019-11-12</t>
  </si>
  <si>
    <t>TR-018</t>
  </si>
  <si>
    <t>Ruta Norte-Sur 18</t>
  </si>
  <si>
    <t>LTL</t>
  </si>
  <si>
    <t>2023-09-17</t>
  </si>
  <si>
    <t>TR-019</t>
  </si>
  <si>
    <t>Ruta Norte-Sur 19</t>
  </si>
  <si>
    <t>2025-08-27</t>
  </si>
  <si>
    <t>TR-020</t>
  </si>
  <si>
    <t>Ruta Costa 20</t>
  </si>
  <si>
    <t>2020-08-30</t>
  </si>
  <si>
    <t>TR-021</t>
  </si>
  <si>
    <t>Ruta Este-Oeste 21</t>
  </si>
  <si>
    <t>TNT</t>
  </si>
  <si>
    <t>2020-04-23</t>
  </si>
  <si>
    <t>TR-022</t>
  </si>
  <si>
    <t>Ruta Este-Oeste 22</t>
  </si>
  <si>
    <t>2025-01-20</t>
  </si>
  <si>
    <t>TR-023</t>
  </si>
  <si>
    <t>Ruta Norte-Sur 23</t>
  </si>
  <si>
    <t>2024-04-25</t>
  </si>
  <si>
    <t>TR-024</t>
  </si>
  <si>
    <t>Ruta Este-Oeste 24</t>
  </si>
  <si>
    <t>CEVA Logistics</t>
  </si>
  <si>
    <t>2019-04-12</t>
  </si>
  <si>
    <t>TR-025</t>
  </si>
  <si>
    <t>Ruta Este-Oeste 25</t>
  </si>
  <si>
    <t>2019-04-03</t>
  </si>
  <si>
    <t>ID Línea</t>
  </si>
  <si>
    <t>Almacén</t>
  </si>
  <si>
    <t>Zona</t>
  </si>
  <si>
    <t>Ubicación Específica</t>
  </si>
  <si>
    <t>Stock Físico</t>
  </si>
  <si>
    <t>Reservado</t>
  </si>
  <si>
    <t>Disponible</t>
  </si>
  <si>
    <t>Stock Mínimo</t>
  </si>
  <si>
    <t>Stock Máximo</t>
  </si>
  <si>
    <t>Costo Unitario USD</t>
  </si>
  <si>
    <t>Valor Inventario USD</t>
  </si>
  <si>
    <t>Fecha Última Entrada</t>
  </si>
  <si>
    <t>Fecha Última Salida</t>
  </si>
  <si>
    <t>Rotación Anual</t>
  </si>
  <si>
    <t>INV-00001</t>
  </si>
  <si>
    <t>F-20</t>
  </si>
  <si>
    <t>Estante 39-Nivel 5</t>
  </si>
  <si>
    <t>2024-08-06</t>
  </si>
  <si>
    <t>2024-07-08</t>
  </si>
  <si>
    <t>INV-00002</t>
  </si>
  <si>
    <t>H-18</t>
  </si>
  <si>
    <t>Estante 6-Nivel 2</t>
  </si>
  <si>
    <t>2024-05-27</t>
  </si>
  <si>
    <t>2024-03-24</t>
  </si>
  <si>
    <t>Dañado</t>
  </si>
  <si>
    <t>INV-00003</t>
  </si>
  <si>
    <t>B-05</t>
  </si>
  <si>
    <t>Estante 14-Nivel 3</t>
  </si>
  <si>
    <t>2025-01-22</t>
  </si>
  <si>
    <t>2024-07-11</t>
  </si>
  <si>
    <t>INV-00004</t>
  </si>
  <si>
    <t>H-19</t>
  </si>
  <si>
    <t>Estante 49-Nivel 2</t>
  </si>
  <si>
    <t>2024-01-22</t>
  </si>
  <si>
    <t>Bloqueado</t>
  </si>
  <si>
    <t>INV-00005</t>
  </si>
  <si>
    <t>A-01</t>
  </si>
  <si>
    <t>Estante 10-Nivel 3</t>
  </si>
  <si>
    <t>2024-12-06</t>
  </si>
  <si>
    <t>2025-04-02</t>
  </si>
  <si>
    <t>INV-00006</t>
  </si>
  <si>
    <t>E-16</t>
  </si>
  <si>
    <t>Estante 5-Nivel 5</t>
  </si>
  <si>
    <t>2024-05-12</t>
  </si>
  <si>
    <t>2024-11-17</t>
  </si>
  <si>
    <t>INV-00007</t>
  </si>
  <si>
    <t>E-06</t>
  </si>
  <si>
    <t>Estante 38-Nivel 1</t>
  </si>
  <si>
    <t>INV-00008</t>
  </si>
  <si>
    <t>E-17</t>
  </si>
  <si>
    <t>Estante 41-Nivel 1</t>
  </si>
  <si>
    <t>2024-11-02</t>
  </si>
  <si>
    <t>En cuarentena</t>
  </si>
  <si>
    <t>INV-00009</t>
  </si>
  <si>
    <t>F-04</t>
  </si>
  <si>
    <t>Estante 35-Nivel 5</t>
  </si>
  <si>
    <t>2025-02-02</t>
  </si>
  <si>
    <t>2024-09-05</t>
  </si>
  <si>
    <t>INV-00010</t>
  </si>
  <si>
    <t>D-07</t>
  </si>
  <si>
    <t>Estante 36-Nivel 5</t>
  </si>
  <si>
    <t>2025-02-14</t>
  </si>
  <si>
    <t>En tránsito</t>
  </si>
  <si>
    <t>INV-00011</t>
  </si>
  <si>
    <t>H-12</t>
  </si>
  <si>
    <t>Estante 20-Nivel 3</t>
  </si>
  <si>
    <t>2024-06-24</t>
  </si>
  <si>
    <t>INV-00012</t>
  </si>
  <si>
    <t>C-08</t>
  </si>
  <si>
    <t>Estante 20-Nivel 2</t>
  </si>
  <si>
    <t>2024-02-27</t>
  </si>
  <si>
    <t>2024-02-09</t>
  </si>
  <si>
    <t>INV-00013</t>
  </si>
  <si>
    <t>B-02</t>
  </si>
  <si>
    <t>Estante 43-Nivel 5</t>
  </si>
  <si>
    <t>2024-02-03</t>
  </si>
  <si>
    <t>2024-06-03</t>
  </si>
  <si>
    <t>INV-00014</t>
  </si>
  <si>
    <t>D-06</t>
  </si>
  <si>
    <t>Estante 43-Nivel 3</t>
  </si>
  <si>
    <t>2024-10-23</t>
  </si>
  <si>
    <t>INV-00015</t>
  </si>
  <si>
    <t>B-04</t>
  </si>
  <si>
    <t>2025-04-06</t>
  </si>
  <si>
    <t>2025-01-21</t>
  </si>
  <si>
    <t>INV-00016</t>
  </si>
  <si>
    <t>C-15</t>
  </si>
  <si>
    <t>Estante 44-Nivel 1</t>
  </si>
  <si>
    <t>2024-07-27</t>
  </si>
  <si>
    <t>INV-00017</t>
  </si>
  <si>
    <t>C-16</t>
  </si>
  <si>
    <t>Estante 49-Nivel 3</t>
  </si>
  <si>
    <t>2024-09-09</t>
  </si>
  <si>
    <t>2024-02-29</t>
  </si>
  <si>
    <t>INV-00018</t>
  </si>
  <si>
    <t>G-10</t>
  </si>
  <si>
    <t>Estante 28-Nivel 2</t>
  </si>
  <si>
    <t>2024-12-11</t>
  </si>
  <si>
    <t>INV-00019</t>
  </si>
  <si>
    <t>C-13</t>
  </si>
  <si>
    <t>Estante 26-Nivel 5</t>
  </si>
  <si>
    <t>2024-07-05</t>
  </si>
  <si>
    <t>2025-05-14</t>
  </si>
  <si>
    <t>INV-00020</t>
  </si>
  <si>
    <t>G-16</t>
  </si>
  <si>
    <t>Estante 18-Nivel 5</t>
  </si>
  <si>
    <t>2024-07-23</t>
  </si>
  <si>
    <t>2024-07-01</t>
  </si>
  <si>
    <t>INV-00021</t>
  </si>
  <si>
    <t>H-04</t>
  </si>
  <si>
    <t>Estante 8-Nivel 3</t>
  </si>
  <si>
    <t>2024-02-20</t>
  </si>
  <si>
    <t>2025-01-12</t>
  </si>
  <si>
    <t>INV-00022</t>
  </si>
  <si>
    <t>F-05</t>
  </si>
  <si>
    <t>Estante 20-Nivel 5</t>
  </si>
  <si>
    <t>2025-01-27</t>
  </si>
  <si>
    <t>INV-00023</t>
  </si>
  <si>
    <t>E-18</t>
  </si>
  <si>
    <t>Estante 22-Nivel 5</t>
  </si>
  <si>
    <t>2025-03-26</t>
  </si>
  <si>
    <t>2025-04-13</t>
  </si>
  <si>
    <t>INV-00024</t>
  </si>
  <si>
    <t>A-02</t>
  </si>
  <si>
    <t>Estante 12-Nivel 5</t>
  </si>
  <si>
    <t>2024-08-08</t>
  </si>
  <si>
    <t>2024-03-09</t>
  </si>
  <si>
    <t>INV-00025</t>
  </si>
  <si>
    <t>Estante 44-Nivel 5</t>
  </si>
  <si>
    <t>2024-07-19</t>
  </si>
  <si>
    <t>INV-00026</t>
  </si>
  <si>
    <t>2025-01-26</t>
  </si>
  <si>
    <t>2025-04-01</t>
  </si>
  <si>
    <t>INV-00027</t>
  </si>
  <si>
    <t>G-12</t>
  </si>
  <si>
    <t>Estante 4-Nivel 2</t>
  </si>
  <si>
    <t>2024-12-18</t>
  </si>
  <si>
    <t>INV-00028</t>
  </si>
  <si>
    <t>F-02</t>
  </si>
  <si>
    <t>Estante 30-Nivel 4</t>
  </si>
  <si>
    <t>2024-08-28</t>
  </si>
  <si>
    <t>2024-10-28</t>
  </si>
  <si>
    <t>INV-00029</t>
  </si>
  <si>
    <t>B-16</t>
  </si>
  <si>
    <t>Estante 7-Nivel 2</t>
  </si>
  <si>
    <t>2024-03-26</t>
  </si>
  <si>
    <t>2024-11-10</t>
  </si>
  <si>
    <t>INV-00030</t>
  </si>
  <si>
    <t>D-10</t>
  </si>
  <si>
    <t>Estante 17-Nivel 1</t>
  </si>
  <si>
    <t>2025-05-05</t>
  </si>
  <si>
    <t>2024-02-17</t>
  </si>
  <si>
    <t>INV-00031</t>
  </si>
  <si>
    <t>H-14</t>
  </si>
  <si>
    <t>2024-08-09</t>
  </si>
  <si>
    <t>INV-00032</t>
  </si>
  <si>
    <t>Estante 12-Nivel 1</t>
  </si>
  <si>
    <t>2024-04-19</t>
  </si>
  <si>
    <t>2024-12-04</t>
  </si>
  <si>
    <t>INV-00033</t>
  </si>
  <si>
    <t>A-17</t>
  </si>
  <si>
    <t>Estante 13-Nivel 3</t>
  </si>
  <si>
    <t>2025-03-08</t>
  </si>
  <si>
    <t>INV-00034</t>
  </si>
  <si>
    <t>Estante 17-Nivel 5</t>
  </si>
  <si>
    <t>2024-05-05</t>
  </si>
  <si>
    <t>2025-02-12</t>
  </si>
  <si>
    <t>INV-00035</t>
  </si>
  <si>
    <t>A-07</t>
  </si>
  <si>
    <t>Estante 11-Nivel 3</t>
  </si>
  <si>
    <t>2024-10-08</t>
  </si>
  <si>
    <t>INV-00036</t>
  </si>
  <si>
    <t>B-11</t>
  </si>
  <si>
    <t>Estante 39-Nivel 3</t>
  </si>
  <si>
    <t>2024-02-16</t>
  </si>
  <si>
    <t>2024-07-22</t>
  </si>
  <si>
    <t>INV-00037</t>
  </si>
  <si>
    <t>B-17</t>
  </si>
  <si>
    <t>2024-11-03</t>
  </si>
  <si>
    <t>2024-03-03</t>
  </si>
  <si>
    <t>INV-00038</t>
  </si>
  <si>
    <t>D-14</t>
  </si>
  <si>
    <t>Estante 14-Nivel 2</t>
  </si>
  <si>
    <t>2024-05-10</t>
  </si>
  <si>
    <t>2025-03-17</t>
  </si>
  <si>
    <t>INV-00039</t>
  </si>
  <si>
    <t>Estante 44-Nivel 2</t>
  </si>
  <si>
    <t>2024-06-06</t>
  </si>
  <si>
    <t>2024-01-11</t>
  </si>
  <si>
    <t>INV-00040</t>
  </si>
  <si>
    <t>Estante 41-Nivel 3</t>
  </si>
  <si>
    <t>2024-08-14</t>
  </si>
  <si>
    <t>2024-07-17</t>
  </si>
  <si>
    <t>INV-00041</t>
  </si>
  <si>
    <t>E-07</t>
  </si>
  <si>
    <t>Estante 11-Nivel 4</t>
  </si>
  <si>
    <t>2025-02-08</t>
  </si>
  <si>
    <t>2024-01-18</t>
  </si>
  <si>
    <t>INV-00042</t>
  </si>
  <si>
    <t>G-11</t>
  </si>
  <si>
    <t>Estante 46-Nivel 4</t>
  </si>
  <si>
    <t>2024-08-03</t>
  </si>
  <si>
    <t>2024-11-04</t>
  </si>
  <si>
    <t>INV-00043</t>
  </si>
  <si>
    <t>Estante 42-Nivel 2</t>
  </si>
  <si>
    <t>2024-02-12</t>
  </si>
  <si>
    <t>2024-02-26</t>
  </si>
  <si>
    <t>INV-00044</t>
  </si>
  <si>
    <t>H-05</t>
  </si>
  <si>
    <t>Estante 17-Nivel 2</t>
  </si>
  <si>
    <t>2024-02-13</t>
  </si>
  <si>
    <t>2024-07-31</t>
  </si>
  <si>
    <t>INV-00045</t>
  </si>
  <si>
    <t>A-18</t>
  </si>
  <si>
    <t>Estante 42-Nivel 5</t>
  </si>
  <si>
    <t>2024-05-14</t>
  </si>
  <si>
    <t>2024-12-25</t>
  </si>
  <si>
    <t>INV-00046</t>
  </si>
  <si>
    <t>E-05</t>
  </si>
  <si>
    <t>Estante 6-Nivel 3</t>
  </si>
  <si>
    <t>2025-01-30</t>
  </si>
  <si>
    <t>2025-04-16</t>
  </si>
  <si>
    <t>INV-00047</t>
  </si>
  <si>
    <t>E-10</t>
  </si>
  <si>
    <t>Estante 48-Nivel 4</t>
  </si>
  <si>
    <t>2024-05-24</t>
  </si>
  <si>
    <t>INV-00048</t>
  </si>
  <si>
    <t>C-01</t>
  </si>
  <si>
    <t>Estante 19-Nivel 3</t>
  </si>
  <si>
    <t>2024-12-16</t>
  </si>
  <si>
    <t>2024-11-27</t>
  </si>
  <si>
    <t>INV-00049</t>
  </si>
  <si>
    <t>G-07</t>
  </si>
  <si>
    <t>2024-10-12</t>
  </si>
  <si>
    <t>2024-01-31</t>
  </si>
  <si>
    <t>INV-00050</t>
  </si>
  <si>
    <t>Estante 40-Nivel 4</t>
  </si>
  <si>
    <t>2024-10-13</t>
  </si>
  <si>
    <t>INV-00051</t>
  </si>
  <si>
    <t>2024-01-23</t>
  </si>
  <si>
    <t>2024-03-06</t>
  </si>
  <si>
    <t>INV-00052</t>
  </si>
  <si>
    <t>E-20</t>
  </si>
  <si>
    <t>INV-00053</t>
  </si>
  <si>
    <t>Estante 3-Nivel 4</t>
  </si>
  <si>
    <t>2025-04-03</t>
  </si>
  <si>
    <t>2025-04-19</t>
  </si>
  <si>
    <t>INV-00054</t>
  </si>
  <si>
    <t>Estante 47-Nivel 2</t>
  </si>
  <si>
    <t>2025-03-03</t>
  </si>
  <si>
    <t>2024-03-27</t>
  </si>
  <si>
    <t>INV-00055</t>
  </si>
  <si>
    <t>Estante 50-Nivel 5</t>
  </si>
  <si>
    <t>2024-12-12</t>
  </si>
  <si>
    <t>2024-02-18</t>
  </si>
  <si>
    <t>INV-00056</t>
  </si>
  <si>
    <t>Estante 10-Nivel 1</t>
  </si>
  <si>
    <t>2025-05-04</t>
  </si>
  <si>
    <t>INV-00057</t>
  </si>
  <si>
    <t>C-07</t>
  </si>
  <si>
    <t>Estante 4-Nivel 3</t>
  </si>
  <si>
    <t>2024-07-14</t>
  </si>
  <si>
    <t>INV-00058</t>
  </si>
  <si>
    <t>Estante 25-Nivel 4</t>
  </si>
  <si>
    <t>2024-06-01</t>
  </si>
  <si>
    <t>INV-00059</t>
  </si>
  <si>
    <t>B-12</t>
  </si>
  <si>
    <t>Estante 33-Nivel 2</t>
  </si>
  <si>
    <t>2024-08-04</t>
  </si>
  <si>
    <t>INV-00060</t>
  </si>
  <si>
    <t>G-03</t>
  </si>
  <si>
    <t>Estante 3-Nivel 5</t>
  </si>
  <si>
    <t>2024-03-20</t>
  </si>
  <si>
    <t>2025-04-21</t>
  </si>
  <si>
    <t>INV-00061</t>
  </si>
  <si>
    <t>H-10</t>
  </si>
  <si>
    <t>Estante 10-Nivel 2</t>
  </si>
  <si>
    <t>2024-10-18</t>
  </si>
  <si>
    <t>2024-01-25</t>
  </si>
  <si>
    <t>INV-00062</t>
  </si>
  <si>
    <t>G-04</t>
  </si>
  <si>
    <t>Estante 30-Nivel 5</t>
  </si>
  <si>
    <t>2024-01-09</t>
  </si>
  <si>
    <t>2024-02-28</t>
  </si>
  <si>
    <t>INV-00063</t>
  </si>
  <si>
    <t>B-14</t>
  </si>
  <si>
    <t>Estante 46-Nivel 3</t>
  </si>
  <si>
    <t>2024-11-15</t>
  </si>
  <si>
    <t>2025-02-17</t>
  </si>
  <si>
    <t>INV-00064</t>
  </si>
  <si>
    <t>E-04</t>
  </si>
  <si>
    <t>Estante 28-Nivel 5</t>
  </si>
  <si>
    <t>2024-09-01</t>
  </si>
  <si>
    <t>2024-08-23</t>
  </si>
  <si>
    <t>INV-00065</t>
  </si>
  <si>
    <t>2024-04-06</t>
  </si>
  <si>
    <t>INV-00066</t>
  </si>
  <si>
    <t>D-03</t>
  </si>
  <si>
    <t>Estante 20-Nivel 4</t>
  </si>
  <si>
    <t>2024-03-19</t>
  </si>
  <si>
    <t>2025-01-13</t>
  </si>
  <si>
    <t>INV-00067</t>
  </si>
  <si>
    <t>Estante 19-Nivel 5</t>
  </si>
  <si>
    <t>2024-12-31</t>
  </si>
  <si>
    <t>INV-00068</t>
  </si>
  <si>
    <t>A-16</t>
  </si>
  <si>
    <t>Estante 26-Nivel 4</t>
  </si>
  <si>
    <t>2025-02-22</t>
  </si>
  <si>
    <t>2025-03-20</t>
  </si>
  <si>
    <t>INV-00069</t>
  </si>
  <si>
    <t>F-18</t>
  </si>
  <si>
    <t>Estante 5-Nivel 3</t>
  </si>
  <si>
    <t>2025-04-25</t>
  </si>
  <si>
    <t>2024-11-26</t>
  </si>
  <si>
    <t>INV-00070</t>
  </si>
  <si>
    <t>D-16</t>
  </si>
  <si>
    <t>Estante 23-Nivel 4</t>
  </si>
  <si>
    <t>INV-00071</t>
  </si>
  <si>
    <t>F-16</t>
  </si>
  <si>
    <t>Estante 11-Nivel 5</t>
  </si>
  <si>
    <t>2024-03-07</t>
  </si>
  <si>
    <t>2024-03-29</t>
  </si>
  <si>
    <t>INV-00072</t>
  </si>
  <si>
    <t>Estante 36-Nivel 1</t>
  </si>
  <si>
    <t>2024-03-30</t>
  </si>
  <si>
    <t>2025-02-27</t>
  </si>
  <si>
    <t>INV-00073</t>
  </si>
  <si>
    <t>D-04</t>
  </si>
  <si>
    <t>Estante 36-Nivel 2</t>
  </si>
  <si>
    <t>2025-01-29</t>
  </si>
  <si>
    <t>2025-03-25</t>
  </si>
  <si>
    <t>INV-00074</t>
  </si>
  <si>
    <t>A-15</t>
  </si>
  <si>
    <t>Estante 30-Nivel 1</t>
  </si>
  <si>
    <t>2024-02-22</t>
  </si>
  <si>
    <t>INV-00075</t>
  </si>
  <si>
    <t>C-10</t>
  </si>
  <si>
    <t>INV-00076</t>
  </si>
  <si>
    <t>A-08</t>
  </si>
  <si>
    <t>Estante 31-Nivel 3</t>
  </si>
  <si>
    <t>INV-00077</t>
  </si>
  <si>
    <t>D-05</t>
  </si>
  <si>
    <t>Estante 28-Nivel 4</t>
  </si>
  <si>
    <t>2024-07-04</t>
  </si>
  <si>
    <t>2025-04-28</t>
  </si>
  <si>
    <t>INV-00078</t>
  </si>
  <si>
    <t>Estante 21-Nivel 4</t>
  </si>
  <si>
    <t>2025-04-17</t>
  </si>
  <si>
    <t>INV-00079</t>
  </si>
  <si>
    <t>G-18</t>
  </si>
  <si>
    <t>INV-00080</t>
  </si>
  <si>
    <t>Estante 42-Nivel 4</t>
  </si>
  <si>
    <t>2024-06-20</t>
  </si>
  <si>
    <t>2024-07-18</t>
  </si>
  <si>
    <t>INV-00081</t>
  </si>
  <si>
    <t>Estante 36-Nivel 3</t>
  </si>
  <si>
    <t>2025-03-31</t>
  </si>
  <si>
    <t>INV-00082</t>
  </si>
  <si>
    <t>Estante 24-Nivel 3</t>
  </si>
  <si>
    <t>2025-04-26</t>
  </si>
  <si>
    <t>2024-03-04</t>
  </si>
  <si>
    <t>INV-00083</t>
  </si>
  <si>
    <t>D-12</t>
  </si>
  <si>
    <t>INV-00084</t>
  </si>
  <si>
    <t>F-15</t>
  </si>
  <si>
    <t>2024-08-05</t>
  </si>
  <si>
    <t>2025-03-30</t>
  </si>
  <si>
    <t>INV-00085</t>
  </si>
  <si>
    <t>G-19</t>
  </si>
  <si>
    <t>2024-08-13</t>
  </si>
  <si>
    <t>INV-00086</t>
  </si>
  <si>
    <t>2024-04-18</t>
  </si>
  <si>
    <t>2024-08-21</t>
  </si>
  <si>
    <t>INV-00087</t>
  </si>
  <si>
    <t>2024-06-05</t>
  </si>
  <si>
    <t>2024-07-10</t>
  </si>
  <si>
    <t>INV-00088</t>
  </si>
  <si>
    <t>G-02</t>
  </si>
  <si>
    <t>2024-10-07</t>
  </si>
  <si>
    <t>2024-06-27</t>
  </si>
  <si>
    <t>INV-00089</t>
  </si>
  <si>
    <t>H-11</t>
  </si>
  <si>
    <t>2025-01-24</t>
  </si>
  <si>
    <t>INV-00090</t>
  </si>
  <si>
    <t>G-13</t>
  </si>
  <si>
    <t>Estante 15-Nivel 4</t>
  </si>
  <si>
    <t>2025-01-11</t>
  </si>
  <si>
    <t>2024-05-22</t>
  </si>
  <si>
    <t>INV-00091</t>
  </si>
  <si>
    <t>Estante 42-Nivel 1</t>
  </si>
  <si>
    <t>2024-10-22</t>
  </si>
  <si>
    <t>INV-00092</t>
  </si>
  <si>
    <t>B-18</t>
  </si>
  <si>
    <t>2024-08-15</t>
  </si>
  <si>
    <t>INV-00093</t>
  </si>
  <si>
    <t>A-11</t>
  </si>
  <si>
    <t>INV-00094</t>
  </si>
  <si>
    <t>2024-01-14</t>
  </si>
  <si>
    <t>INV-00095</t>
  </si>
  <si>
    <t>F-09</t>
  </si>
  <si>
    <t>Estante 25-Nivel 1</t>
  </si>
  <si>
    <t>2024-09-17</t>
  </si>
  <si>
    <t>INV-00096</t>
  </si>
  <si>
    <t>Estante 27-Nivel 1</t>
  </si>
  <si>
    <t>2024-01-10</t>
  </si>
  <si>
    <t>2024-05-17</t>
  </si>
  <si>
    <t>INV-00097</t>
  </si>
  <si>
    <t>G-15</t>
  </si>
  <si>
    <t>Estante 6-Nivel 5</t>
  </si>
  <si>
    <t>2025-02-04</t>
  </si>
  <si>
    <t>INV-00098</t>
  </si>
  <si>
    <t>H-20</t>
  </si>
  <si>
    <t>Estante 19-Nivel 2</t>
  </si>
  <si>
    <t>2024-05-08</t>
  </si>
  <si>
    <t>2025-03-05</t>
  </si>
  <si>
    <t>INV-00099</t>
  </si>
  <si>
    <t>E-02</t>
  </si>
  <si>
    <t>2025-03-01</t>
  </si>
  <si>
    <t>2024-03-12</t>
  </si>
  <si>
    <t>INV-00100</t>
  </si>
  <si>
    <t>Estante 49-Nivel 4</t>
  </si>
  <si>
    <t>2025-05-06</t>
  </si>
  <si>
    <t>INV-00101</t>
  </si>
  <si>
    <t>2024-07-20</t>
  </si>
  <si>
    <t>2024-10-02</t>
  </si>
  <si>
    <t>INV-00102</t>
  </si>
  <si>
    <t>Estante 25-Nivel 5</t>
  </si>
  <si>
    <t>INV-00103</t>
  </si>
  <si>
    <t>A-09</t>
  </si>
  <si>
    <t>Estante 44-Nivel 3</t>
  </si>
  <si>
    <t>2025-01-02</t>
  </si>
  <si>
    <t>2024-04-23</t>
  </si>
  <si>
    <t>INV-00104</t>
  </si>
  <si>
    <t>D-01</t>
  </si>
  <si>
    <t>Estante 13-Nivel 4</t>
  </si>
  <si>
    <t>2024-04-09</t>
  </si>
  <si>
    <t>2024-12-03</t>
  </si>
  <si>
    <t>INV-00105</t>
  </si>
  <si>
    <t>2024-12-13</t>
  </si>
  <si>
    <t>2024-01-12</t>
  </si>
  <si>
    <t>INV-00106</t>
  </si>
  <si>
    <t>2024-09-21</t>
  </si>
  <si>
    <t>INV-00107</t>
  </si>
  <si>
    <t>Estante 1-Nivel 4</t>
  </si>
  <si>
    <t>INV-00108</t>
  </si>
  <si>
    <t>F-10</t>
  </si>
  <si>
    <t>Estante 5-Nivel 1</t>
  </si>
  <si>
    <t>2024-11-16</t>
  </si>
  <si>
    <t>2025-04-23</t>
  </si>
  <si>
    <t>INV-00109</t>
  </si>
  <si>
    <t>2024-08-12</t>
  </si>
  <si>
    <t>INV-00110</t>
  </si>
  <si>
    <t>A-13</t>
  </si>
  <si>
    <t>Estante 21-Nivel 1</t>
  </si>
  <si>
    <t>2024-11-08</t>
  </si>
  <si>
    <t>INV-00111</t>
  </si>
  <si>
    <t>E-13</t>
  </si>
  <si>
    <t>Estante 26-Nivel 1</t>
  </si>
  <si>
    <t>INV-00112</t>
  </si>
  <si>
    <t>Estante 34-Nivel 3</t>
  </si>
  <si>
    <t>2024-02-04</t>
  </si>
  <si>
    <t>2024-10-30</t>
  </si>
  <si>
    <t>INV-00113</t>
  </si>
  <si>
    <t>F-14</t>
  </si>
  <si>
    <t>Estante 31-Nivel 5</t>
  </si>
  <si>
    <t>2024-06-08</t>
  </si>
  <si>
    <t>INV-00114</t>
  </si>
  <si>
    <t>C-05</t>
  </si>
  <si>
    <t>2024-12-02</t>
  </si>
  <si>
    <t>INV-00115</t>
  </si>
  <si>
    <t>Estante 13-Nivel 2</t>
  </si>
  <si>
    <t>2024-12-21</t>
  </si>
  <si>
    <t>INV-00116</t>
  </si>
  <si>
    <t>2024-09-10</t>
  </si>
  <si>
    <t>INV-00117</t>
  </si>
  <si>
    <t>D-08</t>
  </si>
  <si>
    <t>2024-01-04</t>
  </si>
  <si>
    <t>INV-00118</t>
  </si>
  <si>
    <t>E-15</t>
  </si>
  <si>
    <t>Estante 13-Nivel 5</t>
  </si>
  <si>
    <t>2024-05-25</t>
  </si>
  <si>
    <t>INV-00119</t>
  </si>
  <si>
    <t>Estante 13-Nivel 1</t>
  </si>
  <si>
    <t>2024-07-13</t>
  </si>
  <si>
    <t>INV-00120</t>
  </si>
  <si>
    <t>Estante 24-Nivel 2</t>
  </si>
  <si>
    <t>2024-03-01</t>
  </si>
  <si>
    <t>2024-03-14</t>
  </si>
  <si>
    <t>INV-00121</t>
  </si>
  <si>
    <t>F-11</t>
  </si>
  <si>
    <t>Estante 39-Nivel 4</t>
  </si>
  <si>
    <t>2025-03-13</t>
  </si>
  <si>
    <t>INV-00122</t>
  </si>
  <si>
    <t>Estante 33-Nivel 5</t>
  </si>
  <si>
    <t>2024-12-05</t>
  </si>
  <si>
    <t>INV-00123</t>
  </si>
  <si>
    <t>H-06</t>
  </si>
  <si>
    <t>Estante 21-Nivel 3</t>
  </si>
  <si>
    <t>2024-10-24</t>
  </si>
  <si>
    <t>INV-00124</t>
  </si>
  <si>
    <t>D-13</t>
  </si>
  <si>
    <t>INV-00125</t>
  </si>
  <si>
    <t>D-19</t>
  </si>
  <si>
    <t>2024-07-28</t>
  </si>
  <si>
    <t>2024-07-07</t>
  </si>
  <si>
    <t>INV-00126</t>
  </si>
  <si>
    <t>H-08</t>
  </si>
  <si>
    <t>2024-11-25</t>
  </si>
  <si>
    <t>2024-02-10</t>
  </si>
  <si>
    <t>INV-00127</t>
  </si>
  <si>
    <t>2025-01-28</t>
  </si>
  <si>
    <t>2024-12-15</t>
  </si>
  <si>
    <t>INV-00128</t>
  </si>
  <si>
    <t>E-01</t>
  </si>
  <si>
    <t>Estante 50-Nivel 3</t>
  </si>
  <si>
    <t>2025-02-24</t>
  </si>
  <si>
    <t>INV-00129</t>
  </si>
  <si>
    <t>2024-08-27</t>
  </si>
  <si>
    <t>2025-01-04</t>
  </si>
  <si>
    <t>INV-00130</t>
  </si>
  <si>
    <t>Estante 29-Nivel 4</t>
  </si>
  <si>
    <t>2025-04-27</t>
  </si>
  <si>
    <t>INV-00131</t>
  </si>
  <si>
    <t>G-14</t>
  </si>
  <si>
    <t>Estante 44-Nivel 4</t>
  </si>
  <si>
    <t>2024-10-17</t>
  </si>
  <si>
    <t>INV-00132</t>
  </si>
  <si>
    <t>Estante 14-Nivel 4</t>
  </si>
  <si>
    <t>2025-05-07</t>
  </si>
  <si>
    <t>INV-00133</t>
  </si>
  <si>
    <t>C-02</t>
  </si>
  <si>
    <t>Estante 45-Nivel 5</t>
  </si>
  <si>
    <t>2024-07-16</t>
  </si>
  <si>
    <t>INV-00134</t>
  </si>
  <si>
    <t>A-12</t>
  </si>
  <si>
    <t>Estante 34-Nivel 1</t>
  </si>
  <si>
    <t>INV-00135</t>
  </si>
  <si>
    <t>2024-06-07</t>
  </si>
  <si>
    <t>INV-00136</t>
  </si>
  <si>
    <t>H-03</t>
  </si>
  <si>
    <t>INV-00137</t>
  </si>
  <si>
    <t>Estante 45-Nivel 3</t>
  </si>
  <si>
    <t>2024-05-07</t>
  </si>
  <si>
    <t>2024-04-01</t>
  </si>
  <si>
    <t>INV-00138</t>
  </si>
  <si>
    <t>B-13</t>
  </si>
  <si>
    <t>Estante 45-Nivel 1</t>
  </si>
  <si>
    <t>2024-12-07</t>
  </si>
  <si>
    <t>2025-04-14</t>
  </si>
  <si>
    <t>INV-00139</t>
  </si>
  <si>
    <t>F-03</t>
  </si>
  <si>
    <t>Estante 49-Nivel 1</t>
  </si>
  <si>
    <t>2024-05-09</t>
  </si>
  <si>
    <t>2024-04-16</t>
  </si>
  <si>
    <t>INV-00140</t>
  </si>
  <si>
    <t>F-13</t>
  </si>
  <si>
    <t>2024-06-16</t>
  </si>
  <si>
    <t>2024-12-09</t>
  </si>
  <si>
    <t>INV-00141</t>
  </si>
  <si>
    <t>D-15</t>
  </si>
  <si>
    <t>Estante 9-Nivel 4</t>
  </si>
  <si>
    <t>2024-05-30</t>
  </si>
  <si>
    <t>INV-00142</t>
  </si>
  <si>
    <t>Estante 29-Nivel 3</t>
  </si>
  <si>
    <t>2024-04-20</t>
  </si>
  <si>
    <t>INV-00143</t>
  </si>
  <si>
    <t>Estante 50-Nivel 4</t>
  </si>
  <si>
    <t>2024-04-12</t>
  </si>
  <si>
    <t>INV-00144</t>
  </si>
  <si>
    <t>B-08</t>
  </si>
  <si>
    <t>2024-06-14</t>
  </si>
  <si>
    <t>INV-00145</t>
  </si>
  <si>
    <t>Estante 15-Nivel 2</t>
  </si>
  <si>
    <t>2024-06-10</t>
  </si>
  <si>
    <t>2024-01-07</t>
  </si>
  <si>
    <t>INV-00146</t>
  </si>
  <si>
    <t>Estante 5-Nivel 2</t>
  </si>
  <si>
    <t>2024-12-30</t>
  </si>
  <si>
    <t>INV-00147</t>
  </si>
  <si>
    <t>G-05</t>
  </si>
  <si>
    <t>Estante 22-Nivel 2</t>
  </si>
  <si>
    <t>2024-09-03</t>
  </si>
  <si>
    <t>INV-00148</t>
  </si>
  <si>
    <t>D-17</t>
  </si>
  <si>
    <t>2024-05-01</t>
  </si>
  <si>
    <t>INV-00149</t>
  </si>
  <si>
    <t>2025-01-06</t>
  </si>
  <si>
    <t>INV-00150</t>
  </si>
  <si>
    <t>Estante 34-Nivel 4</t>
  </si>
  <si>
    <t>2024-06-18</t>
  </si>
  <si>
    <t>INV-00151</t>
  </si>
  <si>
    <t>G-17</t>
  </si>
  <si>
    <t>Estante 21-Nivel 2</t>
  </si>
  <si>
    <t>2025-05-03</t>
  </si>
  <si>
    <t>2024-04-08</t>
  </si>
  <si>
    <t>INV-00152</t>
  </si>
  <si>
    <t>Estante 33-Nivel 1</t>
  </si>
  <si>
    <t>INV-00153</t>
  </si>
  <si>
    <t>D-09</t>
  </si>
  <si>
    <t>Estante 31-Nivel 1</t>
  </si>
  <si>
    <t>2024-09-15</t>
  </si>
  <si>
    <t>INV-00154</t>
  </si>
  <si>
    <t>B-10</t>
  </si>
  <si>
    <t>2024-08-20</t>
  </si>
  <si>
    <t>INV-00155</t>
  </si>
  <si>
    <t>H-07</t>
  </si>
  <si>
    <t>2024-07-26</t>
  </si>
  <si>
    <t>INV-00156</t>
  </si>
  <si>
    <t>E-19</t>
  </si>
  <si>
    <t>Estante 5-Nivel 4</t>
  </si>
  <si>
    <t>2025-01-25</t>
  </si>
  <si>
    <t>2024-08-11</t>
  </si>
  <si>
    <t>INV-00157</t>
  </si>
  <si>
    <t>2024-12-27</t>
  </si>
  <si>
    <t>INV-00158</t>
  </si>
  <si>
    <t>C-09</t>
  </si>
  <si>
    <t>Estante 16-Nivel 5</t>
  </si>
  <si>
    <t>INV-00159</t>
  </si>
  <si>
    <t>2025-03-29</t>
  </si>
  <si>
    <t>INV-00160</t>
  </si>
  <si>
    <t>Estante 18-Nivel 2</t>
  </si>
  <si>
    <t>2025-02-21</t>
  </si>
  <si>
    <t>INV-00161</t>
  </si>
  <si>
    <t>E-14</t>
  </si>
  <si>
    <t>Estante 11-Nivel 2</t>
  </si>
  <si>
    <t>2024-09-14</t>
  </si>
  <si>
    <t>INV-00162</t>
  </si>
  <si>
    <t>Estante 17-Nivel 4</t>
  </si>
  <si>
    <t>INV-00163</t>
  </si>
  <si>
    <t>A-19</t>
  </si>
  <si>
    <t>Estante 16-Nivel 4</t>
  </si>
  <si>
    <t>2025-01-19</t>
  </si>
  <si>
    <t>INV-00164</t>
  </si>
  <si>
    <t>2024-11-05</t>
  </si>
  <si>
    <t>2024-08-07</t>
  </si>
  <si>
    <t>INV-00165</t>
  </si>
  <si>
    <t>Estante 40-Nivel 1</t>
  </si>
  <si>
    <t>2024-12-23</t>
  </si>
  <si>
    <t>2024-07-24</t>
  </si>
  <si>
    <t>INV-00166</t>
  </si>
  <si>
    <t>E-08</t>
  </si>
  <si>
    <t>Estante 24-Nivel 4</t>
  </si>
  <si>
    <t>INV-00167</t>
  </si>
  <si>
    <t>Estante 15-Nivel 5</t>
  </si>
  <si>
    <t>INV-00168</t>
  </si>
  <si>
    <t>Estante 34-Nivel 5</t>
  </si>
  <si>
    <t>INV-00169</t>
  </si>
  <si>
    <t>2025-01-01</t>
  </si>
  <si>
    <t>2024-01-15</t>
  </si>
  <si>
    <t>INV-00170</t>
  </si>
  <si>
    <t>Estante 43-Nivel 1</t>
  </si>
  <si>
    <t>INV-00171</t>
  </si>
  <si>
    <t>2024-02-15</t>
  </si>
  <si>
    <t>INV-00172</t>
  </si>
  <si>
    <t>C-11</t>
  </si>
  <si>
    <t>2025-03-09</t>
  </si>
  <si>
    <t>INV-00173</t>
  </si>
  <si>
    <t>2025-03-04</t>
  </si>
  <si>
    <t>2024-04-22</t>
  </si>
  <si>
    <t>INV-00174</t>
  </si>
  <si>
    <t>A-20</t>
  </si>
  <si>
    <t>2024-10-20</t>
  </si>
  <si>
    <t>INV-00175</t>
  </si>
  <si>
    <t>Estante 46-Nivel 2</t>
  </si>
  <si>
    <t>2025-02-01</t>
  </si>
  <si>
    <t>INV-00176</t>
  </si>
  <si>
    <t>INV-00177</t>
  </si>
  <si>
    <t>Estante 49-Nivel 5</t>
  </si>
  <si>
    <t>2024-12-01</t>
  </si>
  <si>
    <t>INV-00178</t>
  </si>
  <si>
    <t>Estante 48-Nivel 2</t>
  </si>
  <si>
    <t>INV-00179</t>
  </si>
  <si>
    <t>Estante 31-Nivel 2</t>
  </si>
  <si>
    <t>2024-03-17</t>
  </si>
  <si>
    <t>INV-00180</t>
  </si>
  <si>
    <t>INV-00181</t>
  </si>
  <si>
    <t>Estante 1-Nivel 1</t>
  </si>
  <si>
    <t>INV-00182</t>
  </si>
  <si>
    <t>INV-00183</t>
  </si>
  <si>
    <t>INV-00184</t>
  </si>
  <si>
    <t>Estante 8-Nivel 1</t>
  </si>
  <si>
    <t>2024-05-11</t>
  </si>
  <si>
    <t>2025-03-11</t>
  </si>
  <si>
    <t>INV-00185</t>
  </si>
  <si>
    <t>C-14</t>
  </si>
  <si>
    <t>INV-00186</t>
  </si>
  <si>
    <t>F-17</t>
  </si>
  <si>
    <t>Estante 23-Nivel 5</t>
  </si>
  <si>
    <t>INV-00187</t>
  </si>
  <si>
    <t>Estante 23-Nivel 3</t>
  </si>
  <si>
    <t>INV-00188</t>
  </si>
  <si>
    <t>Estante 35-Nivel 2</t>
  </si>
  <si>
    <t>INV-00189</t>
  </si>
  <si>
    <t>Estante 2-Nivel 5</t>
  </si>
  <si>
    <t>INV-00190</t>
  </si>
  <si>
    <t>INV-00191</t>
  </si>
  <si>
    <t>F-19</t>
  </si>
  <si>
    <t>2025-04-29</t>
  </si>
  <si>
    <t>INV-00192</t>
  </si>
  <si>
    <t>Estante 38-Nivel 2</t>
  </si>
  <si>
    <t>2024-03-05</t>
  </si>
  <si>
    <t>INV-00193</t>
  </si>
  <si>
    <t>Estante 12-Nivel 4</t>
  </si>
  <si>
    <t>INV-00194</t>
  </si>
  <si>
    <t>2024-01-30</t>
  </si>
  <si>
    <t>INV-00195</t>
  </si>
  <si>
    <t>Estante 32-Nivel 5</t>
  </si>
  <si>
    <t>2024-01-08</t>
  </si>
  <si>
    <t>2024-11-11</t>
  </si>
  <si>
    <t>INV-00196</t>
  </si>
  <si>
    <t>F-08</t>
  </si>
  <si>
    <t>Estante 48-Nivel 5</t>
  </si>
  <si>
    <t>INV-00197</t>
  </si>
  <si>
    <t>INV-00198</t>
  </si>
  <si>
    <t>Estante 1-Nivel 5</t>
  </si>
  <si>
    <t>2024-09-20</t>
  </si>
  <si>
    <t>INV-00199</t>
  </si>
  <si>
    <t>F-01</t>
  </si>
  <si>
    <t>2024-04-05</t>
  </si>
  <si>
    <t>INV-00200</t>
  </si>
  <si>
    <t>INV-00201</t>
  </si>
  <si>
    <t>C-18</t>
  </si>
  <si>
    <t>Estante 18-Nivel 1</t>
  </si>
  <si>
    <t>2025-01-17</t>
  </si>
  <si>
    <t>2024-08-10</t>
  </si>
  <si>
    <t>INV-00202</t>
  </si>
  <si>
    <t>Estante 27-Nivel 3</t>
  </si>
  <si>
    <t>2024-05-16</t>
  </si>
  <si>
    <t>INV-00203</t>
  </si>
  <si>
    <t>Estante 47-Nivel 4</t>
  </si>
  <si>
    <t>2024-09-13</t>
  </si>
  <si>
    <t>INV-00204</t>
  </si>
  <si>
    <t>A-14</t>
  </si>
  <si>
    <t>INV-00205</t>
  </si>
  <si>
    <t>2024-04-02</t>
  </si>
  <si>
    <t>INV-00206</t>
  </si>
  <si>
    <t>INV-00207</t>
  </si>
  <si>
    <t>Estante 28-Nivel 1</t>
  </si>
  <si>
    <t>2024-08-02</t>
  </si>
  <si>
    <t>INV-00208</t>
  </si>
  <si>
    <t>INV-00209</t>
  </si>
  <si>
    <t>Estante 50-Nivel 2</t>
  </si>
  <si>
    <t>2024-09-27</t>
  </si>
  <si>
    <t>INV-00210</t>
  </si>
  <si>
    <t>2025-04-12</t>
  </si>
  <si>
    <t>2025-03-28</t>
  </si>
  <si>
    <t>INV-00211</t>
  </si>
  <si>
    <t>INV-00212</t>
  </si>
  <si>
    <t>INV-00213</t>
  </si>
  <si>
    <t>2024-10-14</t>
  </si>
  <si>
    <t>2025-02-03</t>
  </si>
  <si>
    <t>INV-00214</t>
  </si>
  <si>
    <t>2024-06-04</t>
  </si>
  <si>
    <t>INV-00215</t>
  </si>
  <si>
    <t>INV-00216</t>
  </si>
  <si>
    <t>B-01</t>
  </si>
  <si>
    <t>Estante 42-Nivel 3</t>
  </si>
  <si>
    <t>INV-00217</t>
  </si>
  <si>
    <t>Estante 23-Nivel 2</t>
  </si>
  <si>
    <t>INV-00218</t>
  </si>
  <si>
    <t>Estante 15-Nivel 3</t>
  </si>
  <si>
    <t>2024-07-21</t>
  </si>
  <si>
    <t>INV-00219</t>
  </si>
  <si>
    <t>Estante 30-Nivel 2</t>
  </si>
  <si>
    <t>INV-00220</t>
  </si>
  <si>
    <t>C-03</t>
  </si>
  <si>
    <t>2025-01-07</t>
  </si>
  <si>
    <t>INV-00221</t>
  </si>
  <si>
    <t>Estante 9-Nivel 2</t>
  </si>
  <si>
    <t>2025-02-09</t>
  </si>
  <si>
    <t>INV-00222</t>
  </si>
  <si>
    <t>2024-10-05</t>
  </si>
  <si>
    <t>INV-00223</t>
  </si>
  <si>
    <t>Estante 33-Nivel 4</t>
  </si>
  <si>
    <t>INV-00224</t>
  </si>
  <si>
    <t>C-04</t>
  </si>
  <si>
    <t>Estante 15-Nivel 1</t>
  </si>
  <si>
    <t>2025-04-18</t>
  </si>
  <si>
    <t>INV-00225</t>
  </si>
  <si>
    <t>INV-00226</t>
  </si>
  <si>
    <t>INV-00227</t>
  </si>
  <si>
    <t>2025-05-13</t>
  </si>
  <si>
    <t>INV-00228</t>
  </si>
  <si>
    <t>Estante 35-Nivel 4</t>
  </si>
  <si>
    <t>INV-00229</t>
  </si>
  <si>
    <t>Estante 2-Nivel 3</t>
  </si>
  <si>
    <t>2024-07-03</t>
  </si>
  <si>
    <t>INV-00230</t>
  </si>
  <si>
    <t>G-08</t>
  </si>
  <si>
    <t>2024-07-12</t>
  </si>
  <si>
    <t>INV-00231</t>
  </si>
  <si>
    <t>Estante 39-Nivel 2</t>
  </si>
  <si>
    <t>INV-00232</t>
  </si>
  <si>
    <t>C-17</t>
  </si>
  <si>
    <t>INV-00233</t>
  </si>
  <si>
    <t>2024-10-19</t>
  </si>
  <si>
    <t>INV-00234</t>
  </si>
  <si>
    <t>2025-01-16</t>
  </si>
  <si>
    <t>INV-00235</t>
  </si>
  <si>
    <t>Estante 11-Nivel 1</t>
  </si>
  <si>
    <t>2024-02-23</t>
  </si>
  <si>
    <t>INV-00236</t>
  </si>
  <si>
    <t>B-03</t>
  </si>
  <si>
    <t>Estante 14-Nivel 5</t>
  </si>
  <si>
    <t>2024-11-22</t>
  </si>
  <si>
    <t>2025-04-20</t>
  </si>
  <si>
    <t>INV-00237</t>
  </si>
  <si>
    <t>H-02</t>
  </si>
  <si>
    <t>INV-00238</t>
  </si>
  <si>
    <t>Estante 27-Nivel 5</t>
  </si>
  <si>
    <t>INV-00239</t>
  </si>
  <si>
    <t>2024-03-13</t>
  </si>
  <si>
    <t>INV-00240</t>
  </si>
  <si>
    <t>2024-11-06</t>
  </si>
  <si>
    <t>INV-00241</t>
  </si>
  <si>
    <t>2024-03-23</t>
  </si>
  <si>
    <t>INV-00242</t>
  </si>
  <si>
    <t>H-09</t>
  </si>
  <si>
    <t>2025-05-12</t>
  </si>
  <si>
    <t>INV-00243</t>
  </si>
  <si>
    <t>Estante 24-Nivel 5</t>
  </si>
  <si>
    <t>INV-00244</t>
  </si>
  <si>
    <t>A-05</t>
  </si>
  <si>
    <t>Estante 7-Nivel 3</t>
  </si>
  <si>
    <t>2025-03-23</t>
  </si>
  <si>
    <t>INV-00245</t>
  </si>
  <si>
    <t>INV-00246</t>
  </si>
  <si>
    <t>Estante 18-Nivel 4</t>
  </si>
  <si>
    <t>2024-06-12</t>
  </si>
  <si>
    <t>INV-00247</t>
  </si>
  <si>
    <t>D-02</t>
  </si>
  <si>
    <t>Estante 14-Nivel 1</t>
  </si>
  <si>
    <t>INV-00248</t>
  </si>
  <si>
    <t>2024-04-11</t>
  </si>
  <si>
    <t>INV-00249</t>
  </si>
  <si>
    <t>2025-01-05</t>
  </si>
  <si>
    <t>INV-00250</t>
  </si>
  <si>
    <t>Estante 32-Nivel 3</t>
  </si>
  <si>
    <t>Fecha</t>
  </si>
  <si>
    <t>Fecha Entrega Esperada</t>
  </si>
  <si>
    <t>Fecha Entrega Real</t>
  </si>
  <si>
    <t>Cantidad Solicitada</t>
  </si>
  <si>
    <t>Cantidad Recibida</t>
  </si>
  <si>
    <t>Costo Total USD</t>
  </si>
  <si>
    <t>Impuesto USD</t>
  </si>
  <si>
    <t>Total USD</t>
  </si>
  <si>
    <t>Método de Pago</t>
  </si>
  <si>
    <t>Almacén Destino</t>
  </si>
  <si>
    <t>Transporte</t>
  </si>
  <si>
    <t>Observaciones</t>
  </si>
  <si>
    <t>COMP-0001</t>
  </si>
  <si>
    <t>2024-07-30</t>
  </si>
  <si>
    <t>2024-07-15</t>
  </si>
  <si>
    <t>Crédito</t>
  </si>
  <si>
    <t>Completada</t>
  </si>
  <si>
    <t>Producto dañado</t>
  </si>
  <si>
    <t>COMP-0002</t>
  </si>
  <si>
    <t>Cheque</t>
  </si>
  <si>
    <t>Cancelada</t>
  </si>
  <si>
    <t>COMP-0003</t>
  </si>
  <si>
    <t>2025-09-01</t>
  </si>
  <si>
    <t>2025-09-14</t>
  </si>
  <si>
    <t>2025-10-07</t>
  </si>
  <si>
    <t>Pendiente</t>
  </si>
  <si>
    <t>COMP-0004</t>
  </si>
  <si>
    <t>Letra de cambio</t>
  </si>
  <si>
    <t>Parcial</t>
  </si>
  <si>
    <t>COMP-0005</t>
  </si>
  <si>
    <t>2025-07-18</t>
  </si>
  <si>
    <t>2025-08-14</t>
  </si>
  <si>
    <t>2025-07-27</t>
  </si>
  <si>
    <t>Transferencia</t>
  </si>
  <si>
    <t>Retraso por aduana</t>
  </si>
  <si>
    <t>COMP-0006</t>
  </si>
  <si>
    <t>2025-11-05</t>
  </si>
  <si>
    <t>2025-11-24</t>
  </si>
  <si>
    <t>2025-11-26</t>
  </si>
  <si>
    <t>COMP-0007</t>
  </si>
  <si>
    <t>COMP-0008</t>
  </si>
  <si>
    <t>2026-01-15</t>
  </si>
  <si>
    <t>2026-01-29</t>
  </si>
  <si>
    <t>2026-02-11</t>
  </si>
  <si>
    <t>COMP-0009</t>
  </si>
  <si>
    <t>2026-02-19</t>
  </si>
  <si>
    <t>2026-04-03</t>
  </si>
  <si>
    <t>2026-03-09</t>
  </si>
  <si>
    <t>COMP-0010</t>
  </si>
  <si>
    <t>2025-09-24</t>
  </si>
  <si>
    <t>2025-10-31</t>
  </si>
  <si>
    <t>2025-10-01</t>
  </si>
  <si>
    <t>COMP-0011</t>
  </si>
  <si>
    <t>2024-09-26</t>
  </si>
  <si>
    <t>COMP-0012</t>
  </si>
  <si>
    <t>2024-09-25</t>
  </si>
  <si>
    <t>2024-10-09</t>
  </si>
  <si>
    <t>OK</t>
  </si>
  <si>
    <t>COMP-0013</t>
  </si>
  <si>
    <t>2024-08-29</t>
  </si>
  <si>
    <t>COMP-0014</t>
  </si>
  <si>
    <t>2024-12-17</t>
  </si>
  <si>
    <t>2025-01-18</t>
  </si>
  <si>
    <t>COMP-0015</t>
  </si>
  <si>
    <t>2026-02-18</t>
  </si>
  <si>
    <t>2026-03-02</t>
  </si>
  <si>
    <t>2026-03-05</t>
  </si>
  <si>
    <t>COMP-0016</t>
  </si>
  <si>
    <t>2025-05-08</t>
  </si>
  <si>
    <t>2025-05-23</t>
  </si>
  <si>
    <t>2025-05-15</t>
  </si>
  <si>
    <t>COMP-0017</t>
  </si>
  <si>
    <t>2026-01-04</t>
  </si>
  <si>
    <t>2026-01-24</t>
  </si>
  <si>
    <t>2026-01-31</t>
  </si>
  <si>
    <t>COMP-0018</t>
  </si>
  <si>
    <t>2025-01-03</t>
  </si>
  <si>
    <t>2024-11-30</t>
  </si>
  <si>
    <t>COMP-0019</t>
  </si>
  <si>
    <t>2025-06-07</t>
  </si>
  <si>
    <t>2025-06-26</t>
  </si>
  <si>
    <t>2025-07-16</t>
  </si>
  <si>
    <t>COMP-0020</t>
  </si>
  <si>
    <t>COMP-0021</t>
  </si>
  <si>
    <t>2025-05-30</t>
  </si>
  <si>
    <t>COMP-0022</t>
  </si>
  <si>
    <t>2025-11-18</t>
  </si>
  <si>
    <t>2025-11-25</t>
  </si>
  <si>
    <t>2025-12-26</t>
  </si>
  <si>
    <t>COMP-0023</t>
  </si>
  <si>
    <t>2024-05-02</t>
  </si>
  <si>
    <t>COMP-0024</t>
  </si>
  <si>
    <t>2024-02-06</t>
  </si>
  <si>
    <t>COMP-0025</t>
  </si>
  <si>
    <t>COMP-0026</t>
  </si>
  <si>
    <t>2025-07-03</t>
  </si>
  <si>
    <t>2025-05-29</t>
  </si>
  <si>
    <t>COMP-0027</t>
  </si>
  <si>
    <t>2024-08-19</t>
  </si>
  <si>
    <t>2024-08-26</t>
  </si>
  <si>
    <t>Entrega parcial</t>
  </si>
  <si>
    <t>COMP-0028</t>
  </si>
  <si>
    <t>2025-01-14</t>
  </si>
  <si>
    <t>2024-12-29</t>
  </si>
  <si>
    <t>COMP-0029</t>
  </si>
  <si>
    <t>2025-04-11</t>
  </si>
  <si>
    <t>COMP-0030</t>
  </si>
  <si>
    <t>2024-11-13</t>
  </si>
  <si>
    <t>COMP-0031</t>
  </si>
  <si>
    <t>2025-04-24</t>
  </si>
  <si>
    <t>2025-05-21</t>
  </si>
  <si>
    <t>COMP-0032</t>
  </si>
  <si>
    <t>COMP-0033</t>
  </si>
  <si>
    <t>2025-09-27</t>
  </si>
  <si>
    <t>2025-08-22</t>
  </si>
  <si>
    <t>COMP-0034</t>
  </si>
  <si>
    <t>2024-12-26</t>
  </si>
  <si>
    <t>COMP-0035</t>
  </si>
  <si>
    <t>COMP-0036</t>
  </si>
  <si>
    <t>2025-03-19</t>
  </si>
  <si>
    <t>COMP-0037</t>
  </si>
  <si>
    <t>2024-09-30</t>
  </si>
  <si>
    <t>2024-10-04</t>
  </si>
  <si>
    <t>COMP-0038</t>
  </si>
  <si>
    <t>2024-10-21</t>
  </si>
  <si>
    <t>COMP-0039</t>
  </si>
  <si>
    <t>COMP-0040</t>
  </si>
  <si>
    <t>2025-08-31</t>
  </si>
  <si>
    <t>2025-09-25</t>
  </si>
  <si>
    <t>2025-10-02</t>
  </si>
  <si>
    <t>COMP-0041</t>
  </si>
  <si>
    <t>2025-06-21</t>
  </si>
  <si>
    <t>2025-07-26</t>
  </si>
  <si>
    <t>COMP-0042</t>
  </si>
  <si>
    <t>2025-06-01</t>
  </si>
  <si>
    <t>COMP-0043</t>
  </si>
  <si>
    <t>2024-05-31</t>
  </si>
  <si>
    <t>2024-06-29</t>
  </si>
  <si>
    <t>COMP-0044</t>
  </si>
  <si>
    <t>COMP-0045</t>
  </si>
  <si>
    <t>2024-11-12</t>
  </si>
  <si>
    <t>COMP-0046</t>
  </si>
  <si>
    <t>2025-12-02</t>
  </si>
  <si>
    <t>2025-12-14</t>
  </si>
  <si>
    <t>2026-01-02</t>
  </si>
  <si>
    <t>COMP-0047</t>
  </si>
  <si>
    <t>2024-02-11</t>
  </si>
  <si>
    <t>2024-03-02</t>
  </si>
  <si>
    <t>COMP-0048</t>
  </si>
  <si>
    <t>2024-11-21</t>
  </si>
  <si>
    <t>COMP-0049</t>
  </si>
  <si>
    <t>COMP-0050</t>
  </si>
  <si>
    <t>COMP-0051</t>
  </si>
  <si>
    <t>2025-07-12</t>
  </si>
  <si>
    <t>2025-08-07</t>
  </si>
  <si>
    <t>COMP-0052</t>
  </si>
  <si>
    <t>2025-05-24</t>
  </si>
  <si>
    <t>COMP-0053</t>
  </si>
  <si>
    <t>2025-08-02</t>
  </si>
  <si>
    <t>2025-08-23</t>
  </si>
  <si>
    <t>COMP-0054</t>
  </si>
  <si>
    <t>COMP-0055</t>
  </si>
  <si>
    <t>2025-05-22</t>
  </si>
  <si>
    <t>2025-06-02</t>
  </si>
  <si>
    <t>COMP-0056</t>
  </si>
  <si>
    <t>2025-09-10</t>
  </si>
  <si>
    <t>2025-09-20</t>
  </si>
  <si>
    <t>2025-10-15</t>
  </si>
  <si>
    <t>COMP-0057</t>
  </si>
  <si>
    <t>2024-07-25</t>
  </si>
  <si>
    <t>COMP-0058</t>
  </si>
  <si>
    <t>2024-09-16</t>
  </si>
  <si>
    <t>COMP-0059</t>
  </si>
  <si>
    <t>2025-03-22</t>
  </si>
  <si>
    <t>COMP-0060</t>
  </si>
  <si>
    <t>2024-03-18</t>
  </si>
  <si>
    <t>COMP-0061</t>
  </si>
  <si>
    <t>2025-05-27</t>
  </si>
  <si>
    <t>2025-07-01</t>
  </si>
  <si>
    <t>COMP-0062</t>
  </si>
  <si>
    <t>2024-05-23</t>
  </si>
  <si>
    <t>COMP-0063</t>
  </si>
  <si>
    <t>2025-06-03</t>
  </si>
  <si>
    <t>2025-07-08</t>
  </si>
  <si>
    <t>COMP-0064</t>
  </si>
  <si>
    <t>COMP-0065</t>
  </si>
  <si>
    <t>COMP-0066</t>
  </si>
  <si>
    <t>2025-10-14</t>
  </si>
  <si>
    <t>2025-11-22</t>
  </si>
  <si>
    <t>2025-11-20</t>
  </si>
  <si>
    <t>COMP-0067</t>
  </si>
  <si>
    <t>COMP-0068</t>
  </si>
  <si>
    <t>COMP-0069</t>
  </si>
  <si>
    <t>2025-10-29</t>
  </si>
  <si>
    <t>2025-10-08</t>
  </si>
  <si>
    <t>COMP-0070</t>
  </si>
  <si>
    <t>2024-09-07</t>
  </si>
  <si>
    <t>2024-09-04</t>
  </si>
  <si>
    <t>COMP-0071</t>
  </si>
  <si>
    <t>2025-07-13</t>
  </si>
  <si>
    <t>2025-07-23</t>
  </si>
  <si>
    <t>2025-08-21</t>
  </si>
  <si>
    <t>COMP-0072</t>
  </si>
  <si>
    <t>2026-01-21</t>
  </si>
  <si>
    <t>2026-02-14</t>
  </si>
  <si>
    <t>2026-03-12</t>
  </si>
  <si>
    <t>COMP-0073</t>
  </si>
  <si>
    <t>2025-08-20</t>
  </si>
  <si>
    <t>2025-07-28</t>
  </si>
  <si>
    <t>COMP-0074</t>
  </si>
  <si>
    <t>COMP-0075</t>
  </si>
  <si>
    <t>2025-12-19</t>
  </si>
  <si>
    <t>2026-01-18</t>
  </si>
  <si>
    <t>2026-01-25</t>
  </si>
  <si>
    <t>COMP-0076</t>
  </si>
  <si>
    <t>2024-04-04</t>
  </si>
  <si>
    <t>COMP-0077</t>
  </si>
  <si>
    <t>2024-03-08</t>
  </si>
  <si>
    <t>COMP-0078</t>
  </si>
  <si>
    <t>2025-07-10</t>
  </si>
  <si>
    <t>2025-08-12</t>
  </si>
  <si>
    <t>COMP-0079</t>
  </si>
  <si>
    <t>COMP-0080</t>
  </si>
  <si>
    <t>2025-06-17</t>
  </si>
  <si>
    <t>2025-07-04</t>
  </si>
  <si>
    <t>COMP-0081</t>
  </si>
  <si>
    <t>2024-04-26</t>
  </si>
  <si>
    <t>2024-04-30</t>
  </si>
  <si>
    <t>2024-05-29</t>
  </si>
  <si>
    <t>COMP-0082</t>
  </si>
  <si>
    <t>COMP-0083</t>
  </si>
  <si>
    <t>2024-01-27</t>
  </si>
  <si>
    <t>COMP-0084</t>
  </si>
  <si>
    <t>2026-01-23</t>
  </si>
  <si>
    <t>COMP-0085</t>
  </si>
  <si>
    <t>2024-05-15</t>
  </si>
  <si>
    <t>2024-05-18</t>
  </si>
  <si>
    <t>COMP-0086</t>
  </si>
  <si>
    <t>2025-11-06</t>
  </si>
  <si>
    <t>COMP-0087</t>
  </si>
  <si>
    <t>2024-02-07</t>
  </si>
  <si>
    <t>2024-03-10</t>
  </si>
  <si>
    <t>COMP-0088</t>
  </si>
  <si>
    <t>2024-10-11</t>
  </si>
  <si>
    <t>COMP-0089</t>
  </si>
  <si>
    <t>COMP-0090</t>
  </si>
  <si>
    <t>2024-09-22</t>
  </si>
  <si>
    <t>COMP-0091</t>
  </si>
  <si>
    <t>COMP-0092</t>
  </si>
  <si>
    <t>2025-09-28</t>
  </si>
  <si>
    <t>2025-10-10</t>
  </si>
  <si>
    <t>COMP-0093</t>
  </si>
  <si>
    <t>2025-06-04</t>
  </si>
  <si>
    <t>2025-07-14</t>
  </si>
  <si>
    <t>2025-07-21</t>
  </si>
  <si>
    <t>COMP-0094</t>
  </si>
  <si>
    <t>COMP-0095</t>
  </si>
  <si>
    <t>2024-11-09</t>
  </si>
  <si>
    <t>COMP-0096</t>
  </si>
  <si>
    <t>COMP-0097</t>
  </si>
  <si>
    <t>COMP-0098</t>
  </si>
  <si>
    <t>2024-07-09</t>
  </si>
  <si>
    <t>COMP-0099</t>
  </si>
  <si>
    <t>2026-01-30</t>
  </si>
  <si>
    <t>2026-02-08</t>
  </si>
  <si>
    <t>2026-02-09</t>
  </si>
  <si>
    <t>COMP-0100</t>
  </si>
  <si>
    <t>2025-12-30</t>
  </si>
  <si>
    <t>2026-01-20</t>
  </si>
  <si>
    <t>2026-01-08</t>
  </si>
  <si>
    <t>COMP-0101</t>
  </si>
  <si>
    <t>2025-11-07</t>
  </si>
  <si>
    <t>COMP-0102</t>
  </si>
  <si>
    <t>2025-04-09</t>
  </si>
  <si>
    <t>2025-05-01</t>
  </si>
  <si>
    <t>COMP-0103</t>
  </si>
  <si>
    <t>2025-07-31</t>
  </si>
  <si>
    <t>2025-07-25</t>
  </si>
  <si>
    <t>COMP-0104</t>
  </si>
  <si>
    <t>2025-08-11</t>
  </si>
  <si>
    <t>2025-09-22</t>
  </si>
  <si>
    <t>2025-09-02</t>
  </si>
  <si>
    <t>COMP-0105</t>
  </si>
  <si>
    <t>COMP-0106</t>
  </si>
  <si>
    <t>COMP-0107</t>
  </si>
  <si>
    <t>2025-12-24</t>
  </si>
  <si>
    <t>2026-01-03</t>
  </si>
  <si>
    <t>COMP-0108</t>
  </si>
  <si>
    <t>COMP-0109</t>
  </si>
  <si>
    <t>2024-12-28</t>
  </si>
  <si>
    <t>COMP-0110</t>
  </si>
  <si>
    <t>COMP-0111</t>
  </si>
  <si>
    <t>2024-07-06</t>
  </si>
  <si>
    <t>2024-07-29</t>
  </si>
  <si>
    <t>COMP-0112</t>
  </si>
  <si>
    <t>COMP-0113</t>
  </si>
  <si>
    <t>2026-02-21</t>
  </si>
  <si>
    <t>2026-03-14</t>
  </si>
  <si>
    <t>2026-03-21</t>
  </si>
  <si>
    <t>COMP-0114</t>
  </si>
  <si>
    <t>2024-06-13</t>
  </si>
  <si>
    <t>COMP-0115</t>
  </si>
  <si>
    <t>2024-12-20</t>
  </si>
  <si>
    <t>COMP-0116</t>
  </si>
  <si>
    <t>2025-05-02</t>
  </si>
  <si>
    <t>COMP-0117</t>
  </si>
  <si>
    <t>2025-01-31</t>
  </si>
  <si>
    <t>COMP-0118</t>
  </si>
  <si>
    <t>2025-02-26</t>
  </si>
  <si>
    <t>COMP-0119</t>
  </si>
  <si>
    <t>2025-02-15</t>
  </si>
  <si>
    <t>COMP-0120</t>
  </si>
  <si>
    <t>2025-04-04</t>
  </si>
  <si>
    <t>COMP-0121</t>
  </si>
  <si>
    <t>2026-03-04</t>
  </si>
  <si>
    <t>COMP-0122</t>
  </si>
  <si>
    <t>2025-08-13</t>
  </si>
  <si>
    <t>2025-09-15</t>
  </si>
  <si>
    <t>2025-09-08</t>
  </si>
  <si>
    <t>COMP-0123</t>
  </si>
  <si>
    <t>2025-06-20</t>
  </si>
  <si>
    <t>COMP-0124</t>
  </si>
  <si>
    <t>2025-10-20</t>
  </si>
  <si>
    <t>2025-11-11</t>
  </si>
  <si>
    <t>2025-11-12</t>
  </si>
  <si>
    <t>COMP-0125</t>
  </si>
  <si>
    <t>2025-06-16</t>
  </si>
  <si>
    <t>COMP-0126</t>
  </si>
  <si>
    <t>2025-09-05</t>
  </si>
  <si>
    <t>2025-10-04</t>
  </si>
  <si>
    <t>2025-09-07</t>
  </si>
  <si>
    <t>COMP-0127</t>
  </si>
  <si>
    <t>2025-07-22</t>
  </si>
  <si>
    <t>2025-07-30</t>
  </si>
  <si>
    <t>COMP-0128</t>
  </si>
  <si>
    <t>COMP-0129</t>
  </si>
  <si>
    <t>2025-11-23</t>
  </si>
  <si>
    <t>2025-12-13</t>
  </si>
  <si>
    <t>2025-12-28</t>
  </si>
  <si>
    <t>COMP-0130</t>
  </si>
  <si>
    <t>2026-01-01</t>
  </si>
  <si>
    <t>2026-01-27</t>
  </si>
  <si>
    <t>2026-02-05</t>
  </si>
  <si>
    <t>COMP-0131</t>
  </si>
  <si>
    <t>2025-03-02</t>
  </si>
  <si>
    <t>COMP-0132</t>
  </si>
  <si>
    <t>2025-11-02</t>
  </si>
  <si>
    <t>2025-11-10</t>
  </si>
  <si>
    <t>COMP-0133</t>
  </si>
  <si>
    <t>2025-09-12</t>
  </si>
  <si>
    <t>COMP-0134</t>
  </si>
  <si>
    <t>COMP-0135</t>
  </si>
  <si>
    <t>2024-04-03</t>
  </si>
  <si>
    <t>COMP-0136</t>
  </si>
  <si>
    <t>2024-12-10</t>
  </si>
  <si>
    <t>COMP-0137</t>
  </si>
  <si>
    <t>2025-09-11</t>
  </si>
  <si>
    <t>2025-09-23</t>
  </si>
  <si>
    <t>COMP-0138</t>
  </si>
  <si>
    <t>COMP-0139</t>
  </si>
  <si>
    <t>2026-02-04</t>
  </si>
  <si>
    <t>2026-02-07</t>
  </si>
  <si>
    <t>COMP-0140</t>
  </si>
  <si>
    <t>2024-10-06</t>
  </si>
  <si>
    <t>2024-11-18</t>
  </si>
  <si>
    <t>COMP-0141</t>
  </si>
  <si>
    <t>2025-06-08</t>
  </si>
  <si>
    <t>COMP-0142</t>
  </si>
  <si>
    <t>2026-02-06</t>
  </si>
  <si>
    <t>2026-02-02</t>
  </si>
  <si>
    <t>COMP-0143</t>
  </si>
  <si>
    <t>2025-10-13</t>
  </si>
  <si>
    <t>COMP-0144</t>
  </si>
  <si>
    <t>2024-03-22</t>
  </si>
  <si>
    <t>COMP-0145</t>
  </si>
  <si>
    <t>2025-10-12</t>
  </si>
  <si>
    <t>COMP-0146</t>
  </si>
  <si>
    <t>2026-01-17</t>
  </si>
  <si>
    <t>COMP-0147</t>
  </si>
  <si>
    <t>2025-11-28</t>
  </si>
  <si>
    <t>2026-01-11</t>
  </si>
  <si>
    <t>2025-12-12</t>
  </si>
  <si>
    <t>COMP-0148</t>
  </si>
  <si>
    <t>COMP-0149</t>
  </si>
  <si>
    <t>2025-04-05</t>
  </si>
  <si>
    <t>2025-05-18</t>
  </si>
  <si>
    <t>COMP-0150</t>
  </si>
  <si>
    <t>2025-12-17</t>
  </si>
  <si>
    <t>COMP-0151</t>
  </si>
  <si>
    <t>2025-12-18</t>
  </si>
  <si>
    <t>COMP-0152</t>
  </si>
  <si>
    <t>COMP-0153</t>
  </si>
  <si>
    <t>COMP-0154</t>
  </si>
  <si>
    <t>2025-12-23</t>
  </si>
  <si>
    <t>2025-12-16</t>
  </si>
  <si>
    <t>COMP-0155</t>
  </si>
  <si>
    <t>2024-12-14</t>
  </si>
  <si>
    <t>2024-12-19</t>
  </si>
  <si>
    <t>COMP-0156</t>
  </si>
  <si>
    <t>2025-03-12</t>
  </si>
  <si>
    <t>COMP-0157</t>
  </si>
  <si>
    <t>COMP-0158</t>
  </si>
  <si>
    <t>2026-02-12</t>
  </si>
  <si>
    <t>COMP-0159</t>
  </si>
  <si>
    <t>2025-03-10</t>
  </si>
  <si>
    <t>COMP-0160</t>
  </si>
  <si>
    <t>2025-05-28</t>
  </si>
  <si>
    <t>2025-05-31</t>
  </si>
  <si>
    <t>COMP-0161</t>
  </si>
  <si>
    <t>2025-11-14</t>
  </si>
  <si>
    <t>2025-11-29</t>
  </si>
  <si>
    <t>COMP-0162</t>
  </si>
  <si>
    <t>2024-05-20</t>
  </si>
  <si>
    <t>COMP-0163</t>
  </si>
  <si>
    <t>2025-12-15</t>
  </si>
  <si>
    <t>2025-11-27</t>
  </si>
  <si>
    <t>COMP-0164</t>
  </si>
  <si>
    <t>COMP-0165</t>
  </si>
  <si>
    <t>2025-09-21</t>
  </si>
  <si>
    <t>2025-10-23</t>
  </si>
  <si>
    <t>COMP-0166</t>
  </si>
  <si>
    <t>COMP-0167</t>
  </si>
  <si>
    <t>2025-02-05</t>
  </si>
  <si>
    <t>COMP-0168</t>
  </si>
  <si>
    <t>COMP-0169</t>
  </si>
  <si>
    <t>2025-10-24</t>
  </si>
  <si>
    <t>COMP-0170</t>
  </si>
  <si>
    <t>2024-04-21</t>
  </si>
  <si>
    <t>COMP-0171</t>
  </si>
  <si>
    <t>COMP-0172</t>
  </si>
  <si>
    <t>COMP-0173</t>
  </si>
  <si>
    <t>COMP-0174</t>
  </si>
  <si>
    <t>COMP-0175</t>
  </si>
  <si>
    <t>2024-03-21</t>
  </si>
  <si>
    <t>2024-05-03</t>
  </si>
  <si>
    <t>COMP-0176</t>
  </si>
  <si>
    <t>COMP-0177</t>
  </si>
  <si>
    <t>COMP-0178</t>
  </si>
  <si>
    <t>2026-03-07</t>
  </si>
  <si>
    <t>2026-04-04</t>
  </si>
  <si>
    <t>2026-04-13</t>
  </si>
  <si>
    <t>COMP-0179</t>
  </si>
  <si>
    <t>COMP-0180</t>
  </si>
  <si>
    <t>2024-06-30</t>
  </si>
  <si>
    <t>COMP-0181</t>
  </si>
  <si>
    <t>2024-08-24</t>
  </si>
  <si>
    <t>COMP-0182</t>
  </si>
  <si>
    <t>COMP-0183</t>
  </si>
  <si>
    <t>2026-01-14</t>
  </si>
  <si>
    <t>COMP-0184</t>
  </si>
  <si>
    <t>2024-08-01</t>
  </si>
  <si>
    <t>COMP-0185</t>
  </si>
  <si>
    <t>2025-02-20</t>
  </si>
  <si>
    <t>COMP-0186</t>
  </si>
  <si>
    <t>2026-01-12</t>
  </si>
  <si>
    <t>COMP-0187</t>
  </si>
  <si>
    <t>2024-06-22</t>
  </si>
  <si>
    <t>COMP-0188</t>
  </si>
  <si>
    <t>2025-12-27</t>
  </si>
  <si>
    <t>2026-02-15</t>
  </si>
  <si>
    <t>COMP-0189</t>
  </si>
  <si>
    <t>2026-03-01</t>
  </si>
  <si>
    <t>COMP-0190</t>
  </si>
  <si>
    <t>2025-12-31</t>
  </si>
  <si>
    <t>COMP-0191</t>
  </si>
  <si>
    <t>COMP-0192</t>
  </si>
  <si>
    <t>2025-07-02</t>
  </si>
  <si>
    <t>COMP-0193</t>
  </si>
  <si>
    <t>2024-09-02</t>
  </si>
  <si>
    <t>COMP-0194</t>
  </si>
  <si>
    <t>2024-01-13</t>
  </si>
  <si>
    <t>COMP-0195</t>
  </si>
  <si>
    <t>COMP-0196</t>
  </si>
  <si>
    <t>COMP-0197</t>
  </si>
  <si>
    <t>2024-09-29</t>
  </si>
  <si>
    <t>COMP-0198</t>
  </si>
  <si>
    <t>2025-05-17</t>
  </si>
  <si>
    <t>2025-05-10</t>
  </si>
  <si>
    <t>COMP-0199</t>
  </si>
  <si>
    <t>2025-11-04</t>
  </si>
  <si>
    <t>COMP-0200</t>
  </si>
  <si>
    <t>2024-11-07</t>
  </si>
  <si>
    <t>COMP-0201</t>
  </si>
  <si>
    <t>2025-06-05</t>
  </si>
  <si>
    <t>COMP-0202</t>
  </si>
  <si>
    <t>COMP-0203</t>
  </si>
  <si>
    <t>2025-11-19</t>
  </si>
  <si>
    <t>2025-12-01</t>
  </si>
  <si>
    <t>2025-12-11</t>
  </si>
  <si>
    <t>COMP-0204</t>
  </si>
  <si>
    <t>2026-01-13</t>
  </si>
  <si>
    <t>COMP-0205</t>
  </si>
  <si>
    <t>2025-09-18</t>
  </si>
  <si>
    <t>COMP-0206</t>
  </si>
  <si>
    <t>COMP-0207</t>
  </si>
  <si>
    <t>COMP-0208</t>
  </si>
  <si>
    <t>2026-03-10</t>
  </si>
  <si>
    <t>2026-04-24</t>
  </si>
  <si>
    <t>2026-04-05</t>
  </si>
  <si>
    <t>COMP-0209</t>
  </si>
  <si>
    <t>COMP-0210</t>
  </si>
  <si>
    <t>2025-04-15</t>
  </si>
  <si>
    <t>COMP-0211</t>
  </si>
  <si>
    <t>2025-12-29</t>
  </si>
  <si>
    <t>COMP-0212</t>
  </si>
  <si>
    <t>2024-09-18</t>
  </si>
  <si>
    <t>2024-10-29</t>
  </si>
  <si>
    <t>COMP-0213</t>
  </si>
  <si>
    <t>2024-01-17</t>
  </si>
  <si>
    <t>2024-02-25</t>
  </si>
  <si>
    <t>COMP-0214</t>
  </si>
  <si>
    <t>2025-08-04</t>
  </si>
  <si>
    <t>2025-08-30</t>
  </si>
  <si>
    <t>COMP-0215</t>
  </si>
  <si>
    <t>2026-01-26</t>
  </si>
  <si>
    <t>COMP-0216</t>
  </si>
  <si>
    <t>2025-02-07</t>
  </si>
  <si>
    <t>COMP-0217</t>
  </si>
  <si>
    <t>COMP-0218</t>
  </si>
  <si>
    <t>2026-03-20</t>
  </si>
  <si>
    <t>2026-04-14</t>
  </si>
  <si>
    <t>COMP-0219</t>
  </si>
  <si>
    <t>COMP-0220</t>
  </si>
  <si>
    <t>2026-02-28</t>
  </si>
  <si>
    <t>2026-03-27</t>
  </si>
  <si>
    <t>2026-04-08</t>
  </si>
  <si>
    <t>COMP-0221</t>
  </si>
  <si>
    <t>COMP-0222</t>
  </si>
  <si>
    <t>2025-03-14</t>
  </si>
  <si>
    <t>COMP-0223</t>
  </si>
  <si>
    <t>2025-05-16</t>
  </si>
  <si>
    <t>COMP-0224</t>
  </si>
  <si>
    <t>COMP-0225</t>
  </si>
  <si>
    <t>2025-11-15</t>
  </si>
  <si>
    <t>2025-12-10</t>
  </si>
  <si>
    <t>COMP-0226</t>
  </si>
  <si>
    <t>COMP-0227</t>
  </si>
  <si>
    <t>COMP-0228</t>
  </si>
  <si>
    <t>2025-01-10</t>
  </si>
  <si>
    <t>COMP-0229</t>
  </si>
  <si>
    <t>2025-12-25</t>
  </si>
  <si>
    <t>COMP-0230</t>
  </si>
  <si>
    <t>COMP-0231</t>
  </si>
  <si>
    <t>2024-02-05</t>
  </si>
  <si>
    <t>COMP-0232</t>
  </si>
  <si>
    <t>COMP-0233</t>
  </si>
  <si>
    <t>2024-12-24</t>
  </si>
  <si>
    <t>COMP-0234</t>
  </si>
  <si>
    <t>2025-10-19</t>
  </si>
  <si>
    <t>COMP-0235</t>
  </si>
  <si>
    <t>2024-03-25</t>
  </si>
  <si>
    <t>2024-04-29</t>
  </si>
  <si>
    <t>2024-04-07</t>
  </si>
  <si>
    <t>COMP-0236</t>
  </si>
  <si>
    <t>COMP-0237</t>
  </si>
  <si>
    <t>COMP-0238</t>
  </si>
  <si>
    <t>2025-03-07</t>
  </si>
  <si>
    <t>2025-04-07</t>
  </si>
  <si>
    <t>COMP-0239</t>
  </si>
  <si>
    <t>2026-03-13</t>
  </si>
  <si>
    <t>2026-02-22</t>
  </si>
  <si>
    <t>COMP-0240</t>
  </si>
  <si>
    <t>COMP-0241</t>
  </si>
  <si>
    <t>2025-07-09</t>
  </si>
  <si>
    <t>COMP-0242</t>
  </si>
  <si>
    <t>COMP-0243</t>
  </si>
  <si>
    <t>2026-03-08</t>
  </si>
  <si>
    <t>2026-03-03</t>
  </si>
  <si>
    <t>COMP-0244</t>
  </si>
  <si>
    <t>2025-11-03</t>
  </si>
  <si>
    <t>COMP-0245</t>
  </si>
  <si>
    <t>2024-10-15</t>
  </si>
  <si>
    <t>COMP-0246</t>
  </si>
  <si>
    <t>2025-09-04</t>
  </si>
  <si>
    <t>COMP-0247</t>
  </si>
  <si>
    <t>2025-05-25</t>
  </si>
  <si>
    <t>COMP-0248</t>
  </si>
  <si>
    <t>COMP-0249</t>
  </si>
  <si>
    <t>COMP-0250</t>
  </si>
  <si>
    <t>2024-09-11</t>
  </si>
  <si>
    <t>COMP-0251</t>
  </si>
  <si>
    <t>COMP-0252</t>
  </si>
  <si>
    <t>2026-02-13</t>
  </si>
  <si>
    <t>2026-03-23</t>
  </si>
  <si>
    <t>COMP-0253</t>
  </si>
  <si>
    <t>COMP-0254</t>
  </si>
  <si>
    <t>2024-06-26</t>
  </si>
  <si>
    <t>COMP-0255</t>
  </si>
  <si>
    <t>COMP-0256</t>
  </si>
  <si>
    <t>2025-02-19</t>
  </si>
  <si>
    <t>COMP-0257</t>
  </si>
  <si>
    <t>2025-12-20</t>
  </si>
  <si>
    <t>2026-01-07</t>
  </si>
  <si>
    <t>COMP-0258</t>
  </si>
  <si>
    <t>2025-10-22</t>
  </si>
  <si>
    <t>COMP-0259</t>
  </si>
  <si>
    <t>COMP-0260</t>
  </si>
  <si>
    <t>2024-09-19</t>
  </si>
  <si>
    <t>2024-11-01</t>
  </si>
  <si>
    <t>COMP-0261</t>
  </si>
  <si>
    <t>2025-08-06</t>
  </si>
  <si>
    <t>2025-09-03</t>
  </si>
  <si>
    <t>COMP-0262</t>
  </si>
  <si>
    <t>COMP-0263</t>
  </si>
  <si>
    <t>2024-05-04</t>
  </si>
  <si>
    <t>COMP-0264</t>
  </si>
  <si>
    <t>COMP-0265</t>
  </si>
  <si>
    <t>2025-06-23</t>
  </si>
  <si>
    <t>COMP-0266</t>
  </si>
  <si>
    <t>COMP-0267</t>
  </si>
  <si>
    <t>2024-07-02</t>
  </si>
  <si>
    <t>COMP-0268</t>
  </si>
  <si>
    <t>COMP-0269</t>
  </si>
  <si>
    <t>COMP-0270</t>
  </si>
  <si>
    <t>COMP-0271</t>
  </si>
  <si>
    <t>2026-03-29</t>
  </si>
  <si>
    <t>COMP-0272</t>
  </si>
  <si>
    <t>COMP-0273</t>
  </si>
  <si>
    <t>2024-02-19</t>
  </si>
  <si>
    <t>COMP-0274</t>
  </si>
  <si>
    <t>COMP-0275</t>
  </si>
  <si>
    <t>2026-01-22</t>
  </si>
  <si>
    <t>2026-01-05</t>
  </si>
  <si>
    <t>COMP-0276</t>
  </si>
  <si>
    <t>COMP-0277</t>
  </si>
  <si>
    <t>COMP-0278</t>
  </si>
  <si>
    <t>2026-04-11</t>
  </si>
  <si>
    <t>2026-03-26</t>
  </si>
  <si>
    <t>COMP-0279</t>
  </si>
  <si>
    <t>2024-06-11</t>
  </si>
  <si>
    <t>2024-06-17</t>
  </si>
  <si>
    <t>COMP-0280</t>
  </si>
  <si>
    <t>COMP-0281</t>
  </si>
  <si>
    <t>COMP-0282</t>
  </si>
  <si>
    <t>2025-06-14</t>
  </si>
  <si>
    <t>COMP-0283</t>
  </si>
  <si>
    <t>COMP-0284</t>
  </si>
  <si>
    <t>COMP-0285</t>
  </si>
  <si>
    <t>COMP-0286</t>
  </si>
  <si>
    <t>2025-08-03</t>
  </si>
  <si>
    <t>2025-08-19</t>
  </si>
  <si>
    <t>COMP-0287</t>
  </si>
  <si>
    <t>COMP-0288</t>
  </si>
  <si>
    <t>COMP-0289</t>
  </si>
  <si>
    <t>COMP-0290</t>
  </si>
  <si>
    <t>COMP-0291</t>
  </si>
  <si>
    <t>COMP-0292</t>
  </si>
  <si>
    <t>2026-04-15</t>
  </si>
  <si>
    <t>2026-04-01</t>
  </si>
  <si>
    <t>COMP-0293</t>
  </si>
  <si>
    <t>2024-09-06</t>
  </si>
  <si>
    <t>COMP-0294</t>
  </si>
  <si>
    <t>2026-03-17</t>
  </si>
  <si>
    <t>COMP-0295</t>
  </si>
  <si>
    <t>2024-02-24</t>
  </si>
  <si>
    <t>COMP-0296</t>
  </si>
  <si>
    <t>COMP-0297</t>
  </si>
  <si>
    <t>COMP-0298</t>
  </si>
  <si>
    <t>COMP-0299</t>
  </si>
  <si>
    <t>2024-03-28</t>
  </si>
  <si>
    <t>COMP-0300</t>
  </si>
  <si>
    <t>2026-01-06</t>
  </si>
  <si>
    <t>COMP-0301</t>
  </si>
  <si>
    <t>COMP-0302</t>
  </si>
  <si>
    <t>COMP-0303</t>
  </si>
  <si>
    <t>COMP-0304</t>
  </si>
  <si>
    <t>COMP-0305</t>
  </si>
  <si>
    <t>2024-06-23</t>
  </si>
  <si>
    <t>COMP-0306</t>
  </si>
  <si>
    <t>2025-11-21</t>
  </si>
  <si>
    <t>COMP-0307</t>
  </si>
  <si>
    <t>COMP-0308</t>
  </si>
  <si>
    <t>COMP-0309</t>
  </si>
  <si>
    <t>COMP-0310</t>
  </si>
  <si>
    <t>2025-10-17</t>
  </si>
  <si>
    <t>COMP-0311</t>
  </si>
  <si>
    <t>COMP-0312</t>
  </si>
  <si>
    <t>COMP-0313</t>
  </si>
  <si>
    <t>2026-02-01</t>
  </si>
  <si>
    <t>2026-02-16</t>
  </si>
  <si>
    <t>2026-02-17</t>
  </si>
  <si>
    <t>COMP-0314</t>
  </si>
  <si>
    <t>COMP-0315</t>
  </si>
  <si>
    <t>COMP-0316</t>
  </si>
  <si>
    <t>COMP-0317</t>
  </si>
  <si>
    <t>COMP-0318</t>
  </si>
  <si>
    <t>COMP-0319</t>
  </si>
  <si>
    <t>COMP-0320</t>
  </si>
  <si>
    <t>2025-10-11</t>
  </si>
  <si>
    <t>2025-11-13</t>
  </si>
  <si>
    <t>2025-10-30</t>
  </si>
  <si>
    <t>COMP-0321</t>
  </si>
  <si>
    <t>2025-09-16</t>
  </si>
  <si>
    <t>COMP-0322</t>
  </si>
  <si>
    <t>2025-06-18</t>
  </si>
  <si>
    <t>COMP-0323</t>
  </si>
  <si>
    <t>COMP-0324</t>
  </si>
  <si>
    <t>COMP-0325</t>
  </si>
  <si>
    <t>2024-11-20</t>
  </si>
  <si>
    <t>COMP-0326</t>
  </si>
  <si>
    <t>2025-11-08</t>
  </si>
  <si>
    <t>COMP-0327</t>
  </si>
  <si>
    <t>COMP-0328</t>
  </si>
  <si>
    <t>COMP-0329</t>
  </si>
  <si>
    <t>COMP-0330</t>
  </si>
  <si>
    <t>COMP-0331</t>
  </si>
  <si>
    <t>COMP-0332</t>
  </si>
  <si>
    <t>2026-02-26</t>
  </si>
  <si>
    <t>COMP-0333</t>
  </si>
  <si>
    <t>COMP-0334</t>
  </si>
  <si>
    <t>COMP-0335</t>
  </si>
  <si>
    <t>2026-03-24</t>
  </si>
  <si>
    <t>COMP-0336</t>
  </si>
  <si>
    <t>2025-07-06</t>
  </si>
  <si>
    <t>COMP-0337</t>
  </si>
  <si>
    <t>2025-12-07</t>
  </si>
  <si>
    <t>COMP-0338</t>
  </si>
  <si>
    <t>COMP-0339</t>
  </si>
  <si>
    <t>COMP-0340</t>
  </si>
  <si>
    <t>2024-06-21</t>
  </si>
  <si>
    <t>COMP-0341</t>
  </si>
  <si>
    <t>COMP-0342</t>
  </si>
  <si>
    <t>2025-08-16</t>
  </si>
  <si>
    <t>COMP-0343</t>
  </si>
  <si>
    <t>2025-03-18</t>
  </si>
  <si>
    <t>COMP-0344</t>
  </si>
  <si>
    <t>COMP-0345</t>
  </si>
  <si>
    <t>COMP-0346</t>
  </si>
  <si>
    <t>2024-11-24</t>
  </si>
  <si>
    <t>COMP-0347</t>
  </si>
  <si>
    <t>2025-06-27</t>
  </si>
  <si>
    <t>COMP-0348</t>
  </si>
  <si>
    <t>COMP-0349</t>
  </si>
  <si>
    <t>2024-04-24</t>
  </si>
  <si>
    <t>COMP-0350</t>
  </si>
  <si>
    <t>COMP-0351</t>
  </si>
  <si>
    <t>COMP-0352</t>
  </si>
  <si>
    <t>COMP-0353</t>
  </si>
  <si>
    <t>COMP-0354</t>
  </si>
  <si>
    <t>COMP-0355</t>
  </si>
  <si>
    <t>COMP-0356</t>
  </si>
  <si>
    <t>COMP-0357</t>
  </si>
  <si>
    <t>2025-12-21</t>
  </si>
  <si>
    <t>COMP-0358</t>
  </si>
  <si>
    <t>2026-01-09</t>
  </si>
  <si>
    <t>COMP-0359</t>
  </si>
  <si>
    <t>COMP-0360</t>
  </si>
  <si>
    <t>2026-03-06</t>
  </si>
  <si>
    <t>COMP-0361</t>
  </si>
  <si>
    <t>2024-06-28</t>
  </si>
  <si>
    <t>COMP-0362</t>
  </si>
  <si>
    <t>COMP-0363</t>
  </si>
  <si>
    <t>COMP-0364</t>
  </si>
  <si>
    <t>2025-08-08</t>
  </si>
  <si>
    <t>COMP-0365</t>
  </si>
  <si>
    <t>2026-02-03</t>
  </si>
  <si>
    <t>COMP-0366</t>
  </si>
  <si>
    <t>COMP-0367</t>
  </si>
  <si>
    <t>COMP-0368</t>
  </si>
  <si>
    <t>COMP-0369</t>
  </si>
  <si>
    <t>2025-09-29</t>
  </si>
  <si>
    <t>COMP-0370</t>
  </si>
  <si>
    <t>2025-09-06</t>
  </si>
  <si>
    <t>COMP-0371</t>
  </si>
  <si>
    <t>COMP-0372</t>
  </si>
  <si>
    <t>2025-10-25</t>
  </si>
  <si>
    <t>COMP-0373</t>
  </si>
  <si>
    <t>2024-10-01</t>
  </si>
  <si>
    <t>COMP-0374</t>
  </si>
  <si>
    <t>COMP-0375</t>
  </si>
  <si>
    <t>COMP-0376</t>
  </si>
  <si>
    <t>2025-06-09</t>
  </si>
  <si>
    <t>COMP-0377</t>
  </si>
  <si>
    <t>2025-07-17</t>
  </si>
  <si>
    <t>2025-07-19</t>
  </si>
  <si>
    <t>COMP-0378</t>
  </si>
  <si>
    <t>COMP-0379</t>
  </si>
  <si>
    <t>COMP-0380</t>
  </si>
  <si>
    <t>2025-10-21</t>
  </si>
  <si>
    <t>COMP-0381</t>
  </si>
  <si>
    <t>COMP-0382</t>
  </si>
  <si>
    <t>COMP-0383</t>
  </si>
  <si>
    <t>COMP-0384</t>
  </si>
  <si>
    <t>2024-01-24</t>
  </si>
  <si>
    <t>COMP-0385</t>
  </si>
  <si>
    <t>2025-09-13</t>
  </si>
  <si>
    <t>COMP-0386</t>
  </si>
  <si>
    <t>2024-11-19</t>
  </si>
  <si>
    <t>COMP-0387</t>
  </si>
  <si>
    <t>2024-01-21</t>
  </si>
  <si>
    <t>COMP-0388</t>
  </si>
  <si>
    <t>COMP-0389</t>
  </si>
  <si>
    <t>COMP-0390</t>
  </si>
  <si>
    <t>COMP-0391</t>
  </si>
  <si>
    <t>COMP-0392</t>
  </si>
  <si>
    <t>COMP-0393</t>
  </si>
  <si>
    <t>COMP-0394</t>
  </si>
  <si>
    <t>2024-09-24</t>
  </si>
  <si>
    <t>COMP-0395</t>
  </si>
  <si>
    <t>2025-08-05</t>
  </si>
  <si>
    <t>COMP-0396</t>
  </si>
  <si>
    <t>COMP-0397</t>
  </si>
  <si>
    <t>COMP-0398</t>
  </si>
  <si>
    <t>COMP-0399</t>
  </si>
  <si>
    <t>2024-04-13</t>
  </si>
  <si>
    <t>COMP-0400</t>
  </si>
  <si>
    <t>2024-03-15</t>
  </si>
  <si>
    <t>Fecha Envío</t>
  </si>
  <si>
    <t>Fecha Entrega</t>
  </si>
  <si>
    <t>Cliente</t>
  </si>
  <si>
    <t>Cantidad</t>
  </si>
  <si>
    <t>Precio Unitario USD</t>
  </si>
  <si>
    <t>Subtotal USD</t>
  </si>
  <si>
    <t>Canal de Venta</t>
  </si>
  <si>
    <t>Almacén Origen</t>
  </si>
  <si>
    <t>Número Tracking</t>
  </si>
  <si>
    <t>VENT-0001</t>
  </si>
  <si>
    <t>2024-02-01</t>
  </si>
  <si>
    <t>Efectivo</t>
  </si>
  <si>
    <t>Marketplace</t>
  </si>
  <si>
    <t>TRK7965460607</t>
  </si>
  <si>
    <t>Requiere seguimiento</t>
  </si>
  <si>
    <t>VENT-0002</t>
  </si>
  <si>
    <t>PayPal</t>
  </si>
  <si>
    <t>Web</t>
  </si>
  <si>
    <t>TRK3173028996</t>
  </si>
  <si>
    <t>Urgente</t>
  </si>
  <si>
    <t>VENT-0003</t>
  </si>
  <si>
    <t>2024-10-03</t>
  </si>
  <si>
    <t>Mercado Pago</t>
  </si>
  <si>
    <t>TRK6943760313</t>
  </si>
  <si>
    <t>VENT-0004</t>
  </si>
  <si>
    <t>TRK7735311158</t>
  </si>
  <si>
    <t>VENT-0005</t>
  </si>
  <si>
    <t>App Móvil</t>
  </si>
  <si>
    <t>TRK9933401102</t>
  </si>
  <si>
    <t>Devuelta</t>
  </si>
  <si>
    <t>VENT-0006</t>
  </si>
  <si>
    <t>Stripe</t>
  </si>
  <si>
    <t>Presencial</t>
  </si>
  <si>
    <t>TRK8226718114</t>
  </si>
  <si>
    <t>VENT-0007</t>
  </si>
  <si>
    <t>TRK2106565172</t>
  </si>
  <si>
    <t>VENT-0008</t>
  </si>
  <si>
    <t>2025-12-22</t>
  </si>
  <si>
    <t>TRK6717516887</t>
  </si>
  <si>
    <t>VENT-0009</t>
  </si>
  <si>
    <t>2026-03-19</t>
  </si>
  <si>
    <t>Tarjeta de crédito</t>
  </si>
  <si>
    <t>TRK5956589581</t>
  </si>
  <si>
    <t>VENT-0010</t>
  </si>
  <si>
    <t>TRK2230368944</t>
  </si>
  <si>
    <t>VENT-0011</t>
  </si>
  <si>
    <t>2024-04-15</t>
  </si>
  <si>
    <t>TRK7615840708</t>
  </si>
  <si>
    <t>VENT-0012</t>
  </si>
  <si>
    <t>TRK3456709521</t>
  </si>
  <si>
    <t>VENT-0013</t>
  </si>
  <si>
    <t>TRK5756841512</t>
  </si>
  <si>
    <t>VENT-0014</t>
  </si>
  <si>
    <t>TRK2218469455</t>
  </si>
  <si>
    <t>VENT-0015</t>
  </si>
  <si>
    <t>2025-06-10</t>
  </si>
  <si>
    <t>TRK2402777787</t>
  </si>
  <si>
    <t>VENT-0016</t>
  </si>
  <si>
    <t>TRK5610398955</t>
  </si>
  <si>
    <t>En proceso</t>
  </si>
  <si>
    <t>VENT-0017</t>
  </si>
  <si>
    <t>TRK5440292367</t>
  </si>
  <si>
    <t>VENT-0018</t>
  </si>
  <si>
    <t>TRK9446278791</t>
  </si>
  <si>
    <t>VENT-0019</t>
  </si>
  <si>
    <t>TRK5695328401</t>
  </si>
  <si>
    <t>VENT-0020</t>
  </si>
  <si>
    <t>TRK9629556261</t>
  </si>
  <si>
    <t>VENT-0021</t>
  </si>
  <si>
    <t>TRK7575032731</t>
  </si>
  <si>
    <t>VENT-0022</t>
  </si>
  <si>
    <t>TRK2428529361</t>
  </si>
  <si>
    <t>VENT-0023</t>
  </si>
  <si>
    <t>TRK6386498527</t>
  </si>
  <si>
    <t>VENT-0024</t>
  </si>
  <si>
    <t>TRK9331879663</t>
  </si>
  <si>
    <t>Cliente satisfecho</t>
  </si>
  <si>
    <t>VENT-0025</t>
  </si>
  <si>
    <t>TRK8411916248</t>
  </si>
  <si>
    <t>VENT-0026</t>
  </si>
  <si>
    <t>TRK8118724337</t>
  </si>
  <si>
    <t>VENT-0027</t>
  </si>
  <si>
    <t>2026-02-24</t>
  </si>
  <si>
    <t>2026-02-27</t>
  </si>
  <si>
    <t>TRK1294590834</t>
  </si>
  <si>
    <t>VENT-0028</t>
  </si>
  <si>
    <t>TRK7591021980</t>
  </si>
  <si>
    <t>VENT-0029</t>
  </si>
  <si>
    <t>TRK4115205266</t>
  </si>
  <si>
    <t>VENT-0030</t>
  </si>
  <si>
    <t>TRK8545210932</t>
  </si>
  <si>
    <t>VENT-0031</t>
  </si>
  <si>
    <t>TRK8605695669</t>
  </si>
  <si>
    <t>VENT-0032</t>
  </si>
  <si>
    <t>TRK6749782732</t>
  </si>
  <si>
    <t>VENT-0033</t>
  </si>
  <si>
    <t>TRK2463309671</t>
  </si>
  <si>
    <t>VENT-0034</t>
  </si>
  <si>
    <t>TRK5291878112</t>
  </si>
  <si>
    <t>VENT-0035</t>
  </si>
  <si>
    <t>2026-01-28</t>
  </si>
  <si>
    <t>TRK5724990673</t>
  </si>
  <si>
    <t>VENT-0036</t>
  </si>
  <si>
    <t>TRK6482589747</t>
  </si>
  <si>
    <t>VENT-0037</t>
  </si>
  <si>
    <t>TRK4182975895</t>
  </si>
  <si>
    <t>VENT-0038</t>
  </si>
  <si>
    <t>TRK4410664100</t>
  </si>
  <si>
    <t>VENT-0039</t>
  </si>
  <si>
    <t>TRK2751962237</t>
  </si>
  <si>
    <t>VENT-0040</t>
  </si>
  <si>
    <t>2025-11-16</t>
  </si>
  <si>
    <t>2025-11-17</t>
  </si>
  <si>
    <t>TRK5879986988</t>
  </si>
  <si>
    <t>VENT-0041</t>
  </si>
  <si>
    <t>TRK3882025167</t>
  </si>
  <si>
    <t>VENT-0042</t>
  </si>
  <si>
    <t>TRK3799687315</t>
  </si>
  <si>
    <t>VENT-0043</t>
  </si>
  <si>
    <t>TRK8216895937</t>
  </si>
  <si>
    <t>VENT-0044</t>
  </si>
  <si>
    <t>TRK2082809647</t>
  </si>
  <si>
    <t>VENT-0045</t>
  </si>
  <si>
    <t>TRK6055434544</t>
  </si>
  <si>
    <t>VENT-0046</t>
  </si>
  <si>
    <t>TRK9433203404</t>
  </si>
  <si>
    <t>VENT-0047</t>
  </si>
  <si>
    <t>TRK5011397503</t>
  </si>
  <si>
    <t>VENT-0048</t>
  </si>
  <si>
    <t>TRK1460073271</t>
  </si>
  <si>
    <t>VENT-0049</t>
  </si>
  <si>
    <t>TRK5117248077</t>
  </si>
  <si>
    <t>VENT-0050</t>
  </si>
  <si>
    <t>TRK8750668758</t>
  </si>
  <si>
    <t>VENT-0051</t>
  </si>
  <si>
    <t>TRK6827758031</t>
  </si>
  <si>
    <t>VENT-0052</t>
  </si>
  <si>
    <t>TRK6175261010</t>
  </si>
  <si>
    <t>VENT-0053</t>
  </si>
  <si>
    <t>TRK7818258958</t>
  </si>
  <si>
    <t>VENT-0054</t>
  </si>
  <si>
    <t>2024-08-30</t>
  </si>
  <si>
    <t>TRK2035989065</t>
  </si>
  <si>
    <t>VENT-0055</t>
  </si>
  <si>
    <t>TRK7767471712</t>
  </si>
  <si>
    <t>VENT-0056</t>
  </si>
  <si>
    <t>TRK8160992941</t>
  </si>
  <si>
    <t>VENT-0057</t>
  </si>
  <si>
    <t>TRK2930446141</t>
  </si>
  <si>
    <t>VENT-0058</t>
  </si>
  <si>
    <t>2026-02-20</t>
  </si>
  <si>
    <t>TRK4870437669</t>
  </si>
  <si>
    <t>VENT-0059</t>
  </si>
  <si>
    <t>TRK5955274284</t>
  </si>
  <si>
    <t>VENT-0060</t>
  </si>
  <si>
    <t>2025-07-24</t>
  </si>
  <si>
    <t>TRK7223659197</t>
  </si>
  <si>
    <t>VENT-0061</t>
  </si>
  <si>
    <t>TRK7594697802</t>
  </si>
  <si>
    <t>VENT-0062</t>
  </si>
  <si>
    <t>2024-04-28</t>
  </si>
  <si>
    <t>TRK3224597355</t>
  </si>
  <si>
    <t>VENT-0063</t>
  </si>
  <si>
    <t>TRK3308830426</t>
  </si>
  <si>
    <t>VENT-0064</t>
  </si>
  <si>
    <t>TRK2899868676</t>
  </si>
  <si>
    <t>VENT-0065</t>
  </si>
  <si>
    <t>TRK1130341144</t>
  </si>
  <si>
    <t>VENT-0066</t>
  </si>
  <si>
    <t>TRK2595749987</t>
  </si>
  <si>
    <t>VENT-0067</t>
  </si>
  <si>
    <t>2025-06-13</t>
  </si>
  <si>
    <t>TRK7614306997</t>
  </si>
  <si>
    <t>VENT-0068</t>
  </si>
  <si>
    <t>TRK7161946294</t>
  </si>
  <si>
    <t>VENT-0069</t>
  </si>
  <si>
    <t>TRK7510701005</t>
  </si>
  <si>
    <t>VENT-0070</t>
  </si>
  <si>
    <t>TRK7772412615</t>
  </si>
  <si>
    <t>VENT-0071</t>
  </si>
  <si>
    <t>TRK1793565790</t>
  </si>
  <si>
    <t>VENT-0072</t>
  </si>
  <si>
    <t>2025-06-25</t>
  </si>
  <si>
    <t>TRK9368508491</t>
  </si>
  <si>
    <t>VENT-0073</t>
  </si>
  <si>
    <t>TRK1281451607</t>
  </si>
  <si>
    <t>VENT-0074</t>
  </si>
  <si>
    <t>TRK9072159605</t>
  </si>
  <si>
    <t>VENT-0075</t>
  </si>
  <si>
    <t>TRK8007807461</t>
  </si>
  <si>
    <t>VENT-0076</t>
  </si>
  <si>
    <t>TRK6097934243</t>
  </si>
  <si>
    <t>VENT-0077</t>
  </si>
  <si>
    <t>TRK4315873227</t>
  </si>
  <si>
    <t>VENT-0078</t>
  </si>
  <si>
    <t>TRK9854204279</t>
  </si>
  <si>
    <t>VENT-0079</t>
  </si>
  <si>
    <t>TRK4044608073</t>
  </si>
  <si>
    <t>VENT-0080</t>
  </si>
  <si>
    <t>2025-06-22</t>
  </si>
  <si>
    <t>TRK1853061625</t>
  </si>
  <si>
    <t>VENT-0081</t>
  </si>
  <si>
    <t>TRK7463438053</t>
  </si>
  <si>
    <t>VENT-0082</t>
  </si>
  <si>
    <t>TRK3517238620</t>
  </si>
  <si>
    <t>VENT-0083</t>
  </si>
  <si>
    <t>2024-01-26</t>
  </si>
  <si>
    <t>TRK8313636100</t>
  </si>
  <si>
    <t>VENT-0084</t>
  </si>
  <si>
    <t>TRK4804842564</t>
  </si>
  <si>
    <t>VENT-0085</t>
  </si>
  <si>
    <t>TRK7345156560</t>
  </si>
  <si>
    <t>VENT-0086</t>
  </si>
  <si>
    <t>TRK6745354940</t>
  </si>
  <si>
    <t>VENT-0087</t>
  </si>
  <si>
    <t>TRK8696719645</t>
  </si>
  <si>
    <t>VENT-0088</t>
  </si>
  <si>
    <t>2025-06-15</t>
  </si>
  <si>
    <t>TRK4635848624</t>
  </si>
  <si>
    <t>VENT-0089</t>
  </si>
  <si>
    <t>TRK8236625158</t>
  </si>
  <si>
    <t>VENT-0090</t>
  </si>
  <si>
    <t>TRK6082681041</t>
  </si>
  <si>
    <t>VENT-0091</t>
  </si>
  <si>
    <t>TRK5136607835</t>
  </si>
  <si>
    <t>VENT-0092</t>
  </si>
  <si>
    <t>2026-03-15</t>
  </si>
  <si>
    <t>TRK3270353915</t>
  </si>
  <si>
    <t>VENT-0093</t>
  </si>
  <si>
    <t>TRK4531566367</t>
  </si>
  <si>
    <t>VENT-0094</t>
  </si>
  <si>
    <t>2025-04-08</t>
  </si>
  <si>
    <t>2025-04-10</t>
  </si>
  <si>
    <t>TRK8765601772</t>
  </si>
  <si>
    <t>VENT-0095</t>
  </si>
  <si>
    <t>TRK3428116280</t>
  </si>
  <si>
    <t>VENT-0096</t>
  </si>
  <si>
    <t>TRK6252864882</t>
  </si>
  <si>
    <t>VENT-0097</t>
  </si>
  <si>
    <t>TRK5800556513</t>
  </si>
  <si>
    <t>VENT-0098</t>
  </si>
  <si>
    <t>TRK9194196378</t>
  </si>
  <si>
    <t>VENT-0099</t>
  </si>
  <si>
    <t>TRK7159619661</t>
  </si>
  <si>
    <t>VENT-0100</t>
  </si>
  <si>
    <t>TRK6919736734</t>
  </si>
  <si>
    <t>VENT-0101</t>
  </si>
  <si>
    <t>TRK5811161965</t>
  </si>
  <si>
    <t>VENT-0102</t>
  </si>
  <si>
    <t>2024-11-14</t>
  </si>
  <si>
    <t>TRK4231244980</t>
  </si>
  <si>
    <t>VENT-0103</t>
  </si>
  <si>
    <t>TRK1322366248</t>
  </si>
  <si>
    <t>VENT-0104</t>
  </si>
  <si>
    <t>2025-10-27</t>
  </si>
  <si>
    <t>TRK2380371508</t>
  </si>
  <si>
    <t>VENT-0105</t>
  </si>
  <si>
    <t>TRK8033021343</t>
  </si>
  <si>
    <t>VENT-0106</t>
  </si>
  <si>
    <t>TRK9001594091</t>
  </si>
  <si>
    <t>VENT-0107</t>
  </si>
  <si>
    <t>TRK3584703554</t>
  </si>
  <si>
    <t>VENT-0108</t>
  </si>
  <si>
    <t>TRK6644446656</t>
  </si>
  <si>
    <t>VENT-0109</t>
  </si>
  <si>
    <t>TRK3589552483</t>
  </si>
  <si>
    <t>VENT-0110</t>
  </si>
  <si>
    <t>TRK9488715564</t>
  </si>
  <si>
    <t>VENT-0111</t>
  </si>
  <si>
    <t>TRK2387371777</t>
  </si>
  <si>
    <t>VENT-0112</t>
  </si>
  <si>
    <t>2024-10-10</t>
  </si>
  <si>
    <t>TRK5731402291</t>
  </si>
  <si>
    <t>VENT-0113</t>
  </si>
  <si>
    <t>TRK4553324308</t>
  </si>
  <si>
    <t>VENT-0114</t>
  </si>
  <si>
    <t>TRK4549076340</t>
  </si>
  <si>
    <t>VENT-0115</t>
  </si>
  <si>
    <t>TRK7136173390</t>
  </si>
  <si>
    <t>VENT-0116</t>
  </si>
  <si>
    <t>TRK4283657259</t>
  </si>
  <si>
    <t>VENT-0117</t>
  </si>
  <si>
    <t>TRK8633387715</t>
  </si>
  <si>
    <t>VENT-0118</t>
  </si>
  <si>
    <t>2025-06-19</t>
  </si>
  <si>
    <t>TRK9759305846</t>
  </si>
  <si>
    <t>VENT-0119</t>
  </si>
  <si>
    <t>2024-01-20</t>
  </si>
  <si>
    <t>TRK9457072430</t>
  </si>
  <si>
    <t>VENT-0120</t>
  </si>
  <si>
    <t>TRK4920956041</t>
  </si>
  <si>
    <t>VENT-0121</t>
  </si>
  <si>
    <t>2025-02-06</t>
  </si>
  <si>
    <t>TRK7236320067</t>
  </si>
  <si>
    <t>VENT-0122</t>
  </si>
  <si>
    <t>TRK9226229353</t>
  </si>
  <si>
    <t>VENT-0123</t>
  </si>
  <si>
    <t>TRK3252224016</t>
  </si>
  <si>
    <t>VENT-0124</t>
  </si>
  <si>
    <t>TRK8239650191</t>
  </si>
  <si>
    <t>VENT-0125</t>
  </si>
  <si>
    <t>2026-03-22</t>
  </si>
  <si>
    <t>TRK6983634041</t>
  </si>
  <si>
    <t>VENT-0126</t>
  </si>
  <si>
    <t>TRK8685994713</t>
  </si>
  <si>
    <t>VENT-0127</t>
  </si>
  <si>
    <t>TRK6769647208</t>
  </si>
  <si>
    <t>VENT-0128</t>
  </si>
  <si>
    <t>2025-06-28</t>
  </si>
  <si>
    <t>TRK8347036704</t>
  </si>
  <si>
    <t>VENT-0129</t>
  </si>
  <si>
    <t>TRK8215987738</t>
  </si>
  <si>
    <t>VENT-0130</t>
  </si>
  <si>
    <t>TRK3079834001</t>
  </si>
  <si>
    <t>VENT-0131</t>
  </si>
  <si>
    <t>2024-02-08</t>
  </si>
  <si>
    <t>TRK5673814572</t>
  </si>
  <si>
    <t>VENT-0132</t>
  </si>
  <si>
    <t>TRK3252816770</t>
  </si>
  <si>
    <t>VENT-0133</t>
  </si>
  <si>
    <t>TRK2519815008</t>
  </si>
  <si>
    <t>VENT-0134</t>
  </si>
  <si>
    <t>TRK6461832733</t>
  </si>
  <si>
    <t>VENT-0135</t>
  </si>
  <si>
    <t>2024-06-15</t>
  </si>
  <si>
    <t>TRK7470108123</t>
  </si>
  <si>
    <t>VENT-0136</t>
  </si>
  <si>
    <t>2025-06-06</t>
  </si>
  <si>
    <t>TRK7821787690</t>
  </si>
  <si>
    <t>VENT-0137</t>
  </si>
  <si>
    <t>TRK1109073907</t>
  </si>
  <si>
    <t>VENT-0138</t>
  </si>
  <si>
    <t>2025-10-26</t>
  </si>
  <si>
    <t>TRK9025082374</t>
  </si>
  <si>
    <t>VENT-0139</t>
  </si>
  <si>
    <t>TRK6597469534</t>
  </si>
  <si>
    <t>VENT-0140</t>
  </si>
  <si>
    <t>2025-12-08</t>
  </si>
  <si>
    <t>TRK9372856246</t>
  </si>
  <si>
    <t>VENT-0141</t>
  </si>
  <si>
    <t>2026-02-10</t>
  </si>
  <si>
    <t>TRK3258412623</t>
  </si>
  <si>
    <t>VENT-0142</t>
  </si>
  <si>
    <t>TRK1397731536</t>
  </si>
  <si>
    <t>VENT-0143</t>
  </si>
  <si>
    <t>TRK7320734760</t>
  </si>
  <si>
    <t>VENT-0144</t>
  </si>
  <si>
    <t>TRK2627404374</t>
  </si>
  <si>
    <t>VENT-0145</t>
  </si>
  <si>
    <t>TRK5734127482</t>
  </si>
  <si>
    <t>VENT-0146</t>
  </si>
  <si>
    <t>TRK5151602251</t>
  </si>
  <si>
    <t>VENT-0147</t>
  </si>
  <si>
    <t>2025-10-03</t>
  </si>
  <si>
    <t>TRK9913615651</t>
  </si>
  <si>
    <t>VENT-0148</t>
  </si>
  <si>
    <t>TRK9330931447</t>
  </si>
  <si>
    <t>VENT-0149</t>
  </si>
  <si>
    <t>2025-05-19</t>
  </si>
  <si>
    <t>TRK5045422600</t>
  </si>
  <si>
    <t>VENT-0150</t>
  </si>
  <si>
    <t>TRK1011545218</t>
  </si>
  <si>
    <t>VENT-0151</t>
  </si>
  <si>
    <t>TRK2403925038</t>
  </si>
  <si>
    <t>VENT-0152</t>
  </si>
  <si>
    <t>TRK1809345618</t>
  </si>
  <si>
    <t>VENT-0153</t>
  </si>
  <si>
    <t>2025-12-03</t>
  </si>
  <si>
    <t>2025-12-06</t>
  </si>
  <si>
    <t>TRK7504017397</t>
  </si>
  <si>
    <t>VENT-0154</t>
  </si>
  <si>
    <t>TRK9257266440</t>
  </si>
  <si>
    <t>VENT-0155</t>
  </si>
  <si>
    <t>TRK1103207870</t>
  </si>
  <si>
    <t>VENT-0156</t>
  </si>
  <si>
    <t>TRK1354969685</t>
  </si>
  <si>
    <t>VENT-0157</t>
  </si>
  <si>
    <t>2026-01-19</t>
  </si>
  <si>
    <t>TRK9418625524</t>
  </si>
  <si>
    <t>VENT-0158</t>
  </si>
  <si>
    <t>TRK1776130576</t>
  </si>
  <si>
    <t>VENT-0159</t>
  </si>
  <si>
    <t>TRK4133955750</t>
  </si>
  <si>
    <t>VENT-0160</t>
  </si>
  <si>
    <t>TRK3237646664</t>
  </si>
  <si>
    <t>VENT-0161</t>
  </si>
  <si>
    <t>2025-11-30</t>
  </si>
  <si>
    <t>TRK1578249720</t>
  </si>
  <si>
    <t>VENT-0162</t>
  </si>
  <si>
    <t>TRK2482789277</t>
  </si>
  <si>
    <t>VENT-0163</t>
  </si>
  <si>
    <t>2024-10-16</t>
  </si>
  <si>
    <t>TRK6869891456</t>
  </si>
  <si>
    <t>VENT-0164</t>
  </si>
  <si>
    <t>TRK5823732987</t>
  </si>
  <si>
    <t>VENT-0165</t>
  </si>
  <si>
    <t>2025-09-26</t>
  </si>
  <si>
    <t>TRK3537521109</t>
  </si>
  <si>
    <t>VENT-0166</t>
  </si>
  <si>
    <t>TRK9016360263</t>
  </si>
  <si>
    <t>VENT-0167</t>
  </si>
  <si>
    <t>TRK8674417535</t>
  </si>
  <si>
    <t>VENT-0168</t>
  </si>
  <si>
    <t>TRK4614553158</t>
  </si>
  <si>
    <t>VENT-0169</t>
  </si>
  <si>
    <t>2026-03-11</t>
  </si>
  <si>
    <t>TRK1890000799</t>
  </si>
  <si>
    <t>VENT-0170</t>
  </si>
  <si>
    <t>TRK3219862116</t>
  </si>
  <si>
    <t>VENT-0171</t>
  </si>
  <si>
    <t>TRK7049834372</t>
  </si>
  <si>
    <t>VENT-0172</t>
  </si>
  <si>
    <t>TRK2720637479</t>
  </si>
  <si>
    <t>VENT-0173</t>
  </si>
  <si>
    <t>2025-06-24</t>
  </si>
  <si>
    <t>TRK6384861002</t>
  </si>
  <si>
    <t>VENT-0174</t>
  </si>
  <si>
    <t>2026-03-16</t>
  </si>
  <si>
    <t>TRK8895570295</t>
  </si>
  <si>
    <t>VENT-0175</t>
  </si>
  <si>
    <t>2024-05-21</t>
  </si>
  <si>
    <t>TRK7076537002</t>
  </si>
  <si>
    <t>VENT-0176</t>
  </si>
  <si>
    <t>TRK9220264167</t>
  </si>
  <si>
    <t>VENT-0177</t>
  </si>
  <si>
    <t>TRK5307967688</t>
  </si>
  <si>
    <t>VENT-0178</t>
  </si>
  <si>
    <t>TRK1279682481</t>
  </si>
  <si>
    <t>VENT-0179</t>
  </si>
  <si>
    <t>2024-10-26</t>
  </si>
  <si>
    <t>TRK7377834977</t>
  </si>
  <si>
    <t>VENT-0180</t>
  </si>
  <si>
    <t>TRK7917243133</t>
  </si>
  <si>
    <t>VENT-0181</t>
  </si>
  <si>
    <t>TRK4626029922</t>
  </si>
  <si>
    <t>VENT-0182</t>
  </si>
  <si>
    <t>2025-10-09</t>
  </si>
  <si>
    <t>TRK7806290287</t>
  </si>
  <si>
    <t>VENT-0183</t>
  </si>
  <si>
    <t>TRK9281022257</t>
  </si>
  <si>
    <t>VENT-0184</t>
  </si>
  <si>
    <t>2025-01-09</t>
  </si>
  <si>
    <t>TRK5005086955</t>
  </si>
  <si>
    <t>VENT-0185</t>
  </si>
  <si>
    <t>TRK3419909553</t>
  </si>
  <si>
    <t>VENT-0186</t>
  </si>
  <si>
    <t>TRK5941089356</t>
  </si>
  <si>
    <t>VENT-0187</t>
  </si>
  <si>
    <t>2024-08-22</t>
  </si>
  <si>
    <t>TRK5778121054</t>
  </si>
  <si>
    <t>VENT-0188</t>
  </si>
  <si>
    <t>TRK2710076377</t>
  </si>
  <si>
    <t>VENT-0189</t>
  </si>
  <si>
    <t>TRK2843864884</t>
  </si>
  <si>
    <t>VENT-0190</t>
  </si>
  <si>
    <t>TRK8002154568</t>
  </si>
  <si>
    <t>VENT-0191</t>
  </si>
  <si>
    <t>TRK2872211645</t>
  </si>
  <si>
    <t>VENT-0192</t>
  </si>
  <si>
    <t>TRK1317196446</t>
  </si>
  <si>
    <t>VENT-0193</t>
  </si>
  <si>
    <t>TRK5296790158</t>
  </si>
  <si>
    <t>VENT-0194</t>
  </si>
  <si>
    <t>TRK6592426108</t>
  </si>
  <si>
    <t>VENT-0195</t>
  </si>
  <si>
    <t>TRK4629796890</t>
  </si>
  <si>
    <t>VENT-0196</t>
  </si>
  <si>
    <t>2025-09-09</t>
  </si>
  <si>
    <t>TRK3367183914</t>
  </si>
  <si>
    <t>VENT-0197</t>
  </si>
  <si>
    <t>2024-04-17</t>
  </si>
  <si>
    <t>TRK7986151280</t>
  </si>
  <si>
    <t>VENT-0198</t>
  </si>
  <si>
    <t>TRK5682785101</t>
  </si>
  <si>
    <t>VENT-0199</t>
  </si>
  <si>
    <t>2026-01-10</t>
  </si>
  <si>
    <t>TRK9283911005</t>
  </si>
  <si>
    <t>VENT-0200</t>
  </si>
  <si>
    <t>TRK6184633422</t>
  </si>
  <si>
    <t>VENT-0201</t>
  </si>
  <si>
    <t>TRK1032978199</t>
  </si>
  <si>
    <t>VENT-0202</t>
  </si>
  <si>
    <t>TRK7929459291</t>
  </si>
  <si>
    <t>VENT-0203</t>
  </si>
  <si>
    <t>TRK7198050390</t>
  </si>
  <si>
    <t>VENT-0204</t>
  </si>
  <si>
    <t>TRK8726345349</t>
  </si>
  <si>
    <t>VENT-0205</t>
  </si>
  <si>
    <t>TRK2490454518</t>
  </si>
  <si>
    <t>VENT-0206</t>
  </si>
  <si>
    <t>TRK7330560301</t>
  </si>
  <si>
    <t>VENT-0207</t>
  </si>
  <si>
    <t>TRK8041246170</t>
  </si>
  <si>
    <t>VENT-0208</t>
  </si>
  <si>
    <t>TRK4756459172</t>
  </si>
  <si>
    <t>VENT-0209</t>
  </si>
  <si>
    <t>TRK1707054263</t>
  </si>
  <si>
    <t>VENT-0210</t>
  </si>
  <si>
    <t>TRK3286167917</t>
  </si>
  <si>
    <t>VENT-0211</t>
  </si>
  <si>
    <t>TRK4226287306</t>
  </si>
  <si>
    <t>VENT-0212</t>
  </si>
  <si>
    <t>TRK7301679332</t>
  </si>
  <si>
    <t>VENT-0213</t>
  </si>
  <si>
    <t>TRK9491796858</t>
  </si>
  <si>
    <t>VENT-0214</t>
  </si>
  <si>
    <t>TRK7609507808</t>
  </si>
  <si>
    <t>VENT-0215</t>
  </si>
  <si>
    <t>TRK1834778099</t>
  </si>
  <si>
    <t>VENT-0216</t>
  </si>
  <si>
    <t>TRK9886818084</t>
  </si>
  <si>
    <t>VENT-0217</t>
  </si>
  <si>
    <t>TRK9398857972</t>
  </si>
  <si>
    <t>VENT-0218</t>
  </si>
  <si>
    <t>TRK3372845154</t>
  </si>
  <si>
    <t>VENT-0219</t>
  </si>
  <si>
    <t>2025-06-12</t>
  </si>
  <si>
    <t>TRK5556620439</t>
  </si>
  <si>
    <t>VENT-0220</t>
  </si>
  <si>
    <t>TRK9433197937</t>
  </si>
  <si>
    <t>VENT-0221</t>
  </si>
  <si>
    <t>2025-08-29</t>
  </si>
  <si>
    <t>TRK4403112126</t>
  </si>
  <si>
    <t>VENT-0222</t>
  </si>
  <si>
    <t>TRK4969078221</t>
  </si>
  <si>
    <t>VENT-0223</t>
  </si>
  <si>
    <t>2024-01-03</t>
  </si>
  <si>
    <t>TRK7158856500</t>
  </si>
  <si>
    <t>VENT-0224</t>
  </si>
  <si>
    <t>2025-12-05</t>
  </si>
  <si>
    <t>TRK2269041320</t>
  </si>
  <si>
    <t>VENT-0225</t>
  </si>
  <si>
    <t>2025-07-20</t>
  </si>
  <si>
    <t>TRK5051895109</t>
  </si>
  <si>
    <t>VENT-0226</t>
  </si>
  <si>
    <t>TRK4393477227</t>
  </si>
  <si>
    <t>VENT-0227</t>
  </si>
  <si>
    <t>2026-02-23</t>
  </si>
  <si>
    <t>TRK9347090313</t>
  </si>
  <si>
    <t>VENT-0228</t>
  </si>
  <si>
    <t>TRK6888264673</t>
  </si>
  <si>
    <t>VENT-0229</t>
  </si>
  <si>
    <t>TRK7951893153</t>
  </si>
  <si>
    <t>VENT-0230</t>
  </si>
  <si>
    <t>2025-07-15</t>
  </si>
  <si>
    <t>TRK2740563054</t>
  </si>
  <si>
    <t>VENT-0231</t>
  </si>
  <si>
    <t>TRK5606987443</t>
  </si>
  <si>
    <t>VENT-0232</t>
  </si>
  <si>
    <t>2025-08-09</t>
  </si>
  <si>
    <t>TRK1543331398</t>
  </si>
  <si>
    <t>VENT-0233</t>
  </si>
  <si>
    <t>TRK4671254638</t>
  </si>
  <si>
    <t>VENT-0234</t>
  </si>
  <si>
    <t>TRK4212434614</t>
  </si>
  <si>
    <t>VENT-0235</t>
  </si>
  <si>
    <t>TRK5037120597</t>
  </si>
  <si>
    <t>VENT-0236</t>
  </si>
  <si>
    <t>TRK8436354844</t>
  </si>
  <si>
    <t>VENT-0237</t>
  </si>
  <si>
    <t>TRK1607892230</t>
  </si>
  <si>
    <t>VENT-0238</t>
  </si>
  <si>
    <t>TRK5082964045</t>
  </si>
  <si>
    <t>VENT-0239</t>
  </si>
  <si>
    <t>TRK2202584661</t>
  </si>
  <si>
    <t>VENT-0240</t>
  </si>
  <si>
    <t>TRK1386931319</t>
  </si>
  <si>
    <t>VENT-0241</t>
  </si>
  <si>
    <t>TRK9594339914</t>
  </si>
  <si>
    <t>VENT-0242</t>
  </si>
  <si>
    <t>TRK1584821121</t>
  </si>
  <si>
    <t>VENT-0243</t>
  </si>
  <si>
    <t>TRK8350306139</t>
  </si>
  <si>
    <t>VENT-0244</t>
  </si>
  <si>
    <t>TRK7851237056</t>
  </si>
  <si>
    <t>VENT-0245</t>
  </si>
  <si>
    <t>TRK4321925889</t>
  </si>
  <si>
    <t>VENT-0246</t>
  </si>
  <si>
    <t>2025-09-17</t>
  </si>
  <si>
    <t>TRK9127804112</t>
  </si>
  <si>
    <t>VENT-0247</t>
  </si>
  <si>
    <t>TRK2870122068</t>
  </si>
  <si>
    <t>VENT-0248</t>
  </si>
  <si>
    <t>TRK6054647130</t>
  </si>
  <si>
    <t>VENT-0249</t>
  </si>
  <si>
    <t>TRK5510235152</t>
  </si>
  <si>
    <t>VENT-0250</t>
  </si>
  <si>
    <t>TRK9736024903</t>
  </si>
  <si>
    <t>VENT-0251</t>
  </si>
  <si>
    <t>TRK2666018825</t>
  </si>
  <si>
    <t>VENT-0252</t>
  </si>
  <si>
    <t>TRK7962066857</t>
  </si>
  <si>
    <t>VENT-0253</t>
  </si>
  <si>
    <t>TRK1255640911</t>
  </si>
  <si>
    <t>VENT-0254</t>
  </si>
  <si>
    <t>TRK2459362422</t>
  </si>
  <si>
    <t>VENT-0255</t>
  </si>
  <si>
    <t>TRK8190081923</t>
  </si>
  <si>
    <t>VENT-0256</t>
  </si>
  <si>
    <t>TRK3486692500</t>
  </si>
  <si>
    <t>VENT-0257</t>
  </si>
  <si>
    <t>TRK8103623449</t>
  </si>
  <si>
    <t>VENT-0258</t>
  </si>
  <si>
    <t>TRK1142840593</t>
  </si>
  <si>
    <t>VENT-0259</t>
  </si>
  <si>
    <t>TRK2128579689</t>
  </si>
  <si>
    <t>VENT-0260</t>
  </si>
  <si>
    <t>TRK9532169229</t>
  </si>
  <si>
    <t>VENT-0261</t>
  </si>
  <si>
    <t>TRK1047477405</t>
  </si>
  <si>
    <t>VENT-0262</t>
  </si>
  <si>
    <t>TRK9852564571</t>
  </si>
  <si>
    <t>VENT-0263</t>
  </si>
  <si>
    <t>2024-01-16</t>
  </si>
  <si>
    <t>TRK5494231664</t>
  </si>
  <si>
    <t>VENT-0264</t>
  </si>
  <si>
    <t>TRK6981094465</t>
  </si>
  <si>
    <t>VENT-0265</t>
  </si>
  <si>
    <t>TRK1799156163</t>
  </si>
  <si>
    <t>VENT-0266</t>
  </si>
  <si>
    <t>TRK5902556142</t>
  </si>
  <si>
    <t>VENT-0267</t>
  </si>
  <si>
    <t>TRK4615734224</t>
  </si>
  <si>
    <t>VENT-0268</t>
  </si>
  <si>
    <t>TRK9608299530</t>
  </si>
  <si>
    <t>VENT-0269</t>
  </si>
  <si>
    <t>TRK8514580698</t>
  </si>
  <si>
    <t>VENT-0270</t>
  </si>
  <si>
    <t>TRK1927486277</t>
  </si>
  <si>
    <t>VENT-0271</t>
  </si>
  <si>
    <t>TRK1593144041</t>
  </si>
  <si>
    <t>VENT-0272</t>
  </si>
  <si>
    <t>TRK5060953322</t>
  </si>
  <si>
    <t>VENT-0273</t>
  </si>
  <si>
    <t>TRK9633777114</t>
  </si>
  <si>
    <t>VENT-0274</t>
  </si>
  <si>
    <t>TRK7180057171</t>
  </si>
  <si>
    <t>VENT-0275</t>
  </si>
  <si>
    <t>TRK7043697596</t>
  </si>
  <si>
    <t>VENT-0276</t>
  </si>
  <si>
    <t>TRK3307553106</t>
  </si>
  <si>
    <t>VENT-0277</t>
  </si>
  <si>
    <t>TRK3280137701</t>
  </si>
  <si>
    <t>VENT-0278</t>
  </si>
  <si>
    <t>TRK5803987245</t>
  </si>
  <si>
    <t>VENT-0279</t>
  </si>
  <si>
    <t>TRK8303274954</t>
  </si>
  <si>
    <t>VENT-0280</t>
  </si>
  <si>
    <t>2025-08-18</t>
  </si>
  <si>
    <t>TRK5450349517</t>
  </si>
  <si>
    <t>VENT-0281</t>
  </si>
  <si>
    <t>TRK6013407217</t>
  </si>
  <si>
    <t>VENT-0282</t>
  </si>
  <si>
    <t>TRK8281800690</t>
  </si>
  <si>
    <t>VENT-0283</t>
  </si>
  <si>
    <t>TRK2750473645</t>
  </si>
  <si>
    <t>VENT-0284</t>
  </si>
  <si>
    <t>TRK5114561216</t>
  </si>
  <si>
    <t>VENT-0285</t>
  </si>
  <si>
    <t>TRK7440338880</t>
  </si>
  <si>
    <t>VENT-0286</t>
  </si>
  <si>
    <t>TRK9548550011</t>
  </si>
  <si>
    <t>VENT-0287</t>
  </si>
  <si>
    <t>TRK5568050505</t>
  </si>
  <si>
    <t>VENT-0288</t>
  </si>
  <si>
    <t>TRK2467549493</t>
  </si>
  <si>
    <t>VENT-0289</t>
  </si>
  <si>
    <t>TRK2186200767</t>
  </si>
  <si>
    <t>VENT-0290</t>
  </si>
  <si>
    <t>2025-02-13</t>
  </si>
  <si>
    <t>TRK9390892676</t>
  </si>
  <si>
    <t>VENT-0291</t>
  </si>
  <si>
    <t>TRK2772315019</t>
  </si>
  <si>
    <t>VENT-0292</t>
  </si>
  <si>
    <t>TRK5002571041</t>
  </si>
  <si>
    <t>VENT-0293</t>
  </si>
  <si>
    <t>TRK4849412401</t>
  </si>
  <si>
    <t>VENT-0294</t>
  </si>
  <si>
    <t>TRK3906427807</t>
  </si>
  <si>
    <t>VENT-0295</t>
  </si>
  <si>
    <t>TRK6132396577</t>
  </si>
  <si>
    <t>VENT-0296</t>
  </si>
  <si>
    <t>2025-10-06</t>
  </si>
  <si>
    <t>TRK9315275246</t>
  </si>
  <si>
    <t>VENT-0297</t>
  </si>
  <si>
    <t>2026-01-16</t>
  </si>
  <si>
    <t>TRK5060303335</t>
  </si>
  <si>
    <t>VENT-0298</t>
  </si>
  <si>
    <t>2024-05-06</t>
  </si>
  <si>
    <t>TRK5266855038</t>
  </si>
  <si>
    <t>VENT-0299</t>
  </si>
  <si>
    <t>TRK8971223923</t>
  </si>
  <si>
    <t>VENT-0300</t>
  </si>
  <si>
    <t>TRK2901356014</t>
  </si>
  <si>
    <t>VENT-0301</t>
  </si>
  <si>
    <t>TRK7112712758</t>
  </si>
  <si>
    <t>VENT-0302</t>
  </si>
  <si>
    <t>TRK4665927028</t>
  </si>
  <si>
    <t>VENT-0303</t>
  </si>
  <si>
    <t>TRK5131366463</t>
  </si>
  <si>
    <t>VENT-0304</t>
  </si>
  <si>
    <t>2025-06-30</t>
  </si>
  <si>
    <t>TRK2128097218</t>
  </si>
  <si>
    <t>VENT-0305</t>
  </si>
  <si>
    <t>TRK5282676313</t>
  </si>
  <si>
    <t>VENT-0306</t>
  </si>
  <si>
    <t>TRK2449696804</t>
  </si>
  <si>
    <t>VENT-0307</t>
  </si>
  <si>
    <t>TRK6461291541</t>
  </si>
  <si>
    <t>VENT-0308</t>
  </si>
  <si>
    <t>TRK1637790413</t>
  </si>
  <si>
    <t>VENT-0309</t>
  </si>
  <si>
    <t>TRK6864241036</t>
  </si>
  <si>
    <t>VENT-0310</t>
  </si>
  <si>
    <t>TRK5666387271</t>
  </si>
  <si>
    <t>VENT-0311</t>
  </si>
  <si>
    <t>TRK8391194300</t>
  </si>
  <si>
    <t>VENT-0312</t>
  </si>
  <si>
    <t>TRK1064033376</t>
  </si>
  <si>
    <t>VENT-0313</t>
  </si>
  <si>
    <t>TRK7244466778</t>
  </si>
  <si>
    <t>VENT-0314</t>
  </si>
  <si>
    <t>TRK8095433356</t>
  </si>
  <si>
    <t>VENT-0315</t>
  </si>
  <si>
    <t>TRK2326145831</t>
  </si>
  <si>
    <t>VENT-0316</t>
  </si>
  <si>
    <t>TRK1680922149</t>
  </si>
  <si>
    <t>VENT-0317</t>
  </si>
  <si>
    <t>TRK1214497825</t>
  </si>
  <si>
    <t>VENT-0318</t>
  </si>
  <si>
    <t>TRK7842251654</t>
  </si>
  <si>
    <t>VENT-0319</t>
  </si>
  <si>
    <t>TRK6344072848</t>
  </si>
  <si>
    <t>VENT-0320</t>
  </si>
  <si>
    <t>TRK8087013251</t>
  </si>
  <si>
    <t>VENT-0321</t>
  </si>
  <si>
    <t>2025-04-22</t>
  </si>
  <si>
    <t>TRK3272107283</t>
  </si>
  <si>
    <t>VENT-0322</t>
  </si>
  <si>
    <t>TRK8573962964</t>
  </si>
  <si>
    <t>VENT-0323</t>
  </si>
  <si>
    <t>TRK8340256657</t>
  </si>
  <si>
    <t>VENT-0324</t>
  </si>
  <si>
    <t>TRK7231526825</t>
  </si>
  <si>
    <t>VENT-0325</t>
  </si>
  <si>
    <t>TRK7444616725</t>
  </si>
  <si>
    <t>VENT-0326</t>
  </si>
  <si>
    <t>TRK2913592893</t>
  </si>
  <si>
    <t>VENT-0327</t>
  </si>
  <si>
    <t>TRK6740988827</t>
  </si>
  <si>
    <t>VENT-0328</t>
  </si>
  <si>
    <t>2025-03-21</t>
  </si>
  <si>
    <t>TRK3433414813</t>
  </si>
  <si>
    <t>VENT-0329</t>
  </si>
  <si>
    <t>TRK2681936367</t>
  </si>
  <si>
    <t>VENT-0330</t>
  </si>
  <si>
    <t>TRK2281380475</t>
  </si>
  <si>
    <t>VENT-0331</t>
  </si>
  <si>
    <t>2025-07-11</t>
  </si>
  <si>
    <t>TRK8854694485</t>
  </si>
  <si>
    <t>VENT-0332</t>
  </si>
  <si>
    <t>2024-09-28</t>
  </si>
  <si>
    <t>TRK7783667060</t>
  </si>
  <si>
    <t>VENT-0333</t>
  </si>
  <si>
    <t>TRK3808129503</t>
  </si>
  <si>
    <t>VENT-0334</t>
  </si>
  <si>
    <t>TRK1201570006</t>
  </si>
  <si>
    <t>VENT-0335</t>
  </si>
  <si>
    <t>TRK2004047906</t>
  </si>
  <si>
    <t>VENT-0336</t>
  </si>
  <si>
    <t>TRK7048565831</t>
  </si>
  <si>
    <t>VENT-0337</t>
  </si>
  <si>
    <t>TRK7914730523</t>
  </si>
  <si>
    <t>VENT-0338</t>
  </si>
  <si>
    <t>TRK8600298860</t>
  </si>
  <si>
    <t>VENT-0339</t>
  </si>
  <si>
    <t>TRK1070375283</t>
  </si>
  <si>
    <t>VENT-0340</t>
  </si>
  <si>
    <t>TRK9234930973</t>
  </si>
  <si>
    <t>VENT-0341</t>
  </si>
  <si>
    <t>TRK9248476928</t>
  </si>
  <si>
    <t>VENT-0342</t>
  </si>
  <si>
    <t>TRK6769180930</t>
  </si>
  <si>
    <t>VENT-0343</t>
  </si>
  <si>
    <t>TRK1800181889</t>
  </si>
  <si>
    <t>VENT-0344</t>
  </si>
  <si>
    <t>TRK9804668445</t>
  </si>
  <si>
    <t>VENT-0345</t>
  </si>
  <si>
    <t>TRK2524540068</t>
  </si>
  <si>
    <t>VENT-0346</t>
  </si>
  <si>
    <t>TRK1702440934</t>
  </si>
  <si>
    <t>VENT-0347</t>
  </si>
  <si>
    <t>TRK9596410216</t>
  </si>
  <si>
    <t>VENT-0348</t>
  </si>
  <si>
    <t>2024-01-19</t>
  </si>
  <si>
    <t>TRK9256853995</t>
  </si>
  <si>
    <t>VENT-0349</t>
  </si>
  <si>
    <t>TRK9052874560</t>
  </si>
  <si>
    <t>VENT-0350</t>
  </si>
  <si>
    <t>TRK6296431102</t>
  </si>
  <si>
    <t>VENT-0351</t>
  </si>
  <si>
    <t>TRK3331037452</t>
  </si>
  <si>
    <t>VENT-0352</t>
  </si>
  <si>
    <t>TRK1180566940</t>
  </si>
  <si>
    <t>VENT-0353</t>
  </si>
  <si>
    <t>TRK8399025486</t>
  </si>
  <si>
    <t>VENT-0354</t>
  </si>
  <si>
    <t>TRK1835507548</t>
  </si>
  <si>
    <t>VENT-0355</t>
  </si>
  <si>
    <t>2025-08-10</t>
  </si>
  <si>
    <t>TRK1359522952</t>
  </si>
  <si>
    <t>VENT-0356</t>
  </si>
  <si>
    <t>2024-04-27</t>
  </si>
  <si>
    <t>TRK7596148343</t>
  </si>
  <si>
    <t>VENT-0357</t>
  </si>
  <si>
    <t>TRK1004123145</t>
  </si>
  <si>
    <t>VENT-0358</t>
  </si>
  <si>
    <t>TRK7020369944</t>
  </si>
  <si>
    <t>VENT-0359</t>
  </si>
  <si>
    <t>TRK1622042576</t>
  </si>
  <si>
    <t>VENT-0360</t>
  </si>
  <si>
    <t>TRK1480678369</t>
  </si>
  <si>
    <t>VENT-0361</t>
  </si>
  <si>
    <t>2025-09-19</t>
  </si>
  <si>
    <t>TRK3999214187</t>
  </si>
  <si>
    <t>VENT-0362</t>
  </si>
  <si>
    <t>TRK5021146805</t>
  </si>
  <si>
    <t>VENT-0363</t>
  </si>
  <si>
    <t>TRK4861796075</t>
  </si>
  <si>
    <t>VENT-0364</t>
  </si>
  <si>
    <t>TRK5551124721</t>
  </si>
  <si>
    <t>VENT-0365</t>
  </si>
  <si>
    <t>TRK9130187688</t>
  </si>
  <si>
    <t>VENT-0366</t>
  </si>
  <si>
    <t>TRK4337067131</t>
  </si>
  <si>
    <t>VENT-0367</t>
  </si>
  <si>
    <t>TRK5169624957</t>
  </si>
  <si>
    <t>VENT-0368</t>
  </si>
  <si>
    <t>TRK7366337616</t>
  </si>
  <si>
    <t>VENT-0369</t>
  </si>
  <si>
    <t>TRK8787714821</t>
  </si>
  <si>
    <t>VENT-0370</t>
  </si>
  <si>
    <t>TRK3762744182</t>
  </si>
  <si>
    <t>VENT-0371</t>
  </si>
  <si>
    <t>TRK9031063171</t>
  </si>
  <si>
    <t>VENT-0372</t>
  </si>
  <si>
    <t>TRK8177588181</t>
  </si>
  <si>
    <t>VENT-0373</t>
  </si>
  <si>
    <t>TRK2307872543</t>
  </si>
  <si>
    <t>VENT-0374</t>
  </si>
  <si>
    <t>TRK7747301617</t>
  </si>
  <si>
    <t>VENT-0375</t>
  </si>
  <si>
    <t>TRK8000426254</t>
  </si>
  <si>
    <t>VENT-0376</t>
  </si>
  <si>
    <t>TRK6540575491</t>
  </si>
  <si>
    <t>VENT-0377</t>
  </si>
  <si>
    <t>TRK2970019599</t>
  </si>
  <si>
    <t>VENT-0378</t>
  </si>
  <si>
    <t>TRK1951075546</t>
  </si>
  <si>
    <t>VENT-0379</t>
  </si>
  <si>
    <t>TRK6788039585</t>
  </si>
  <si>
    <t>VENT-0380</t>
  </si>
  <si>
    <t>2024-08-16</t>
  </si>
  <si>
    <t>TRK8210499145</t>
  </si>
  <si>
    <t>VENT-0381</t>
  </si>
  <si>
    <t>TRK8840325471</t>
  </si>
  <si>
    <t>VENT-0382</t>
  </si>
  <si>
    <t>TRK1149977994</t>
  </si>
  <si>
    <t>VENT-0383</t>
  </si>
  <si>
    <t>2024-10-31</t>
  </si>
  <si>
    <t>TRK6984584496</t>
  </si>
  <si>
    <t>VENT-0384</t>
  </si>
  <si>
    <t>TRK9204079853</t>
  </si>
  <si>
    <t>VENT-0385</t>
  </si>
  <si>
    <t>TRK6561532605</t>
  </si>
  <si>
    <t>VENT-0386</t>
  </si>
  <si>
    <t>TRK2401265666</t>
  </si>
  <si>
    <t>VENT-0387</t>
  </si>
  <si>
    <t>TRK1242049785</t>
  </si>
  <si>
    <t>VENT-0388</t>
  </si>
  <si>
    <t>TRK9460701413</t>
  </si>
  <si>
    <t>VENT-0389</t>
  </si>
  <si>
    <t>TRK2394679025</t>
  </si>
  <si>
    <t>VENT-0390</t>
  </si>
  <si>
    <t>TRK3641180615</t>
  </si>
  <si>
    <t>VENT-0391</t>
  </si>
  <si>
    <t>TRK6614623134</t>
  </si>
  <si>
    <t>VENT-0392</t>
  </si>
  <si>
    <t>TRK8920368341</t>
  </si>
  <si>
    <t>VENT-0393</t>
  </si>
  <si>
    <t>TRK2431813429</t>
  </si>
  <si>
    <t>VENT-0394</t>
  </si>
  <si>
    <t>TRK5210798990</t>
  </si>
  <si>
    <t>VENT-0395</t>
  </si>
  <si>
    <t>TRK3041045082</t>
  </si>
  <si>
    <t>VENT-0396</t>
  </si>
  <si>
    <t>TRK6267460413</t>
  </si>
  <si>
    <t>VENT-0397</t>
  </si>
  <si>
    <t>TRK8452716021</t>
  </si>
  <si>
    <t>VENT-0398</t>
  </si>
  <si>
    <t>TRK8704599167</t>
  </si>
  <si>
    <t>VENT-0399</t>
  </si>
  <si>
    <t>2025-12-09</t>
  </si>
  <si>
    <t>TRK6756477375</t>
  </si>
  <si>
    <t>VENT-0400</t>
  </si>
  <si>
    <t>TRK9180203758</t>
  </si>
  <si>
    <t>VENT-0401</t>
  </si>
  <si>
    <t>TRK7400696542</t>
  </si>
  <si>
    <t>VENT-0402</t>
  </si>
  <si>
    <t>TRK5886208179</t>
  </si>
  <si>
    <t>VENT-0403</t>
  </si>
  <si>
    <t>TRK6180205939</t>
  </si>
  <si>
    <t>VENT-0404</t>
  </si>
  <si>
    <t>TRK3303717655</t>
  </si>
  <si>
    <t>VENT-0405</t>
  </si>
  <si>
    <t>TRK5747511450</t>
  </si>
  <si>
    <t>VENT-0406</t>
  </si>
  <si>
    <t>TRK4224910465</t>
  </si>
  <si>
    <t>VENT-0407</t>
  </si>
  <si>
    <t>TRK1044818985</t>
  </si>
  <si>
    <t>VENT-0408</t>
  </si>
  <si>
    <t>TRK4425670637</t>
  </si>
  <si>
    <t>VENT-0409</t>
  </si>
  <si>
    <t>TRK7575292711</t>
  </si>
  <si>
    <t>VENT-0410</t>
  </si>
  <si>
    <t>TRK2053753182</t>
  </si>
  <si>
    <t>VENT-0411</t>
  </si>
  <si>
    <t>2024-11-28</t>
  </si>
  <si>
    <t>TRK3858984193</t>
  </si>
  <si>
    <t>VENT-0412</t>
  </si>
  <si>
    <t>TRK6351955883</t>
  </si>
  <si>
    <t>VENT-0413</t>
  </si>
  <si>
    <t>TRK6366020510</t>
  </si>
  <si>
    <t>VENT-0414</t>
  </si>
  <si>
    <t>TRK6174309086</t>
  </si>
  <si>
    <t>VENT-0415</t>
  </si>
  <si>
    <t>TRK5907901744</t>
  </si>
  <si>
    <t>VENT-0416</t>
  </si>
  <si>
    <t>TRK7837492049</t>
  </si>
  <si>
    <t>VENT-0417</t>
  </si>
  <si>
    <t>TRK4950794264</t>
  </si>
  <si>
    <t>VENT-0418</t>
  </si>
  <si>
    <t>TRK2948517122</t>
  </si>
  <si>
    <t>VENT-0419</t>
  </si>
  <si>
    <t>TRK4560527466</t>
  </si>
  <si>
    <t>VENT-0420</t>
  </si>
  <si>
    <t>TRK8505081222</t>
  </si>
  <si>
    <t>VENT-0421</t>
  </si>
  <si>
    <t>TRK9381688418</t>
  </si>
  <si>
    <t>VENT-0422</t>
  </si>
  <si>
    <t>TRK4841584895</t>
  </si>
  <si>
    <t>VENT-0423</t>
  </si>
  <si>
    <t>TRK8319287827</t>
  </si>
  <si>
    <t>VENT-0424</t>
  </si>
  <si>
    <t>TRK1620377358</t>
  </si>
  <si>
    <t>VENT-0425</t>
  </si>
  <si>
    <t>TRK1787405993</t>
  </si>
  <si>
    <t>VENT-0426</t>
  </si>
  <si>
    <t>TRK1221696347</t>
  </si>
  <si>
    <t>VENT-0427</t>
  </si>
  <si>
    <t>2024-02-21</t>
  </si>
  <si>
    <t>TRK1729436734</t>
  </si>
  <si>
    <t>VENT-0428</t>
  </si>
  <si>
    <t>2025-02-28</t>
  </si>
  <si>
    <t>TRK3505651251</t>
  </si>
  <si>
    <t>VENT-0429</t>
  </si>
  <si>
    <t>TRK8724627781</t>
  </si>
  <si>
    <t>VENT-0430</t>
  </si>
  <si>
    <t>TRK3432547646</t>
  </si>
  <si>
    <t>VENT-0431</t>
  </si>
  <si>
    <t>TRK9584753191</t>
  </si>
  <si>
    <t>VENT-0432</t>
  </si>
  <si>
    <t>TRK6590047612</t>
  </si>
  <si>
    <t>VENT-0433</t>
  </si>
  <si>
    <t>TRK9663024857</t>
  </si>
  <si>
    <t>VENT-0434</t>
  </si>
  <si>
    <t>TRK1405330575</t>
  </si>
  <si>
    <t>VENT-0435</t>
  </si>
  <si>
    <t>TRK7614463949</t>
  </si>
  <si>
    <t>VENT-0436</t>
  </si>
  <si>
    <t>2024-11-23</t>
  </si>
  <si>
    <t>TRK8314839086</t>
  </si>
  <si>
    <t>VENT-0437</t>
  </si>
  <si>
    <t>TRK4899205837</t>
  </si>
  <si>
    <t>VENT-0438</t>
  </si>
  <si>
    <t>TRK1561049427</t>
  </si>
  <si>
    <t>VENT-0439</t>
  </si>
  <si>
    <t>TRK8668333607</t>
  </si>
  <si>
    <t>VENT-0440</t>
  </si>
  <si>
    <t>TRK6663176952</t>
  </si>
  <si>
    <t>VENT-0441</t>
  </si>
  <si>
    <t>TRK9171872675</t>
  </si>
  <si>
    <t>VENT-0442</t>
  </si>
  <si>
    <t>TRK1020741500</t>
  </si>
  <si>
    <t>VENT-0443</t>
  </si>
  <si>
    <t>TRK3123741586</t>
  </si>
  <si>
    <t>VENT-0444</t>
  </si>
  <si>
    <t>TRK6403125657</t>
  </si>
  <si>
    <t>VENT-0445</t>
  </si>
  <si>
    <t>TRK4823889367</t>
  </si>
  <si>
    <t>VENT-0446</t>
  </si>
  <si>
    <t>2025-11-09</t>
  </si>
  <si>
    <t>TRK2327342139</t>
  </si>
  <si>
    <t>VENT-0447</t>
  </si>
  <si>
    <t>TRK6676450587</t>
  </si>
  <si>
    <t>VENT-0448</t>
  </si>
  <si>
    <t>TRK4096747609</t>
  </si>
  <si>
    <t>VENT-0449</t>
  </si>
  <si>
    <t>TRK2679684601</t>
  </si>
  <si>
    <t>VENT-0450</t>
  </si>
  <si>
    <t>TRK2338196008</t>
  </si>
  <si>
    <t>VENT-0451</t>
  </si>
  <si>
    <t>TRK9888191285</t>
  </si>
  <si>
    <t>VENT-0452</t>
  </si>
  <si>
    <t>TRK1742569971</t>
  </si>
  <si>
    <t>VENT-0453</t>
  </si>
  <si>
    <t>TRK4897147494</t>
  </si>
  <si>
    <t>VENT-0454</t>
  </si>
  <si>
    <t>TRK7139154182</t>
  </si>
  <si>
    <t>VENT-0455</t>
  </si>
  <si>
    <t>TRK5241605559</t>
  </si>
  <si>
    <t>VENT-0456</t>
  </si>
  <si>
    <t>TRK6622660439</t>
  </si>
  <si>
    <t>VENT-0457</t>
  </si>
  <si>
    <t>2025-02-23</t>
  </si>
  <si>
    <t>TRK6082118323</t>
  </si>
  <si>
    <t>VENT-0458</t>
  </si>
  <si>
    <t>TRK9580441802</t>
  </si>
  <si>
    <t>VENT-0459</t>
  </si>
  <si>
    <t>TRK5005698566</t>
  </si>
  <si>
    <t>VENT-0460</t>
  </si>
  <si>
    <t>TRK8532943262</t>
  </si>
  <si>
    <t>VENT-0461</t>
  </si>
  <si>
    <t>TRK8262602361</t>
  </si>
  <si>
    <t>VENT-0462</t>
  </si>
  <si>
    <t>TRK2991143886</t>
  </si>
  <si>
    <t>VENT-0463</t>
  </si>
  <si>
    <t>TRK7035081009</t>
  </si>
  <si>
    <t>VENT-0464</t>
  </si>
  <si>
    <t>TRK1800960335</t>
  </si>
  <si>
    <t>VENT-0465</t>
  </si>
  <si>
    <t>TRK2653779563</t>
  </si>
  <si>
    <t>VENT-0466</t>
  </si>
  <si>
    <t>TRK6196294531</t>
  </si>
  <si>
    <t>VENT-0467</t>
  </si>
  <si>
    <t>2025-08-26</t>
  </si>
  <si>
    <t>TRK4982778388</t>
  </si>
  <si>
    <t>VENT-0468</t>
  </si>
  <si>
    <t>2025-10-16</t>
  </si>
  <si>
    <t>TRK3700187194</t>
  </si>
  <si>
    <t>VENT-0469</t>
  </si>
  <si>
    <t>TRK4198364980</t>
  </si>
  <si>
    <t>VENT-0470</t>
  </si>
  <si>
    <t>TRK7938817989</t>
  </si>
  <si>
    <t>VENT-0471</t>
  </si>
  <si>
    <t>TRK7378733647</t>
  </si>
  <si>
    <t>VENT-0472</t>
  </si>
  <si>
    <t>TRK7653080344</t>
  </si>
  <si>
    <t>VENT-0473</t>
  </si>
  <si>
    <t>TRK5140386115</t>
  </si>
  <si>
    <t>VENT-0474</t>
  </si>
  <si>
    <t>TRK8157055313</t>
  </si>
  <si>
    <t>VENT-0475</t>
  </si>
  <si>
    <t>TRK2382352682</t>
  </si>
  <si>
    <t>VENT-0476</t>
  </si>
  <si>
    <t>TRK4357675979</t>
  </si>
  <si>
    <t>VENT-0477</t>
  </si>
  <si>
    <t>TRK1946570644</t>
  </si>
  <si>
    <t>VENT-0478</t>
  </si>
  <si>
    <t>TRK5601062139</t>
  </si>
  <si>
    <t>VENT-0479</t>
  </si>
  <si>
    <t>2025-02-18</t>
  </si>
  <si>
    <t>TRK1389618943</t>
  </si>
  <si>
    <t>VENT-0480</t>
  </si>
  <si>
    <t>TRK6669602939</t>
  </si>
  <si>
    <t>VENT-0481</t>
  </si>
  <si>
    <t>TRK1575467238</t>
  </si>
  <si>
    <t>VENT-0482</t>
  </si>
  <si>
    <t>TRK2646485998</t>
  </si>
  <si>
    <t>VENT-0483</t>
  </si>
  <si>
    <t>TRK5452500113</t>
  </si>
  <si>
    <t>VENT-0484</t>
  </si>
  <si>
    <t>TRK4232557668</t>
  </si>
  <si>
    <t>VENT-0485</t>
  </si>
  <si>
    <t>TRK8905044610</t>
  </si>
  <si>
    <t>VENT-0486</t>
  </si>
  <si>
    <t>2024-12-08</t>
  </si>
  <si>
    <t>TRK5214501853</t>
  </si>
  <si>
    <t>VENT-0487</t>
  </si>
  <si>
    <t>TRK1888518891</t>
  </si>
  <si>
    <t>VENT-0488</t>
  </si>
  <si>
    <t>TRK1538504511</t>
  </si>
  <si>
    <t>VENT-0489</t>
  </si>
  <si>
    <t>TRK8275338348</t>
  </si>
  <si>
    <t>VENT-0490</t>
  </si>
  <si>
    <t>TRK9181077260</t>
  </si>
  <si>
    <t>VENT-0491</t>
  </si>
  <si>
    <t>TRK7285140889</t>
  </si>
  <si>
    <t>VENT-0492</t>
  </si>
  <si>
    <t>TRK4629583299</t>
  </si>
  <si>
    <t>VENT-0493</t>
  </si>
  <si>
    <t>TRK9104634333</t>
  </si>
  <si>
    <t>VENT-0494</t>
  </si>
  <si>
    <t>TRK1999391477</t>
  </si>
  <si>
    <t>VENT-0495</t>
  </si>
  <si>
    <t>TRK1059760920</t>
  </si>
  <si>
    <t>VENT-0496</t>
  </si>
  <si>
    <t>TRK5285484833</t>
  </si>
  <si>
    <t>VENT-0497</t>
  </si>
  <si>
    <t>TRK8881826467</t>
  </si>
  <si>
    <t>VENT-0498</t>
  </si>
  <si>
    <t>2025-03-27</t>
  </si>
  <si>
    <t>TRK9612824095</t>
  </si>
  <si>
    <t>VENT-0499</t>
  </si>
  <si>
    <t>TRK3592541687</t>
  </si>
  <si>
    <t>VENT-0500</t>
  </si>
  <si>
    <t>2025-07-07</t>
  </si>
  <si>
    <t>TRK5500086353</t>
  </si>
  <si>
    <t>VENT-0501</t>
  </si>
  <si>
    <t>TRK6599445068</t>
  </si>
  <si>
    <t>VENT-0502</t>
  </si>
  <si>
    <t>TRK4504970480</t>
  </si>
  <si>
    <t>VENT-0503</t>
  </si>
  <si>
    <t>TRK3555599455</t>
  </si>
  <si>
    <t>VENT-0504</t>
  </si>
  <si>
    <t>TRK3511617773</t>
  </si>
  <si>
    <t>VENT-0505</t>
  </si>
  <si>
    <t>TRK8753964973</t>
  </si>
  <si>
    <t>VENT-0506</t>
  </si>
  <si>
    <t>TRK4364538913</t>
  </si>
  <si>
    <t>VENT-0507</t>
  </si>
  <si>
    <t>TRK1989953171</t>
  </si>
  <si>
    <t>VENT-0508</t>
  </si>
  <si>
    <t>TRK1242415839</t>
  </si>
  <si>
    <t>VENT-0509</t>
  </si>
  <si>
    <t>2025-08-25</t>
  </si>
  <si>
    <t>TRK9988966037</t>
  </si>
  <si>
    <t>VENT-0510</t>
  </si>
  <si>
    <t>TRK2721346755</t>
  </si>
  <si>
    <t>VENT-0511</t>
  </si>
  <si>
    <t>TRK2828468280</t>
  </si>
  <si>
    <t>VENT-0512</t>
  </si>
  <si>
    <t>2025-06-29</t>
  </si>
  <si>
    <t>2025-07-05</t>
  </si>
  <si>
    <t>TRK1820561513</t>
  </si>
  <si>
    <t>VENT-0513</t>
  </si>
  <si>
    <t>TRK5746228612</t>
  </si>
  <si>
    <t>VENT-0514</t>
  </si>
  <si>
    <t>TRK8478607503</t>
  </si>
  <si>
    <t>VENT-0515</t>
  </si>
  <si>
    <t>2025-10-05</t>
  </si>
  <si>
    <t>TRK5162369515</t>
  </si>
  <si>
    <t>VENT-0516</t>
  </si>
  <si>
    <t>2025-08-15</t>
  </si>
  <si>
    <t>TRK7141796260</t>
  </si>
  <si>
    <t>VENT-0517</t>
  </si>
  <si>
    <t>TRK8622869139</t>
  </si>
  <si>
    <t>VENT-0518</t>
  </si>
  <si>
    <t>TRK9052616591</t>
  </si>
  <si>
    <t>VENT-0519</t>
  </si>
  <si>
    <t>TRK8024975392</t>
  </si>
  <si>
    <t>VENT-0520</t>
  </si>
  <si>
    <t>TRK2174789396</t>
  </si>
  <si>
    <t>VENT-0521</t>
  </si>
  <si>
    <t>TRK7055514511</t>
  </si>
  <si>
    <t>VENT-0522</t>
  </si>
  <si>
    <t>TRK4080249396</t>
  </si>
  <si>
    <t>VENT-0523</t>
  </si>
  <si>
    <t>TRK2991491982</t>
  </si>
  <si>
    <t>VENT-0524</t>
  </si>
  <si>
    <t>TRK7012843640</t>
  </si>
  <si>
    <t>VENT-0525</t>
  </si>
  <si>
    <t>TRK9329629303</t>
  </si>
  <si>
    <t>VENT-0526</t>
  </si>
  <si>
    <t>TRK3891787217</t>
  </si>
  <si>
    <t>VENT-0527</t>
  </si>
  <si>
    <t>TRK5031648181</t>
  </si>
  <si>
    <t>VENT-0528</t>
  </si>
  <si>
    <t>TRK6849798054</t>
  </si>
  <si>
    <t>VENT-0529</t>
  </si>
  <si>
    <t>TRK2461065744</t>
  </si>
  <si>
    <t>VENT-0530</t>
  </si>
  <si>
    <t>TRK7207500459</t>
  </si>
  <si>
    <t>VENT-0531</t>
  </si>
  <si>
    <t>TRK6392453535</t>
  </si>
  <si>
    <t>VENT-0532</t>
  </si>
  <si>
    <t>TRK8250825687</t>
  </si>
  <si>
    <t>VENT-0533</t>
  </si>
  <si>
    <t>TRK6639087192</t>
  </si>
  <si>
    <t>VENT-0534</t>
  </si>
  <si>
    <t>TRK6241468593</t>
  </si>
  <si>
    <t>VENT-0535</t>
  </si>
  <si>
    <t>TRK6419922458</t>
  </si>
  <si>
    <t>VENT-0536</t>
  </si>
  <si>
    <t>TRK9060962594</t>
  </si>
  <si>
    <t>VENT-0537</t>
  </si>
  <si>
    <t>TRK1256884011</t>
  </si>
  <si>
    <t>VENT-0538</t>
  </si>
  <si>
    <t>TRK7709166014</t>
  </si>
  <si>
    <t>VENT-0539</t>
  </si>
  <si>
    <t>TRK9224204545</t>
  </si>
  <si>
    <t>VENT-0540</t>
  </si>
  <si>
    <t>TRK6082707337</t>
  </si>
  <si>
    <t>VENT-0541</t>
  </si>
  <si>
    <t>TRK8558831076</t>
  </si>
  <si>
    <t>VENT-0542</t>
  </si>
  <si>
    <t>TRK8541700116</t>
  </si>
  <si>
    <t>VENT-0543</t>
  </si>
  <si>
    <t>TRK2955976516</t>
  </si>
  <si>
    <t>VENT-0544</t>
  </si>
  <si>
    <t>TRK4603202266</t>
  </si>
  <si>
    <t>VENT-0545</t>
  </si>
  <si>
    <t>TRK3644452962</t>
  </si>
  <si>
    <t>VENT-0546</t>
  </si>
  <si>
    <t>TRK9616029981</t>
  </si>
  <si>
    <t>VENT-0547</t>
  </si>
  <si>
    <t>TRK4797939029</t>
  </si>
  <si>
    <t>VENT-0548</t>
  </si>
  <si>
    <t>TRK1771514551</t>
  </si>
  <si>
    <t>VENT-0549</t>
  </si>
  <si>
    <t>TRK4377346239</t>
  </si>
  <si>
    <t>VENT-0550</t>
  </si>
  <si>
    <t>TRK8047582225</t>
  </si>
  <si>
    <t>VENT-0551</t>
  </si>
  <si>
    <t>TRK3826817688</t>
  </si>
  <si>
    <t>VENT-0552</t>
  </si>
  <si>
    <t>TRK4778864717</t>
  </si>
  <si>
    <t>VENT-0553</t>
  </si>
  <si>
    <t>TRK7556599735</t>
  </si>
  <si>
    <t>VENT-0554</t>
  </si>
  <si>
    <t>TRK5618214993</t>
  </si>
  <si>
    <t>VENT-0555</t>
  </si>
  <si>
    <t>TRK1568789848</t>
  </si>
  <si>
    <t>VENT-0556</t>
  </si>
  <si>
    <t>TRK2156735622</t>
  </si>
  <si>
    <t>VENT-0557</t>
  </si>
  <si>
    <t>TRK3825013396</t>
  </si>
  <si>
    <t>VENT-0558</t>
  </si>
  <si>
    <t>TRK9201122737</t>
  </si>
  <si>
    <t>VENT-0559</t>
  </si>
  <si>
    <t>TRK2366852221</t>
  </si>
  <si>
    <t>VENT-0560</t>
  </si>
  <si>
    <t>TRK9339239146</t>
  </si>
  <si>
    <t>VENT-0561</t>
  </si>
  <si>
    <t>TRK9581677871</t>
  </si>
  <si>
    <t>VENT-0562</t>
  </si>
  <si>
    <t>TRK7566745538</t>
  </si>
  <si>
    <t>VENT-0563</t>
  </si>
  <si>
    <t>TRK2661944424</t>
  </si>
  <si>
    <t>VENT-0564</t>
  </si>
  <si>
    <t>TRK6775668552</t>
  </si>
  <si>
    <t>VENT-0565</t>
  </si>
  <si>
    <t>2025-02-16</t>
  </si>
  <si>
    <t>TRK8649289318</t>
  </si>
  <si>
    <t>VENT-0566</t>
  </si>
  <si>
    <t>TRK4204198805</t>
  </si>
  <si>
    <t>VENT-0567</t>
  </si>
  <si>
    <t>2024-10-25</t>
  </si>
  <si>
    <t>TRK8698339953</t>
  </si>
  <si>
    <t>VENT-0568</t>
  </si>
  <si>
    <t>TRK7629557099</t>
  </si>
  <si>
    <t>VENT-0569</t>
  </si>
  <si>
    <t>TRK4902367397</t>
  </si>
  <si>
    <t>VENT-0570</t>
  </si>
  <si>
    <t>TRK9346312079</t>
  </si>
  <si>
    <t>VENT-0571</t>
  </si>
  <si>
    <t>TRK2565495590</t>
  </si>
  <si>
    <t>VENT-0572</t>
  </si>
  <si>
    <t>TRK2329808177</t>
  </si>
  <si>
    <t>VENT-0573</t>
  </si>
  <si>
    <t>TRK1416324649</t>
  </si>
  <si>
    <t>VENT-0574</t>
  </si>
  <si>
    <t>TRK3848598007</t>
  </si>
  <si>
    <t>VENT-0575</t>
  </si>
  <si>
    <t>TRK6196769550</t>
  </si>
  <si>
    <t>VENT-0576</t>
  </si>
  <si>
    <t>TRK6458618273</t>
  </si>
  <si>
    <t>VENT-0577</t>
  </si>
  <si>
    <t>TRK2380199637</t>
  </si>
  <si>
    <t>VENT-0578</t>
  </si>
  <si>
    <t>TRK7842267325</t>
  </si>
  <si>
    <t>VENT-0579</t>
  </si>
  <si>
    <t>TRK4186812559</t>
  </si>
  <si>
    <t>VENT-0580</t>
  </si>
  <si>
    <t>TRK9791329940</t>
  </si>
  <si>
    <t>VENT-0581</t>
  </si>
  <si>
    <t>TRK5229306033</t>
  </si>
  <si>
    <t>VENT-0582</t>
  </si>
  <si>
    <t>TRK7501470331</t>
  </si>
  <si>
    <t>VENT-0583</t>
  </si>
  <si>
    <t>TRK8292057829</t>
  </si>
  <si>
    <t>VENT-0584</t>
  </si>
  <si>
    <t>TRK9527458417</t>
  </si>
  <si>
    <t>VENT-0585</t>
  </si>
  <si>
    <t>TRK5161055565</t>
  </si>
  <si>
    <t>VENT-0586</t>
  </si>
  <si>
    <t>TRK4910432609</t>
  </si>
  <si>
    <t>VENT-0587</t>
  </si>
  <si>
    <t>TRK3826688042</t>
  </si>
  <si>
    <t>VENT-0588</t>
  </si>
  <si>
    <t>TRK3912505621</t>
  </si>
  <si>
    <t>VENT-0589</t>
  </si>
  <si>
    <t>TRK4845713748</t>
  </si>
  <si>
    <t>VENT-0590</t>
  </si>
  <si>
    <t>TRK2753094270</t>
  </si>
  <si>
    <t>VENT-0591</t>
  </si>
  <si>
    <t>TRK2293673657</t>
  </si>
  <si>
    <t>VENT-0592</t>
  </si>
  <si>
    <t>TRK5473337107</t>
  </si>
  <si>
    <t>VENT-0593</t>
  </si>
  <si>
    <t>2025-10-18</t>
  </si>
  <si>
    <t>TRK3524445831</t>
  </si>
  <si>
    <t>VENT-0594</t>
  </si>
  <si>
    <t>TRK9690030874</t>
  </si>
  <si>
    <t>VENT-0595</t>
  </si>
  <si>
    <t>TRK4540684408</t>
  </si>
  <si>
    <t>VENT-0596</t>
  </si>
  <si>
    <t>TRK6676575488</t>
  </si>
  <si>
    <t>VENT-0597</t>
  </si>
  <si>
    <t>TRK9659899550</t>
  </si>
  <si>
    <t>VENT-0598</t>
  </si>
  <si>
    <t>TRK2593410040</t>
  </si>
  <si>
    <t>VENT-0599</t>
  </si>
  <si>
    <t>TRK2817016800</t>
  </si>
  <si>
    <t>VENT-0600</t>
  </si>
  <si>
    <t>TRK7459492862</t>
  </si>
  <si>
    <t>VENT-0601</t>
  </si>
  <si>
    <t>TRK5526760627</t>
  </si>
  <si>
    <t>VENT-0602</t>
  </si>
  <si>
    <t>TRK8342913134</t>
  </si>
  <si>
    <t>VENT-0603</t>
  </si>
  <si>
    <t>TRK7003761377</t>
  </si>
  <si>
    <t>VENT-0604</t>
  </si>
  <si>
    <t>TRK7270678317</t>
  </si>
  <si>
    <t>VENT-0605</t>
  </si>
  <si>
    <t>TRK2139709122</t>
  </si>
  <si>
    <t>VENT-0606</t>
  </si>
  <si>
    <t>TRK3057538382</t>
  </si>
  <si>
    <t>VENT-0607</t>
  </si>
  <si>
    <t>2025-07-29</t>
  </si>
  <si>
    <t>TRK3803500437</t>
  </si>
  <si>
    <t>VENT-0608</t>
  </si>
  <si>
    <t>TRK3946392738</t>
  </si>
  <si>
    <t>VENT-0609</t>
  </si>
  <si>
    <t>TRK9424695859</t>
  </si>
  <si>
    <t>VENT-0610</t>
  </si>
  <si>
    <t>TRK8914512885</t>
  </si>
  <si>
    <t>VENT-0611</t>
  </si>
  <si>
    <t>TRK9606170322</t>
  </si>
  <si>
    <t>VENT-0612</t>
  </si>
  <si>
    <t>TRK3005157584</t>
  </si>
  <si>
    <t>VENT-0613</t>
  </si>
  <si>
    <t>TRK2902455078</t>
  </si>
  <si>
    <t>VENT-0614</t>
  </si>
  <si>
    <t>TRK2235507242</t>
  </si>
  <si>
    <t>VENT-0615</t>
  </si>
  <si>
    <t>TRK6012246059</t>
  </si>
  <si>
    <t>VENT-0616</t>
  </si>
  <si>
    <t>TRK2738765844</t>
  </si>
  <si>
    <t>VENT-0617</t>
  </si>
  <si>
    <t>TRK4974182654</t>
  </si>
  <si>
    <t>VENT-0618</t>
  </si>
  <si>
    <t>TRK3842576217</t>
  </si>
  <si>
    <t>VENT-0619</t>
  </si>
  <si>
    <t>TRK9910467285</t>
  </si>
  <si>
    <t>VENT-0620</t>
  </si>
  <si>
    <t>TRK4761006994</t>
  </si>
  <si>
    <t>VENT-0621</t>
  </si>
  <si>
    <t>TRK8366437720</t>
  </si>
  <si>
    <t>VENT-0622</t>
  </si>
  <si>
    <t>TRK3074807966</t>
  </si>
  <si>
    <t>VENT-0623</t>
  </si>
  <si>
    <t>TRK6884439699</t>
  </si>
  <si>
    <t>VENT-0624</t>
  </si>
  <si>
    <t>TRK2661381697</t>
  </si>
  <si>
    <t>VENT-0625</t>
  </si>
  <si>
    <t>TRK2721320190</t>
  </si>
  <si>
    <t>VENT-0626</t>
  </si>
  <si>
    <t>2025-12-04</t>
  </si>
  <si>
    <t>TRK6679981310</t>
  </si>
  <si>
    <t>VENT-0627</t>
  </si>
  <si>
    <t>2024-01-06</t>
  </si>
  <si>
    <t>TRK8770862758</t>
  </si>
  <si>
    <t>VENT-0628</t>
  </si>
  <si>
    <t>TRK2116743502</t>
  </si>
  <si>
    <t>VENT-0629</t>
  </si>
  <si>
    <t>TRK4724866120</t>
  </si>
  <si>
    <t>VENT-0630</t>
  </si>
  <si>
    <t>TRK1744568961</t>
  </si>
  <si>
    <t>VENT-0631</t>
  </si>
  <si>
    <t>TRK3484150715</t>
  </si>
  <si>
    <t>VENT-0632</t>
  </si>
  <si>
    <t>TRK7679699241</t>
  </si>
  <si>
    <t>VENT-0633</t>
  </si>
  <si>
    <t>2024-11-29</t>
  </si>
  <si>
    <t>TRK8264085084</t>
  </si>
  <si>
    <t>VENT-0634</t>
  </si>
  <si>
    <t>TRK1193949527</t>
  </si>
  <si>
    <t>VENT-0635</t>
  </si>
  <si>
    <t>TRK5895884969</t>
  </si>
  <si>
    <t>VENT-0636</t>
  </si>
  <si>
    <t>TRK7170950494</t>
  </si>
  <si>
    <t>VENT-0637</t>
  </si>
  <si>
    <t>TRK9605798260</t>
  </si>
  <si>
    <t>VENT-0638</t>
  </si>
  <si>
    <t>TRK4291890942</t>
  </si>
  <si>
    <t>VENT-0639</t>
  </si>
  <si>
    <t>TRK1901028161</t>
  </si>
  <si>
    <t>VENT-0640</t>
  </si>
  <si>
    <t>TRK5937414387</t>
  </si>
  <si>
    <t>VENT-0641</t>
  </si>
  <si>
    <t>TRK1620243606</t>
  </si>
  <si>
    <t>VENT-0642</t>
  </si>
  <si>
    <t>TRK9744173587</t>
  </si>
  <si>
    <t>VENT-0643</t>
  </si>
  <si>
    <t>TRK8315475828</t>
  </si>
  <si>
    <t>VENT-0644</t>
  </si>
  <si>
    <t>TRK3208422084</t>
  </si>
  <si>
    <t>VENT-0645</t>
  </si>
  <si>
    <t>TRK7492815612</t>
  </si>
  <si>
    <t>VENT-0646</t>
  </si>
  <si>
    <t>TRK1467181597</t>
  </si>
  <si>
    <t>VENT-0647</t>
  </si>
  <si>
    <t>TRK8059102593</t>
  </si>
  <si>
    <t>VENT-0648</t>
  </si>
  <si>
    <t>TRK1566743151</t>
  </si>
  <si>
    <t>VENT-0649</t>
  </si>
  <si>
    <t>TRK9169543824</t>
  </si>
  <si>
    <t>VENT-0650</t>
  </si>
  <si>
    <t>TRK6748037306</t>
  </si>
  <si>
    <t>VENT-0651</t>
  </si>
  <si>
    <t>TRK9773364425</t>
  </si>
  <si>
    <t>VENT-0652</t>
  </si>
  <si>
    <t>TRK5487005922</t>
  </si>
  <si>
    <t>VENT-0653</t>
  </si>
  <si>
    <t>TRK6147312592</t>
  </si>
  <si>
    <t>VENT-0654</t>
  </si>
  <si>
    <t>TRK7948871295</t>
  </si>
  <si>
    <t>VENT-0655</t>
  </si>
  <si>
    <t>TRK2260334359</t>
  </si>
  <si>
    <t>VENT-0656</t>
  </si>
  <si>
    <t>TRK3842861081</t>
  </si>
  <si>
    <t>VENT-0657</t>
  </si>
  <si>
    <t>TRK4191328995</t>
  </si>
  <si>
    <t>VENT-0658</t>
  </si>
  <si>
    <t>TRK2288859142</t>
  </si>
  <si>
    <t>VENT-0659</t>
  </si>
  <si>
    <t>TRK6582989804</t>
  </si>
  <si>
    <t>VENT-0660</t>
  </si>
  <si>
    <t>TRK7386857627</t>
  </si>
  <si>
    <t>VENT-0661</t>
  </si>
  <si>
    <t>TRK3370011918</t>
  </si>
  <si>
    <t>VENT-0662</t>
  </si>
  <si>
    <t>TRK8275652470</t>
  </si>
  <si>
    <t>VENT-0663</t>
  </si>
  <si>
    <t>TRK5945923930</t>
  </si>
  <si>
    <t>VENT-0664</t>
  </si>
  <si>
    <t>TRK2974309274</t>
  </si>
  <si>
    <t>VENT-0665</t>
  </si>
  <si>
    <t>TRK1549781341</t>
  </si>
  <si>
    <t>VENT-0666</t>
  </si>
  <si>
    <t>TRK4179862360</t>
  </si>
  <si>
    <t>VENT-0667</t>
  </si>
  <si>
    <t>TRK1705253342</t>
  </si>
  <si>
    <t>VENT-0668</t>
  </si>
  <si>
    <t>TRK7655418921</t>
  </si>
  <si>
    <t>VENT-0669</t>
  </si>
  <si>
    <t>TRK6733158970</t>
  </si>
  <si>
    <t>VENT-0670</t>
  </si>
  <si>
    <t>TRK2388890968</t>
  </si>
  <si>
    <t>VENT-0671</t>
  </si>
  <si>
    <t>TRK7010077437</t>
  </si>
  <si>
    <t>VENT-0672</t>
  </si>
  <si>
    <t>TRK5654421888</t>
  </si>
  <si>
    <t>VENT-0673</t>
  </si>
  <si>
    <t>TRK1917646670</t>
  </si>
  <si>
    <t>VENT-0674</t>
  </si>
  <si>
    <t>TRK8749801054</t>
  </si>
  <si>
    <t>VENT-0675</t>
  </si>
  <si>
    <t>TRK5030048285</t>
  </si>
  <si>
    <t>VENT-0676</t>
  </si>
  <si>
    <t>TRK1417976829</t>
  </si>
  <si>
    <t>VENT-0677</t>
  </si>
  <si>
    <t>TRK9004637279</t>
  </si>
  <si>
    <t>VENT-0678</t>
  </si>
  <si>
    <t>TRK1838539452</t>
  </si>
  <si>
    <t>VENT-0679</t>
  </si>
  <si>
    <t>TRK4182143192</t>
  </si>
  <si>
    <t>VENT-0680</t>
  </si>
  <si>
    <t>TRK1608457286</t>
  </si>
  <si>
    <t>VENT-0681</t>
  </si>
  <si>
    <t>TRK9552198148</t>
  </si>
  <si>
    <t>VENT-0682</t>
  </si>
  <si>
    <t>TRK1324380192</t>
  </si>
  <si>
    <t>VENT-0683</t>
  </si>
  <si>
    <t>TRK4421401339</t>
  </si>
  <si>
    <t>VENT-0684</t>
  </si>
  <si>
    <t>TRK7445016325</t>
  </si>
  <si>
    <t>VENT-0685</t>
  </si>
  <si>
    <t>TRK9824047962</t>
  </si>
  <si>
    <t>VENT-0686</t>
  </si>
  <si>
    <t>TRK7965708795</t>
  </si>
  <si>
    <t>VENT-0687</t>
  </si>
  <si>
    <t>TRK6443918604</t>
  </si>
  <si>
    <t>VENT-0688</t>
  </si>
  <si>
    <t>TRK1941351585</t>
  </si>
  <si>
    <t>VENT-0689</t>
  </si>
  <si>
    <t>2026-02-25</t>
  </si>
  <si>
    <t>TRK9271820759</t>
  </si>
  <si>
    <t>VENT-0690</t>
  </si>
  <si>
    <t>TRK6749907909</t>
  </si>
  <si>
    <t>VENT-0691</t>
  </si>
  <si>
    <t>TRK7650880401</t>
  </si>
  <si>
    <t>VENT-0692</t>
  </si>
  <si>
    <t>TRK3822966125</t>
  </si>
  <si>
    <t>VENT-0693</t>
  </si>
  <si>
    <t>TRK5394273061</t>
  </si>
  <si>
    <t>VENT-0694</t>
  </si>
  <si>
    <t>TRK8793296499</t>
  </si>
  <si>
    <t>VENT-0695</t>
  </si>
  <si>
    <t>TRK8616097483</t>
  </si>
  <si>
    <t>VENT-0696</t>
  </si>
  <si>
    <t>TRK8518995754</t>
  </si>
  <si>
    <t>VENT-0697</t>
  </si>
  <si>
    <t>TRK3855911777</t>
  </si>
  <si>
    <t>VENT-0698</t>
  </si>
  <si>
    <t>TRK5404810295</t>
  </si>
  <si>
    <t>VENT-0699</t>
  </si>
  <si>
    <t>TRK4085570264</t>
  </si>
  <si>
    <t>VENT-0700</t>
  </si>
  <si>
    <t>TRK4436436040</t>
  </si>
  <si>
    <t>VENT-0701</t>
  </si>
  <si>
    <t>TRK1929903933</t>
  </si>
  <si>
    <t>VENT-0702</t>
  </si>
  <si>
    <t>2025-08-28</t>
  </si>
  <si>
    <t>TRK4916372333</t>
  </si>
  <si>
    <t>VENT-0703</t>
  </si>
  <si>
    <t>TRK2254036269</t>
  </si>
  <si>
    <t>VENT-0704</t>
  </si>
  <si>
    <t>TRK2827367326</t>
  </si>
  <si>
    <t>VENT-0705</t>
  </si>
  <si>
    <t>TRK4795718896</t>
  </si>
  <si>
    <t>VENT-0706</t>
  </si>
  <si>
    <t>TRK5674062173</t>
  </si>
  <si>
    <t>VENT-0707</t>
  </si>
  <si>
    <t>TRK9460023916</t>
  </si>
  <si>
    <t>VENT-0708</t>
  </si>
  <si>
    <t>TRK7439517615</t>
  </si>
  <si>
    <t>VENT-0709</t>
  </si>
  <si>
    <t>TRK9246686215</t>
  </si>
  <si>
    <t>VENT-0710</t>
  </si>
  <si>
    <t>TRK2447984505</t>
  </si>
  <si>
    <t>VENT-0711</t>
  </si>
  <si>
    <t>TRK4473452038</t>
  </si>
  <si>
    <t>VENT-0712</t>
  </si>
  <si>
    <t>TRK6758404906</t>
  </si>
  <si>
    <t>VENT-0713</t>
  </si>
  <si>
    <t>TRK5965249795</t>
  </si>
  <si>
    <t>VENT-0714</t>
  </si>
  <si>
    <t>TRK9250552073</t>
  </si>
  <si>
    <t>VENT-0715</t>
  </si>
  <si>
    <t>TRK1022110961</t>
  </si>
  <si>
    <t>VENT-0716</t>
  </si>
  <si>
    <t>TRK7320956570</t>
  </si>
  <si>
    <t>VENT-0717</t>
  </si>
  <si>
    <t>TRK1777308752</t>
  </si>
  <si>
    <t>VENT-0718</t>
  </si>
  <si>
    <t>TRK1137223267</t>
  </si>
  <si>
    <t>VENT-0719</t>
  </si>
  <si>
    <t>TRK8620574752</t>
  </si>
  <si>
    <t>VENT-0720</t>
  </si>
  <si>
    <t>TRK8150711683</t>
  </si>
  <si>
    <t>VENT-0721</t>
  </si>
  <si>
    <t>TRK7966693265</t>
  </si>
  <si>
    <t>VENT-0722</t>
  </si>
  <si>
    <t>TRK7681552538</t>
  </si>
  <si>
    <t>VENT-0723</t>
  </si>
  <si>
    <t>TRK9697040266</t>
  </si>
  <si>
    <t>VENT-0724</t>
  </si>
  <si>
    <t>TRK3472651123</t>
  </si>
  <si>
    <t>VENT-0725</t>
  </si>
  <si>
    <t>TRK2195106251</t>
  </si>
  <si>
    <t>VENT-0726</t>
  </si>
  <si>
    <t>TRK2620328765</t>
  </si>
  <si>
    <t>VENT-0727</t>
  </si>
  <si>
    <t>TRK5913020068</t>
  </si>
  <si>
    <t>VENT-0728</t>
  </si>
  <si>
    <t>TRK2204106467</t>
  </si>
  <si>
    <t>VENT-0729</t>
  </si>
  <si>
    <t>TRK4485761415</t>
  </si>
  <si>
    <t>VENT-0730</t>
  </si>
  <si>
    <t>TRK4047013205</t>
  </si>
  <si>
    <t>VENT-0731</t>
  </si>
  <si>
    <t>TRK4986444967</t>
  </si>
  <si>
    <t>VENT-0732</t>
  </si>
  <si>
    <t>2025-01-15</t>
  </si>
  <si>
    <t>TRK8708728501</t>
  </si>
  <si>
    <t>VENT-0733</t>
  </si>
  <si>
    <t>TRK7893855741</t>
  </si>
  <si>
    <t>VENT-0734</t>
  </si>
  <si>
    <t>TRK2297232532</t>
  </si>
  <si>
    <t>VENT-0735</t>
  </si>
  <si>
    <t>TRK5316245665</t>
  </si>
  <si>
    <t>VENT-0736</t>
  </si>
  <si>
    <t>TRK2538851607</t>
  </si>
  <si>
    <t>VENT-0737</t>
  </si>
  <si>
    <t>2025-08-24</t>
  </si>
  <si>
    <t>TRK6264311022</t>
  </si>
  <si>
    <t>VENT-0738</t>
  </si>
  <si>
    <t>TRK8909982624</t>
  </si>
  <si>
    <t>VENT-0739</t>
  </si>
  <si>
    <t>TRK1612576201</t>
  </si>
  <si>
    <t>VENT-0740</t>
  </si>
  <si>
    <t>TRK5619103195</t>
  </si>
  <si>
    <t>VENT-0741</t>
  </si>
  <si>
    <t>TRK4918891148</t>
  </si>
  <si>
    <t>VENT-0742</t>
  </si>
  <si>
    <t>TRK1536963767</t>
  </si>
  <si>
    <t>VENT-0743</t>
  </si>
  <si>
    <t>TRK1567130806</t>
  </si>
  <si>
    <t>VENT-0744</t>
  </si>
  <si>
    <t>TRK2440100985</t>
  </si>
  <si>
    <t>VENT-0745</t>
  </si>
  <si>
    <t>TRK7496691038</t>
  </si>
  <si>
    <t>VENT-0746</t>
  </si>
  <si>
    <t>TRK8860555053</t>
  </si>
  <si>
    <t>VENT-0747</t>
  </si>
  <si>
    <t>TRK1896324383</t>
  </si>
  <si>
    <t>VENT-0748</t>
  </si>
  <si>
    <t>2025-05-26</t>
  </si>
  <si>
    <t>TRK1598980635</t>
  </si>
  <si>
    <t>VENT-0749</t>
  </si>
  <si>
    <t>TRK7146452895</t>
  </si>
  <si>
    <t>VENT-0750</t>
  </si>
  <si>
    <t>TRK6979676351</t>
  </si>
  <si>
    <t>VENT-0751</t>
  </si>
  <si>
    <t>TRK1516743556</t>
  </si>
  <si>
    <t>VENT-0752</t>
  </si>
  <si>
    <t>TRK3886938847</t>
  </si>
  <si>
    <t>VENT-0753</t>
  </si>
  <si>
    <t>TRK4339878973</t>
  </si>
  <si>
    <t>VENT-0754</t>
  </si>
  <si>
    <t>TRK7414223131</t>
  </si>
  <si>
    <t>VENT-0755</t>
  </si>
  <si>
    <t>TRK3815090155</t>
  </si>
  <si>
    <t>VENT-0756</t>
  </si>
  <si>
    <t>TRK8315017360</t>
  </si>
  <si>
    <t>VENT-0757</t>
  </si>
  <si>
    <t>TRK7529295309</t>
  </si>
  <si>
    <t>VENT-0758</t>
  </si>
  <si>
    <t>TRK2152862731</t>
  </si>
  <si>
    <t>VENT-0759</t>
  </si>
  <si>
    <t>TRK7036454899</t>
  </si>
  <si>
    <t>VENT-0760</t>
  </si>
  <si>
    <t>TRK9527106421</t>
  </si>
  <si>
    <t>VENT-0761</t>
  </si>
  <si>
    <t>TRK2607178587</t>
  </si>
  <si>
    <t>VENT-0762</t>
  </si>
  <si>
    <t>TRK5448393478</t>
  </si>
  <si>
    <t>VENT-0763</t>
  </si>
  <si>
    <t>TRK2418081099</t>
  </si>
  <si>
    <t>VENT-0764</t>
  </si>
  <si>
    <t>TRK9255676167</t>
  </si>
  <si>
    <t>VENT-0765</t>
  </si>
  <si>
    <t>TRK9111377542</t>
  </si>
  <si>
    <t>VENT-0766</t>
  </si>
  <si>
    <t>TRK9280022678</t>
  </si>
  <si>
    <t>VENT-0767</t>
  </si>
  <si>
    <t>TRK3851839348</t>
  </si>
  <si>
    <t>VENT-0768</t>
  </si>
  <si>
    <t>TRK3315496427</t>
  </si>
  <si>
    <t>VENT-0769</t>
  </si>
  <si>
    <t>TRK5995452713</t>
  </si>
  <si>
    <t>VENT-0770</t>
  </si>
  <si>
    <t>TRK8792719652</t>
  </si>
  <si>
    <t>VENT-0771</t>
  </si>
  <si>
    <t>TRK8841458420</t>
  </si>
  <si>
    <t>VENT-0772</t>
  </si>
  <si>
    <t>TRK4049943829</t>
  </si>
  <si>
    <t>VENT-0773</t>
  </si>
  <si>
    <t>TRK3026800941</t>
  </si>
  <si>
    <t>VENT-0774</t>
  </si>
  <si>
    <t>TRK7447874133</t>
  </si>
  <si>
    <t>VENT-0775</t>
  </si>
  <si>
    <t>TRK1356242586</t>
  </si>
  <si>
    <t>VENT-0776</t>
  </si>
  <si>
    <t>TRK8123833948</t>
  </si>
  <si>
    <t>VENT-0777</t>
  </si>
  <si>
    <t>TRK6910726321</t>
  </si>
  <si>
    <t>VENT-0778</t>
  </si>
  <si>
    <t>TRK8640655277</t>
  </si>
  <si>
    <t>VENT-0779</t>
  </si>
  <si>
    <t>TRK8646464809</t>
  </si>
  <si>
    <t>VENT-0780</t>
  </si>
  <si>
    <t>2025-09-30</t>
  </si>
  <si>
    <t>TRK3885195352</t>
  </si>
  <si>
    <t>VENT-0781</t>
  </si>
  <si>
    <t>TRK5592362860</t>
  </si>
  <si>
    <t>VENT-0782</t>
  </si>
  <si>
    <t>TRK4667432589</t>
  </si>
  <si>
    <t>VENT-0783</t>
  </si>
  <si>
    <t>TRK3448708534</t>
  </si>
  <si>
    <t>VENT-0784</t>
  </si>
  <si>
    <t>TRK4764952857</t>
  </si>
  <si>
    <t>VENT-0785</t>
  </si>
  <si>
    <t>TRK8389938878</t>
  </si>
  <si>
    <t>VENT-0786</t>
  </si>
  <si>
    <t>TRK8500228243</t>
  </si>
  <si>
    <t>VENT-0787</t>
  </si>
  <si>
    <t>TRK4115960020</t>
  </si>
  <si>
    <t>VENT-0788</t>
  </si>
  <si>
    <t>TRK9815056364</t>
  </si>
  <si>
    <t>VENT-0789</t>
  </si>
  <si>
    <t>TRK2196917393</t>
  </si>
  <si>
    <t>VENT-0790</t>
  </si>
  <si>
    <t>TRK7088048157</t>
  </si>
  <si>
    <t>VENT-0791</t>
  </si>
  <si>
    <t>TRK4082960786</t>
  </si>
  <si>
    <t>VENT-0792</t>
  </si>
  <si>
    <t>TRK4993755155</t>
  </si>
  <si>
    <t>VENT-0793</t>
  </si>
  <si>
    <t>TRK9584343419</t>
  </si>
  <si>
    <t>VENT-0794</t>
  </si>
  <si>
    <t>TRK5115397307</t>
  </si>
  <si>
    <t>VENT-0795</t>
  </si>
  <si>
    <t>TRK9264884678</t>
  </si>
  <si>
    <t>VENT-0796</t>
  </si>
  <si>
    <t>TRK8059128209</t>
  </si>
  <si>
    <t>VENT-0797</t>
  </si>
  <si>
    <t>TRK8767119753</t>
  </si>
  <si>
    <t>VENT-0798</t>
  </si>
  <si>
    <t>TRK9697040484</t>
  </si>
  <si>
    <t>VENT-0799</t>
  </si>
  <si>
    <t>TRK6959402765</t>
  </si>
  <si>
    <t>VENT-0800</t>
  </si>
  <si>
    <t>TRK2895803682</t>
  </si>
  <si>
    <t>Subtipo</t>
  </si>
  <si>
    <t>Zona Origen</t>
  </si>
  <si>
    <t>Zona Destino</t>
  </si>
  <si>
    <t>Documento Referencia</t>
  </si>
  <si>
    <t>Valor Total USD</t>
  </si>
  <si>
    <t>Hora</t>
  </si>
  <si>
    <t>Aprobado Por</t>
  </si>
  <si>
    <t>MOV-00001</t>
  </si>
  <si>
    <t>Reubicación</t>
  </si>
  <si>
    <t>Compra</t>
  </si>
  <si>
    <t>11:40:29</t>
  </si>
  <si>
    <t>Completado</t>
  </si>
  <si>
    <t>MOV-00002</t>
  </si>
  <si>
    <t>Devolución</t>
  </si>
  <si>
    <t>Venta</t>
  </si>
  <si>
    <t>08:10:36</t>
  </si>
  <si>
    <t>Cancelado</t>
  </si>
  <si>
    <t>MOV-00003</t>
  </si>
  <si>
    <t>Salida</t>
  </si>
  <si>
    <t>Ajuste de inventario</t>
  </si>
  <si>
    <t>15:40:12</t>
  </si>
  <si>
    <t>MOV-00004</t>
  </si>
  <si>
    <t>Ajuste</t>
  </si>
  <si>
    <t>Transferencia interna</t>
  </si>
  <si>
    <t>10:31:56</t>
  </si>
  <si>
    <t>María López</t>
  </si>
  <si>
    <t>Luis Rodríguez</t>
  </si>
  <si>
    <t>Verificado</t>
  </si>
  <si>
    <t>MOV-00005</t>
  </si>
  <si>
    <t>Merma</t>
  </si>
  <si>
    <t>Reclasificación</t>
  </si>
  <si>
    <t>11:14:16</t>
  </si>
  <si>
    <t>Sofía Hernández</t>
  </si>
  <si>
    <t>MOV-00006</t>
  </si>
  <si>
    <t>20:35:27</t>
  </si>
  <si>
    <t>MOV-00007</t>
  </si>
  <si>
    <t>Devolución proveedor</t>
  </si>
  <si>
    <t>16:57:38</t>
  </si>
  <si>
    <t>MOV-00008</t>
  </si>
  <si>
    <t>00:48:46</t>
  </si>
  <si>
    <t>MOV-00009</t>
  </si>
  <si>
    <t>Daño</t>
  </si>
  <si>
    <t>19:48:12</t>
  </si>
  <si>
    <t>MOV-00010</t>
  </si>
  <si>
    <t>11:07:22</t>
  </si>
  <si>
    <t>MOV-00011</t>
  </si>
  <si>
    <t>D-11</t>
  </si>
  <si>
    <t>21:14:52</t>
  </si>
  <si>
    <t>MOV-00012</t>
  </si>
  <si>
    <t>12:22:11</t>
  </si>
  <si>
    <t>Revisar</t>
  </si>
  <si>
    <t>MOV-00013</t>
  </si>
  <si>
    <t>11:18:21</t>
  </si>
  <si>
    <t>MOV-00014</t>
  </si>
  <si>
    <t>E-12</t>
  </si>
  <si>
    <t>13:08:30</t>
  </si>
  <si>
    <t>MOV-00015</t>
  </si>
  <si>
    <t>23:10:48</t>
  </si>
  <si>
    <t>MOV-00016</t>
  </si>
  <si>
    <t>Devolución cliente</t>
  </si>
  <si>
    <t>H-13</t>
  </si>
  <si>
    <t>13:15:01</t>
  </si>
  <si>
    <t>MOV-00017</t>
  </si>
  <si>
    <t>13:28:14</t>
  </si>
  <si>
    <t>MOV-00018</t>
  </si>
  <si>
    <t>07:25:19</t>
  </si>
  <si>
    <t>MOV-00019</t>
  </si>
  <si>
    <t>19:04:07</t>
  </si>
  <si>
    <t>MOV-00020</t>
  </si>
  <si>
    <t>01:43:41</t>
  </si>
  <si>
    <t>MOV-00021</t>
  </si>
  <si>
    <t>C-19</t>
  </si>
  <si>
    <t>10:51:04</t>
  </si>
  <si>
    <t>MOV-00022</t>
  </si>
  <si>
    <t>Entrada</t>
  </si>
  <si>
    <t>18:57:04</t>
  </si>
  <si>
    <t>MOV-00023</t>
  </si>
  <si>
    <t>09:22:54</t>
  </si>
  <si>
    <t>MOV-00024</t>
  </si>
  <si>
    <t>D-18</t>
  </si>
  <si>
    <t>09:40:22</t>
  </si>
  <si>
    <t>MOV-00025</t>
  </si>
  <si>
    <t>14:43:22</t>
  </si>
  <si>
    <t>MOV-00026</t>
  </si>
  <si>
    <t>10:06:15</t>
  </si>
  <si>
    <t>MOV-00027</t>
  </si>
  <si>
    <t>01:49:35</t>
  </si>
  <si>
    <t>MOV-00028</t>
  </si>
  <si>
    <t>G-01</t>
  </si>
  <si>
    <t>07:47:24</t>
  </si>
  <si>
    <t>MOV-00029</t>
  </si>
  <si>
    <t>03:49:03</t>
  </si>
  <si>
    <t>MOV-00030</t>
  </si>
  <si>
    <t>03:56:49</t>
  </si>
  <si>
    <t>MOV-00031</t>
  </si>
  <si>
    <t>14:28:46</t>
  </si>
  <si>
    <t>MOV-00032</t>
  </si>
  <si>
    <t>15:13:29</t>
  </si>
  <si>
    <t>MOV-00033</t>
  </si>
  <si>
    <t>12:11:31</t>
  </si>
  <si>
    <t>MOV-00034</t>
  </si>
  <si>
    <t>17:47:26</t>
  </si>
  <si>
    <t>MOV-00035</t>
  </si>
  <si>
    <t>07:00:01</t>
  </si>
  <si>
    <t>MOV-00036</t>
  </si>
  <si>
    <t>01:24:21</t>
  </si>
  <si>
    <t>MOV-00037</t>
  </si>
  <si>
    <t>00:05:34</t>
  </si>
  <si>
    <t>MOV-00038</t>
  </si>
  <si>
    <t>05:59:55</t>
  </si>
  <si>
    <t>MOV-00039</t>
  </si>
  <si>
    <t>00:27:04</t>
  </si>
  <si>
    <t>MOV-00040</t>
  </si>
  <si>
    <t>19:26:13</t>
  </si>
  <si>
    <t>MOV-00041</t>
  </si>
  <si>
    <t>B-07</t>
  </si>
  <si>
    <t>06:50:43</t>
  </si>
  <si>
    <t>MOV-00042</t>
  </si>
  <si>
    <t>01:15:30</t>
  </si>
  <si>
    <t>MOV-00043</t>
  </si>
  <si>
    <t>23:13:38</t>
  </si>
  <si>
    <t>MOV-00044</t>
  </si>
  <si>
    <t>B-09</t>
  </si>
  <si>
    <t>22:12:25</t>
  </si>
  <si>
    <t>MOV-00045</t>
  </si>
  <si>
    <t>12:13:49</t>
  </si>
  <si>
    <t>MOV-00046</t>
  </si>
  <si>
    <t>17:29:08</t>
  </si>
  <si>
    <t>MOV-00047</t>
  </si>
  <si>
    <t>02:56:13</t>
  </si>
  <si>
    <t>MOV-00048</t>
  </si>
  <si>
    <t>20:10:47</t>
  </si>
  <si>
    <t>MOV-00049</t>
  </si>
  <si>
    <t>08:10:18</t>
  </si>
  <si>
    <t>MOV-00050</t>
  </si>
  <si>
    <t>13:42:04</t>
  </si>
  <si>
    <t>MOV-00051</t>
  </si>
  <si>
    <t>F-07</t>
  </si>
  <si>
    <t>10:19:53</t>
  </si>
  <si>
    <t>MOV-00052</t>
  </si>
  <si>
    <t>10:39:17</t>
  </si>
  <si>
    <t>MOV-00053</t>
  </si>
  <si>
    <t>G-20</t>
  </si>
  <si>
    <t>02:36:16</t>
  </si>
  <si>
    <t>MOV-00054</t>
  </si>
  <si>
    <t>05:32:47</t>
  </si>
  <si>
    <t>MOV-00055</t>
  </si>
  <si>
    <t>16:24:27</t>
  </si>
  <si>
    <t>MOV-00056</t>
  </si>
  <si>
    <t>00:36:55</t>
  </si>
  <si>
    <t>MOV-00057</t>
  </si>
  <si>
    <t>19:06:53</t>
  </si>
  <si>
    <t>MOV-00058</t>
  </si>
  <si>
    <t>09:47:46</t>
  </si>
  <si>
    <t>MOV-00059</t>
  </si>
  <si>
    <t>13:37:03</t>
  </si>
  <si>
    <t>MOV-00060</t>
  </si>
  <si>
    <t>23:20:00</t>
  </si>
  <si>
    <t>MOV-00061</t>
  </si>
  <si>
    <t>11:39:56</t>
  </si>
  <si>
    <t>MOV-00062</t>
  </si>
  <si>
    <t>13:04:30</t>
  </si>
  <si>
    <t>MOV-00063</t>
  </si>
  <si>
    <t>G-06</t>
  </si>
  <si>
    <t>07:33:41</t>
  </si>
  <si>
    <t>MOV-00064</t>
  </si>
  <si>
    <t>A-03</t>
  </si>
  <si>
    <t>19:21:05</t>
  </si>
  <si>
    <t>MOV-00065</t>
  </si>
  <si>
    <t>13:09:03</t>
  </si>
  <si>
    <t>MOV-00066</t>
  </si>
  <si>
    <t>21:26:05</t>
  </si>
  <si>
    <t>MOV-00067</t>
  </si>
  <si>
    <t>01:32:39</t>
  </si>
  <si>
    <t>MOV-00068</t>
  </si>
  <si>
    <t>07:30:24</t>
  </si>
  <si>
    <t>MOV-00069</t>
  </si>
  <si>
    <t>15:49:13</t>
  </si>
  <si>
    <t>MOV-00070</t>
  </si>
  <si>
    <t>23:18:46</t>
  </si>
  <si>
    <t>MOV-00071</t>
  </si>
  <si>
    <t>F-06</t>
  </si>
  <si>
    <t>14:01:54</t>
  </si>
  <si>
    <t>MOV-00072</t>
  </si>
  <si>
    <t>02:35:06</t>
  </si>
  <si>
    <t>MOV-00073</t>
  </si>
  <si>
    <t>08:46:29</t>
  </si>
  <si>
    <t>MOV-00074</t>
  </si>
  <si>
    <t>02:17:45</t>
  </si>
  <si>
    <t>MOV-00075</t>
  </si>
  <si>
    <t>13:11:58</t>
  </si>
  <si>
    <t>MOV-00076</t>
  </si>
  <si>
    <t>A-10</t>
  </si>
  <si>
    <t>16:21:10</t>
  </si>
  <si>
    <t>MOV-00077</t>
  </si>
  <si>
    <t>A-06</t>
  </si>
  <si>
    <t>02:34:58</t>
  </si>
  <si>
    <t>MOV-00078</t>
  </si>
  <si>
    <t>06:17:57</t>
  </si>
  <si>
    <t>MOV-00079</t>
  </si>
  <si>
    <t>02:58:10</t>
  </si>
  <si>
    <t>MOV-00080</t>
  </si>
  <si>
    <t>01:46:03</t>
  </si>
  <si>
    <t>MOV-00081</t>
  </si>
  <si>
    <t>01:53:37</t>
  </si>
  <si>
    <t>MOV-00082</t>
  </si>
  <si>
    <t>02:20:14</t>
  </si>
  <si>
    <t>MOV-00083</t>
  </si>
  <si>
    <t>22:27:15</t>
  </si>
  <si>
    <t>MOV-00084</t>
  </si>
  <si>
    <t>E-11</t>
  </si>
  <si>
    <t>03:01:26</t>
  </si>
  <si>
    <t>MOV-00085</t>
  </si>
  <si>
    <t>16:59:08</t>
  </si>
  <si>
    <t>MOV-00086</t>
  </si>
  <si>
    <t>22:05:47</t>
  </si>
  <si>
    <t>MOV-00087</t>
  </si>
  <si>
    <t>00:02:41</t>
  </si>
  <si>
    <t>MOV-00088</t>
  </si>
  <si>
    <t>22:51:02</t>
  </si>
  <si>
    <t>MOV-00089</t>
  </si>
  <si>
    <t>15:16:28</t>
  </si>
  <si>
    <t>MOV-00090</t>
  </si>
  <si>
    <t>10:40:53</t>
  </si>
  <si>
    <t>MOV-00091</t>
  </si>
  <si>
    <t>01:26:41</t>
  </si>
  <si>
    <t>MOV-00092</t>
  </si>
  <si>
    <t>18:39:00</t>
  </si>
  <si>
    <t>MOV-00093</t>
  </si>
  <si>
    <t>03:16:29</t>
  </si>
  <si>
    <t>MOV-00094</t>
  </si>
  <si>
    <t>23:25:31</t>
  </si>
  <si>
    <t>MOV-00095</t>
  </si>
  <si>
    <t>05:45:34</t>
  </si>
  <si>
    <t>MOV-00096</t>
  </si>
  <si>
    <t>15:32:01</t>
  </si>
  <si>
    <t>MOV-00097</t>
  </si>
  <si>
    <t>02:30:20</t>
  </si>
  <si>
    <t>MOV-00098</t>
  </si>
  <si>
    <t>05:27:28</t>
  </si>
  <si>
    <t>MOV-00099</t>
  </si>
  <si>
    <t>13:19:56</t>
  </si>
  <si>
    <t>MOV-00100</t>
  </si>
  <si>
    <t>06:53:02</t>
  </si>
  <si>
    <t>MOV-00101</t>
  </si>
  <si>
    <t>05:30:24</t>
  </si>
  <si>
    <t>MOV-00102</t>
  </si>
  <si>
    <t>10:55:14</t>
  </si>
  <si>
    <t>MOV-00103</t>
  </si>
  <si>
    <t>12:02:39</t>
  </si>
  <si>
    <t>MOV-00104</t>
  </si>
  <si>
    <t>22:33:52</t>
  </si>
  <si>
    <t>MOV-00105</t>
  </si>
  <si>
    <t>21:31:29</t>
  </si>
  <si>
    <t>MOV-00106</t>
  </si>
  <si>
    <t>D-20</t>
  </si>
  <si>
    <t>14:35:39</t>
  </si>
  <si>
    <t>MOV-00107</t>
  </si>
  <si>
    <t>B-15</t>
  </si>
  <si>
    <t>08:19:06</t>
  </si>
  <si>
    <t>MOV-00108</t>
  </si>
  <si>
    <t>11:24:49</t>
  </si>
  <si>
    <t>MOV-00109</t>
  </si>
  <si>
    <t>H-16</t>
  </si>
  <si>
    <t>18:17:49</t>
  </si>
  <si>
    <t>MOV-00110</t>
  </si>
  <si>
    <t>H-15</t>
  </si>
  <si>
    <t>20:16:29</t>
  </si>
  <si>
    <t>MOV-00111</t>
  </si>
  <si>
    <t>C-06</t>
  </si>
  <si>
    <t>F-12</t>
  </si>
  <si>
    <t>08:41:46</t>
  </si>
  <si>
    <t>MOV-00112</t>
  </si>
  <si>
    <t>00:53:49</t>
  </si>
  <si>
    <t>MOV-00113</t>
  </si>
  <si>
    <t>20:50:40</t>
  </si>
  <si>
    <t>MOV-00114</t>
  </si>
  <si>
    <t>22:15:18</t>
  </si>
  <si>
    <t>MOV-00115</t>
  </si>
  <si>
    <t>A-04</t>
  </si>
  <si>
    <t>11:39:43</t>
  </si>
  <si>
    <t>MOV-00116</t>
  </si>
  <si>
    <t>21:06:25</t>
  </si>
  <si>
    <t>MOV-00117</t>
  </si>
  <si>
    <t>11:45:33</t>
  </si>
  <si>
    <t>MOV-00118</t>
  </si>
  <si>
    <t>E-03</t>
  </si>
  <si>
    <t>02:17:12</t>
  </si>
  <si>
    <t>MOV-00119</t>
  </si>
  <si>
    <t>02:44:17</t>
  </si>
  <si>
    <t>MOV-00120</t>
  </si>
  <si>
    <t>10:11:42</t>
  </si>
  <si>
    <t>MOV-00121</t>
  </si>
  <si>
    <t>08:40:42</t>
  </si>
  <si>
    <t>MOV-00122</t>
  </si>
  <si>
    <t>20:17:24</t>
  </si>
  <si>
    <t>MOV-00123</t>
  </si>
  <si>
    <t>14:12:32</t>
  </si>
  <si>
    <t>MOV-00124</t>
  </si>
  <si>
    <t>08:55:31</t>
  </si>
  <si>
    <t>MOV-00125</t>
  </si>
  <si>
    <t>14:10:34</t>
  </si>
  <si>
    <t>MOV-00126</t>
  </si>
  <si>
    <t>15:27:06</t>
  </si>
  <si>
    <t>MOV-00127</t>
  </si>
  <si>
    <t>17:33:54</t>
  </si>
  <si>
    <t>MOV-00128</t>
  </si>
  <si>
    <t>09:06:37</t>
  </si>
  <si>
    <t>MOV-00129</t>
  </si>
  <si>
    <t>04:21:52</t>
  </si>
  <si>
    <t>MOV-00130</t>
  </si>
  <si>
    <t>08:11:07</t>
  </si>
  <si>
    <t>MOV-00131</t>
  </si>
  <si>
    <t>00:35:45</t>
  </si>
  <si>
    <t>MOV-00132</t>
  </si>
  <si>
    <t>07:56:51</t>
  </si>
  <si>
    <t>MOV-00133</t>
  </si>
  <si>
    <t>02:36:21</t>
  </si>
  <si>
    <t>MOV-00134</t>
  </si>
  <si>
    <t>16:28:58</t>
  </si>
  <si>
    <t>MOV-00135</t>
  </si>
  <si>
    <t>03:48:35</t>
  </si>
  <si>
    <t>MOV-00136</t>
  </si>
  <si>
    <t>15:48:15</t>
  </si>
  <si>
    <t>MOV-00137</t>
  </si>
  <si>
    <t>14:46:51</t>
  </si>
  <si>
    <t>MOV-00138</t>
  </si>
  <si>
    <t>01:30:36</t>
  </si>
  <si>
    <t>MOV-00139</t>
  </si>
  <si>
    <t>21:01:48</t>
  </si>
  <si>
    <t>MOV-00140</t>
  </si>
  <si>
    <t>15:02:39</t>
  </si>
  <si>
    <t>MOV-00141</t>
  </si>
  <si>
    <t>14:04:42</t>
  </si>
  <si>
    <t>MOV-00142</t>
  </si>
  <si>
    <t>01:50:09</t>
  </si>
  <si>
    <t>MOV-00143</t>
  </si>
  <si>
    <t>14:34:56</t>
  </si>
  <si>
    <t>MOV-00144</t>
  </si>
  <si>
    <t>G-09</t>
  </si>
  <si>
    <t>10:15:06</t>
  </si>
  <si>
    <t>MOV-00145</t>
  </si>
  <si>
    <t>13:35:33</t>
  </si>
  <si>
    <t>MOV-00146</t>
  </si>
  <si>
    <t>10:35:25</t>
  </si>
  <si>
    <t>MOV-00147</t>
  </si>
  <si>
    <t>09:36:23</t>
  </si>
  <si>
    <t>MOV-00148</t>
  </si>
  <si>
    <t>15:00:01</t>
  </si>
  <si>
    <t>MOV-00149</t>
  </si>
  <si>
    <t>11:19:23</t>
  </si>
  <si>
    <t>MOV-00150</t>
  </si>
  <si>
    <t>03:22:10</t>
  </si>
  <si>
    <t>MOV-00151</t>
  </si>
  <si>
    <t>11:32:31</t>
  </si>
  <si>
    <t>MOV-00152</t>
  </si>
  <si>
    <t>02:17:47</t>
  </si>
  <si>
    <t>MOV-00153</t>
  </si>
  <si>
    <t>02:36:08</t>
  </si>
  <si>
    <t>MOV-00154</t>
  </si>
  <si>
    <t>15:37:21</t>
  </si>
  <si>
    <t>MOV-00155</t>
  </si>
  <si>
    <t>14:21:53</t>
  </si>
  <si>
    <t>MOV-00156</t>
  </si>
  <si>
    <t>22:04:11</t>
  </si>
  <si>
    <t>MOV-00157</t>
  </si>
  <si>
    <t>15:10:38</t>
  </si>
  <si>
    <t>MOV-00158</t>
  </si>
  <si>
    <t>15:37:55</t>
  </si>
  <si>
    <t>MOV-00159</t>
  </si>
  <si>
    <t>12:44:49</t>
  </si>
  <si>
    <t>MOV-00160</t>
  </si>
  <si>
    <t>01:58:06</t>
  </si>
  <si>
    <t>MOV-00161</t>
  </si>
  <si>
    <t>18:50:00</t>
  </si>
  <si>
    <t>MOV-00162</t>
  </si>
  <si>
    <t>20:48:20</t>
  </si>
  <si>
    <t>MOV-00163</t>
  </si>
  <si>
    <t>2024-09-12</t>
  </si>
  <si>
    <t>06:09:38</t>
  </si>
  <si>
    <t>MOV-00164</t>
  </si>
  <si>
    <t>H-17</t>
  </si>
  <si>
    <t>22:58:18</t>
  </si>
  <si>
    <t>MOV-00165</t>
  </si>
  <si>
    <t>18:25:37</t>
  </si>
  <si>
    <t>MOV-00166</t>
  </si>
  <si>
    <t>16:06:57</t>
  </si>
  <si>
    <t>MOV-00167</t>
  </si>
  <si>
    <t>08:01:40</t>
  </si>
  <si>
    <t>MOV-00168</t>
  </si>
  <si>
    <t>15:45:05</t>
  </si>
  <si>
    <t>MOV-00169</t>
  </si>
  <si>
    <t>11:54:05</t>
  </si>
  <si>
    <t>MOV-00170</t>
  </si>
  <si>
    <t>08:59:48</t>
  </si>
  <si>
    <t>MOV-00171</t>
  </si>
  <si>
    <t>00:53:50</t>
  </si>
  <si>
    <t>MOV-00172</t>
  </si>
  <si>
    <t>09:09:03</t>
  </si>
  <si>
    <t>MOV-00173</t>
  </si>
  <si>
    <t>01:47:48</t>
  </si>
  <si>
    <t>MOV-00174</t>
  </si>
  <si>
    <t>21:07:24</t>
  </si>
  <si>
    <t>MOV-00175</t>
  </si>
  <si>
    <t>12:48:35</t>
  </si>
  <si>
    <t>MOV-00176</t>
  </si>
  <si>
    <t>09:28:09</t>
  </si>
  <si>
    <t>MOV-00177</t>
  </si>
  <si>
    <t>16:48:38</t>
  </si>
  <si>
    <t>MOV-00178</t>
  </si>
  <si>
    <t>14:23:04</t>
  </si>
  <si>
    <t>MOV-00179</t>
  </si>
  <si>
    <t>20:28:13</t>
  </si>
  <si>
    <t>MOV-00180</t>
  </si>
  <si>
    <t>15:06:37</t>
  </si>
  <si>
    <t>MOV-00181</t>
  </si>
  <si>
    <t>10:18:37</t>
  </si>
  <si>
    <t>MOV-00182</t>
  </si>
  <si>
    <t>00:12:51</t>
  </si>
  <si>
    <t>MOV-00183</t>
  </si>
  <si>
    <t>22:17:06</t>
  </si>
  <si>
    <t>MOV-00184</t>
  </si>
  <si>
    <t>14:49:20</t>
  </si>
  <si>
    <t>MOV-00185</t>
  </si>
  <si>
    <t>03:11:23</t>
  </si>
  <si>
    <t>MOV-00186</t>
  </si>
  <si>
    <t>03:54:11</t>
  </si>
  <si>
    <t>MOV-00187</t>
  </si>
  <si>
    <t>12:39:20</t>
  </si>
  <si>
    <t>MOV-00188</t>
  </si>
  <si>
    <t>14:04:19</t>
  </si>
  <si>
    <t>MOV-00189</t>
  </si>
  <si>
    <t>B-20</t>
  </si>
  <si>
    <t>08:29:59</t>
  </si>
  <si>
    <t>MOV-00190</t>
  </si>
  <si>
    <t>07:16:05</t>
  </si>
  <si>
    <t>MOV-00191</t>
  </si>
  <si>
    <t>14:55:37</t>
  </si>
  <si>
    <t>MOV-00192</t>
  </si>
  <si>
    <t>16:13:04</t>
  </si>
  <si>
    <t>MOV-00193</t>
  </si>
  <si>
    <t>08:01:14</t>
  </si>
  <si>
    <t>MOV-00194</t>
  </si>
  <si>
    <t>19:18:05</t>
  </si>
  <si>
    <t>MOV-00195</t>
  </si>
  <si>
    <t>12:15:05</t>
  </si>
  <si>
    <t>MOV-00196</t>
  </si>
  <si>
    <t>B-06</t>
  </si>
  <si>
    <t>01:17:28</t>
  </si>
  <si>
    <t>MOV-00197</t>
  </si>
  <si>
    <t>01:58:57</t>
  </si>
  <si>
    <t>MOV-00198</t>
  </si>
  <si>
    <t>02:28:06</t>
  </si>
  <si>
    <t>MOV-00199</t>
  </si>
  <si>
    <t>07:42:42</t>
  </si>
  <si>
    <t>MOV-00200</t>
  </si>
  <si>
    <t>18:37:11</t>
  </si>
  <si>
    <t>MOV-00201</t>
  </si>
  <si>
    <t>04:17:32</t>
  </si>
  <si>
    <t>MOV-00202</t>
  </si>
  <si>
    <t>07:17:36</t>
  </si>
  <si>
    <t>MOV-00203</t>
  </si>
  <si>
    <t>04:07:56</t>
  </si>
  <si>
    <t>MOV-00204</t>
  </si>
  <si>
    <t>17:44:38</t>
  </si>
  <si>
    <t>MOV-00205</t>
  </si>
  <si>
    <t>03:46:34</t>
  </si>
  <si>
    <t>MOV-00206</t>
  </si>
  <si>
    <t>02:52:20</t>
  </si>
  <si>
    <t>MOV-00207</t>
  </si>
  <si>
    <t>09:42:24</t>
  </si>
  <si>
    <t>MOV-00208</t>
  </si>
  <si>
    <t>13:54:57</t>
  </si>
  <si>
    <t>MOV-00209</t>
  </si>
  <si>
    <t>09:07:30</t>
  </si>
  <si>
    <t>MOV-00210</t>
  </si>
  <si>
    <t>08:00:53</t>
  </si>
  <si>
    <t>MOV-00211</t>
  </si>
  <si>
    <t>05:24:56</t>
  </si>
  <si>
    <t>MOV-00212</t>
  </si>
  <si>
    <t>08:48:15</t>
  </si>
  <si>
    <t>MOV-00213</t>
  </si>
  <si>
    <t>10:20:44</t>
  </si>
  <si>
    <t>MOV-00214</t>
  </si>
  <si>
    <t>12:15:29</t>
  </si>
  <si>
    <t>MOV-00215</t>
  </si>
  <si>
    <t>19:20:22</t>
  </si>
  <si>
    <t>MOV-00216</t>
  </si>
  <si>
    <t>21:05:04</t>
  </si>
  <si>
    <t>MOV-00217</t>
  </si>
  <si>
    <t>C-12</t>
  </si>
  <si>
    <t>17:18:46</t>
  </si>
  <si>
    <t>MOV-00218</t>
  </si>
  <si>
    <t>05:51:07</t>
  </si>
  <si>
    <t>MOV-00219</t>
  </si>
  <si>
    <t>04:00:04</t>
  </si>
  <si>
    <t>MOV-00220</t>
  </si>
  <si>
    <t>05:39:46</t>
  </si>
  <si>
    <t>MOV-00221</t>
  </si>
  <si>
    <t>05:13:44</t>
  </si>
  <si>
    <t>MOV-00222</t>
  </si>
  <si>
    <t>21:17:43</t>
  </si>
  <si>
    <t>MOV-00223</t>
  </si>
  <si>
    <t>13:39:24</t>
  </si>
  <si>
    <t>MOV-00224</t>
  </si>
  <si>
    <t>00:43:34</t>
  </si>
  <si>
    <t>MOV-00225</t>
  </si>
  <si>
    <t>09:06:07</t>
  </si>
  <si>
    <t>MOV-00226</t>
  </si>
  <si>
    <t>22:10:08</t>
  </si>
  <si>
    <t>MOV-00227</t>
  </si>
  <si>
    <t>10:47:55</t>
  </si>
  <si>
    <t>MOV-00228</t>
  </si>
  <si>
    <t>17:11:25</t>
  </si>
  <si>
    <t>MOV-00229</t>
  </si>
  <si>
    <t>09:52:57</t>
  </si>
  <si>
    <t>MOV-00230</t>
  </si>
  <si>
    <t>02:06:43</t>
  </si>
  <si>
    <t>MOV-00231</t>
  </si>
  <si>
    <t>17:36:57</t>
  </si>
  <si>
    <t>MOV-00232</t>
  </si>
  <si>
    <t>02:08:42</t>
  </si>
  <si>
    <t>MOV-00233</t>
  </si>
  <si>
    <t>22:25:59</t>
  </si>
  <si>
    <t>MOV-00234</t>
  </si>
  <si>
    <t>08:49:15</t>
  </si>
  <si>
    <t>MOV-00235</t>
  </si>
  <si>
    <t>21:57:41</t>
  </si>
  <si>
    <t>MOV-00236</t>
  </si>
  <si>
    <t>12:01:59</t>
  </si>
  <si>
    <t>MOV-00237</t>
  </si>
  <si>
    <t>14:32:48</t>
  </si>
  <si>
    <t>MOV-00238</t>
  </si>
  <si>
    <t>01:28:41</t>
  </si>
  <si>
    <t>MOV-00239</t>
  </si>
  <si>
    <t>06:45:45</t>
  </si>
  <si>
    <t>MOV-00240</t>
  </si>
  <si>
    <t>21:51:25</t>
  </si>
  <si>
    <t>MOV-00241</t>
  </si>
  <si>
    <t>07:17:30</t>
  </si>
  <si>
    <t>MOV-00242</t>
  </si>
  <si>
    <t>06:26:19</t>
  </si>
  <si>
    <t>MOV-00243</t>
  </si>
  <si>
    <t>14:47:25</t>
  </si>
  <si>
    <t>MOV-00244</t>
  </si>
  <si>
    <t>08:23:23</t>
  </si>
  <si>
    <t>MOV-00245</t>
  </si>
  <si>
    <t>20:08:31</t>
  </si>
  <si>
    <t>MOV-00246</t>
  </si>
  <si>
    <t>21:52:53</t>
  </si>
  <si>
    <t>MOV-00247</t>
  </si>
  <si>
    <t>01:27:41</t>
  </si>
  <si>
    <t>MOV-00248</t>
  </si>
  <si>
    <t>05:58:07</t>
  </si>
  <si>
    <t>MOV-00249</t>
  </si>
  <si>
    <t>07:01:30</t>
  </si>
  <si>
    <t>MOV-00250</t>
  </si>
  <si>
    <t>09:39:35</t>
  </si>
  <si>
    <t>MOV-00251</t>
  </si>
  <si>
    <t>2024-05-28</t>
  </si>
  <si>
    <t>05:26:36</t>
  </si>
  <si>
    <t>MOV-00252</t>
  </si>
  <si>
    <t>20:27:56</t>
  </si>
  <si>
    <t>MOV-00253</t>
  </si>
  <si>
    <t>17:16:00</t>
  </si>
  <si>
    <t>MOV-00254</t>
  </si>
  <si>
    <t>09:09:25</t>
  </si>
  <si>
    <t>MOV-00255</t>
  </si>
  <si>
    <t>16:27:02</t>
  </si>
  <si>
    <t>MOV-00256</t>
  </si>
  <si>
    <t>06:57:07</t>
  </si>
  <si>
    <t>MOV-00257</t>
  </si>
  <si>
    <t>08:35:01</t>
  </si>
  <si>
    <t>MOV-00258</t>
  </si>
  <si>
    <t>01:30:52</t>
  </si>
  <si>
    <t>MOV-00259</t>
  </si>
  <si>
    <t>10:04:05</t>
  </si>
  <si>
    <t>MOV-00260</t>
  </si>
  <si>
    <t>15:10:43</t>
  </si>
  <si>
    <t>MOV-00261</t>
  </si>
  <si>
    <t>13:20:38</t>
  </si>
  <si>
    <t>MOV-00262</t>
  </si>
  <si>
    <t>21:54:23</t>
  </si>
  <si>
    <t>MOV-00263</t>
  </si>
  <si>
    <t>14:19:38</t>
  </si>
  <si>
    <t>MOV-00264</t>
  </si>
  <si>
    <t>E-09</t>
  </si>
  <si>
    <t>10:32:25</t>
  </si>
  <si>
    <t>MOV-00265</t>
  </si>
  <si>
    <t>18:06:06</t>
  </si>
  <si>
    <t>MOV-00266</t>
  </si>
  <si>
    <t>02:15:22</t>
  </si>
  <si>
    <t>MOV-00267</t>
  </si>
  <si>
    <t>15:42:59</t>
  </si>
  <si>
    <t>MOV-00268</t>
  </si>
  <si>
    <t>14:19:24</t>
  </si>
  <si>
    <t>MOV-00269</t>
  </si>
  <si>
    <t>17:03:51</t>
  </si>
  <si>
    <t>MOV-00270</t>
  </si>
  <si>
    <t>09:04:15</t>
  </si>
  <si>
    <t>MOV-00271</t>
  </si>
  <si>
    <t>22:37:13</t>
  </si>
  <si>
    <t>MOV-00272</t>
  </si>
  <si>
    <t>13:07:58</t>
  </si>
  <si>
    <t>MOV-00273</t>
  </si>
  <si>
    <t>H-01</t>
  </si>
  <si>
    <t>03:24:02</t>
  </si>
  <si>
    <t>MOV-00274</t>
  </si>
  <si>
    <t>03:08:40</t>
  </si>
  <si>
    <t>MOV-00275</t>
  </si>
  <si>
    <t>MOV-00276</t>
  </si>
  <si>
    <t>10:53:39</t>
  </si>
  <si>
    <t>MOV-00277</t>
  </si>
  <si>
    <t>21:14:53</t>
  </si>
  <si>
    <t>MOV-00278</t>
  </si>
  <si>
    <t>17:44:42</t>
  </si>
  <si>
    <t>MOV-00279</t>
  </si>
  <si>
    <t>02:47:00</t>
  </si>
  <si>
    <t>MOV-00280</t>
  </si>
  <si>
    <t>01:03:16</t>
  </si>
  <si>
    <t>MOV-00281</t>
  </si>
  <si>
    <t>08:02:48</t>
  </si>
  <si>
    <t>MOV-00282</t>
  </si>
  <si>
    <t>20:50:55</t>
  </si>
  <si>
    <t>MOV-00283</t>
  </si>
  <si>
    <t>05:45:11</t>
  </si>
  <si>
    <t>MOV-00284</t>
  </si>
  <si>
    <t>10:37:53</t>
  </si>
  <si>
    <t>MOV-00285</t>
  </si>
  <si>
    <t>18:32:01</t>
  </si>
  <si>
    <t>MOV-00286</t>
  </si>
  <si>
    <t>02:02:34</t>
  </si>
  <si>
    <t>MOV-00287</t>
  </si>
  <si>
    <t>14:04:20</t>
  </si>
  <si>
    <t>MOV-00288</t>
  </si>
  <si>
    <t>10:20:57</t>
  </si>
  <si>
    <t>MOV-00289</t>
  </si>
  <si>
    <t>04:47:54</t>
  </si>
  <si>
    <t>MOV-00290</t>
  </si>
  <si>
    <t>02:19:53</t>
  </si>
  <si>
    <t>MOV-00291</t>
  </si>
  <si>
    <t>23:23:43</t>
  </si>
  <si>
    <t>MOV-00292</t>
  </si>
  <si>
    <t>22:05:52</t>
  </si>
  <si>
    <t>MOV-00293</t>
  </si>
  <si>
    <t>04:20:19</t>
  </si>
  <si>
    <t>MOV-00294</t>
  </si>
  <si>
    <t>21:39:27</t>
  </si>
  <si>
    <t>MOV-00295</t>
  </si>
  <si>
    <t>22:45:13</t>
  </si>
  <si>
    <t>MOV-00296</t>
  </si>
  <si>
    <t>B-19</t>
  </si>
  <si>
    <t>03:52:36</t>
  </si>
  <si>
    <t>MOV-00297</t>
  </si>
  <si>
    <t>15:03:19</t>
  </si>
  <si>
    <t>MOV-00298</t>
  </si>
  <si>
    <t>05:01:48</t>
  </si>
  <si>
    <t>MOV-00299</t>
  </si>
  <si>
    <t>22:55:41</t>
  </si>
  <si>
    <t>MOV-00300</t>
  </si>
  <si>
    <t>14:54:01</t>
  </si>
  <si>
    <t>MOV-00301</t>
  </si>
  <si>
    <t>07:13:44</t>
  </si>
  <si>
    <t>MOV-00302</t>
  </si>
  <si>
    <t>05:13:19</t>
  </si>
  <si>
    <t>MOV-00303</t>
  </si>
  <si>
    <t>18:31:11</t>
  </si>
  <si>
    <t>MOV-00304</t>
  </si>
  <si>
    <t>00:13:58</t>
  </si>
  <si>
    <t>MOV-00305</t>
  </si>
  <si>
    <t>01:16:44</t>
  </si>
  <si>
    <t>MOV-00306</t>
  </si>
  <si>
    <t>03:29:21</t>
  </si>
  <si>
    <t>MOV-00307</t>
  </si>
  <si>
    <t>14:11:34</t>
  </si>
  <si>
    <t>MOV-00308</t>
  </si>
  <si>
    <t>16:38:10</t>
  </si>
  <si>
    <t>MOV-00309</t>
  </si>
  <si>
    <t>08:51:01</t>
  </si>
  <si>
    <t>MOV-00310</t>
  </si>
  <si>
    <t>20:08:09</t>
  </si>
  <si>
    <t>MOV-00311</t>
  </si>
  <si>
    <t>18:20:53</t>
  </si>
  <si>
    <t>MOV-00312</t>
  </si>
  <si>
    <t>00:15:17</t>
  </si>
  <si>
    <t>MOV-00313</t>
  </si>
  <si>
    <t>05:38:22</t>
  </si>
  <si>
    <t>MOV-00314</t>
  </si>
  <si>
    <t>16:00:00</t>
  </si>
  <si>
    <t>MOV-00315</t>
  </si>
  <si>
    <t>22:13:35</t>
  </si>
  <si>
    <t>MOV-00316</t>
  </si>
  <si>
    <t>09:40:41</t>
  </si>
  <si>
    <t>MOV-00317</t>
  </si>
  <si>
    <t>20:54:56</t>
  </si>
  <si>
    <t>MOV-00318</t>
  </si>
  <si>
    <t>10:24:17</t>
  </si>
  <si>
    <t>MOV-00319</t>
  </si>
  <si>
    <t>02:19:59</t>
  </si>
  <si>
    <t>MOV-00320</t>
  </si>
  <si>
    <t>15:13:46</t>
  </si>
  <si>
    <t>MOV-00321</t>
  </si>
  <si>
    <t>05:21:59</t>
  </si>
  <si>
    <t>MOV-00322</t>
  </si>
  <si>
    <t>13:46:01</t>
  </si>
  <si>
    <t>MOV-00323</t>
  </si>
  <si>
    <t>23:30:00</t>
  </si>
  <si>
    <t>MOV-00324</t>
  </si>
  <si>
    <t>22:02:36</t>
  </si>
  <si>
    <t>MOV-00325</t>
  </si>
  <si>
    <t>15:51:18</t>
  </si>
  <si>
    <t>MOV-00326</t>
  </si>
  <si>
    <t>18:17:31</t>
  </si>
  <si>
    <t>MOV-00327</t>
  </si>
  <si>
    <t>23:24:42</t>
  </si>
  <si>
    <t>MOV-00328</t>
  </si>
  <si>
    <t>04:41:09</t>
  </si>
  <si>
    <t>MOV-00329</t>
  </si>
  <si>
    <t>06:25:46</t>
  </si>
  <si>
    <t>MOV-00330</t>
  </si>
  <si>
    <t>07:29:08</t>
  </si>
  <si>
    <t>MOV-00331</t>
  </si>
  <si>
    <t>01:13:47</t>
  </si>
  <si>
    <t>MOV-00332</t>
  </si>
  <si>
    <t>17:40:59</t>
  </si>
  <si>
    <t>MOV-00333</t>
  </si>
  <si>
    <t>12:18:23</t>
  </si>
  <si>
    <t>MOV-00334</t>
  </si>
  <si>
    <t>14:12:41</t>
  </si>
  <si>
    <t>MOV-00335</t>
  </si>
  <si>
    <t>11:01:15</t>
  </si>
  <si>
    <t>MOV-00336</t>
  </si>
  <si>
    <t>16:25:40</t>
  </si>
  <si>
    <t>MOV-00337</t>
  </si>
  <si>
    <t>16:21:11</t>
  </si>
  <si>
    <t>MOV-00338</t>
  </si>
  <si>
    <t>07:38:38</t>
  </si>
  <si>
    <t>MOV-00339</t>
  </si>
  <si>
    <t>16:31:13</t>
  </si>
  <si>
    <t>MOV-00340</t>
  </si>
  <si>
    <t>05:10:46</t>
  </si>
  <si>
    <t>MOV-00341</t>
  </si>
  <si>
    <t>00:47:28</t>
  </si>
  <si>
    <t>MOV-00342</t>
  </si>
  <si>
    <t>01:50:52</t>
  </si>
  <si>
    <t>MOV-00343</t>
  </si>
  <si>
    <t>13:27:36</t>
  </si>
  <si>
    <t>MOV-00344</t>
  </si>
  <si>
    <t>02:35:12</t>
  </si>
  <si>
    <t>MOV-00345</t>
  </si>
  <si>
    <t>16:20:39</t>
  </si>
  <si>
    <t>MOV-00346</t>
  </si>
  <si>
    <t>07:22:16</t>
  </si>
  <si>
    <t>MOV-00347</t>
  </si>
  <si>
    <t>13:39:18</t>
  </si>
  <si>
    <t>MOV-00348</t>
  </si>
  <si>
    <t>13:05:11</t>
  </si>
  <si>
    <t>MOV-00349</t>
  </si>
  <si>
    <t>07:13:13</t>
  </si>
  <si>
    <t>MOV-00350</t>
  </si>
  <si>
    <t>18:21:50</t>
  </si>
  <si>
    <t>MOV-00351</t>
  </si>
  <si>
    <t>02:38:18</t>
  </si>
  <si>
    <t>MOV-00352</t>
  </si>
  <si>
    <t>15:04:30</t>
  </si>
  <si>
    <t>MOV-00353</t>
  </si>
  <si>
    <t>07:13:52</t>
  </si>
  <si>
    <t>MOV-00354</t>
  </si>
  <si>
    <t>15:31:23</t>
  </si>
  <si>
    <t>MOV-00355</t>
  </si>
  <si>
    <t>01:24:37</t>
  </si>
  <si>
    <t>MOV-00356</t>
  </si>
  <si>
    <t>04:55:42</t>
  </si>
  <si>
    <t>MOV-00357</t>
  </si>
  <si>
    <t>10:38:27</t>
  </si>
  <si>
    <t>MOV-00358</t>
  </si>
  <si>
    <t>01:53:13</t>
  </si>
  <si>
    <t>MOV-00359</t>
  </si>
  <si>
    <t>03:16:02</t>
  </si>
  <si>
    <t>MOV-00360</t>
  </si>
  <si>
    <t>19:35:14</t>
  </si>
  <si>
    <t>MOV-00361</t>
  </si>
  <si>
    <t>06:43:48</t>
  </si>
  <si>
    <t>MOV-00362</t>
  </si>
  <si>
    <t>21:45:24</t>
  </si>
  <si>
    <t>MOV-00363</t>
  </si>
  <si>
    <t>09:38:33</t>
  </si>
  <si>
    <t>MOV-00364</t>
  </si>
  <si>
    <t>09:02:10</t>
  </si>
  <si>
    <t>MOV-00365</t>
  </si>
  <si>
    <t>01:00:33</t>
  </si>
  <si>
    <t>MOV-00366</t>
  </si>
  <si>
    <t>06:46:07</t>
  </si>
  <si>
    <t>MOV-00367</t>
  </si>
  <si>
    <t>07:46:06</t>
  </si>
  <si>
    <t>MOV-00368</t>
  </si>
  <si>
    <t>16:09:14</t>
  </si>
  <si>
    <t>MOV-00369</t>
  </si>
  <si>
    <t>13:22:29</t>
  </si>
  <si>
    <t>MOV-00370</t>
  </si>
  <si>
    <t>15:52:40</t>
  </si>
  <si>
    <t>MOV-00371</t>
  </si>
  <si>
    <t>07:16:21</t>
  </si>
  <si>
    <t>MOV-00372</t>
  </si>
  <si>
    <t>17:08:34</t>
  </si>
  <si>
    <t>MOV-00373</t>
  </si>
  <si>
    <t>11:38:12</t>
  </si>
  <si>
    <t>MOV-00374</t>
  </si>
  <si>
    <t>12:05:17</t>
  </si>
  <si>
    <t>MOV-00375</t>
  </si>
  <si>
    <t>11:14:14</t>
  </si>
  <si>
    <t>MOV-00376</t>
  </si>
  <si>
    <t>09:19:38</t>
  </si>
  <si>
    <t>MOV-00377</t>
  </si>
  <si>
    <t>19:16:13</t>
  </si>
  <si>
    <t>MOV-00378</t>
  </si>
  <si>
    <t>17:02:59</t>
  </si>
  <si>
    <t>MOV-00379</t>
  </si>
  <si>
    <t>00:29:01</t>
  </si>
  <si>
    <t>MOV-00380</t>
  </si>
  <si>
    <t>06:54:54</t>
  </si>
  <si>
    <t>MOV-00381</t>
  </si>
  <si>
    <t>13:36:10</t>
  </si>
  <si>
    <t>MOV-00382</t>
  </si>
  <si>
    <t>23:17:37</t>
  </si>
  <si>
    <t>MOV-00383</t>
  </si>
  <si>
    <t>2024-04-10</t>
  </si>
  <si>
    <t>09:35:45</t>
  </si>
  <si>
    <t>MOV-00384</t>
  </si>
  <si>
    <t>02:39:15</t>
  </si>
  <si>
    <t>MOV-00385</t>
  </si>
  <si>
    <t>06:23:50</t>
  </si>
  <si>
    <t>MOV-00386</t>
  </si>
  <si>
    <t>04:12:12</t>
  </si>
  <si>
    <t>MOV-00387</t>
  </si>
  <si>
    <t>08:31:39</t>
  </si>
  <si>
    <t>MOV-00388</t>
  </si>
  <si>
    <t>21:38:36</t>
  </si>
  <si>
    <t>MOV-00389</t>
  </si>
  <si>
    <t>21:25:07</t>
  </si>
  <si>
    <t>MOV-00390</t>
  </si>
  <si>
    <t>11:39:30</t>
  </si>
  <si>
    <t>MOV-00391</t>
  </si>
  <si>
    <t>14:43:31</t>
  </si>
  <si>
    <t>MOV-00392</t>
  </si>
  <si>
    <t>12:30:55</t>
  </si>
  <si>
    <t>MOV-00393</t>
  </si>
  <si>
    <t>08:47:21</t>
  </si>
  <si>
    <t>MOV-00394</t>
  </si>
  <si>
    <t>00:49:23</t>
  </si>
  <si>
    <t>MOV-00395</t>
  </si>
  <si>
    <t>14:51:52</t>
  </si>
  <si>
    <t>MOV-00396</t>
  </si>
  <si>
    <t>09:47:33</t>
  </si>
  <si>
    <t>MOV-00397</t>
  </si>
  <si>
    <t>00:20:06</t>
  </si>
  <si>
    <t>MOV-00398</t>
  </si>
  <si>
    <t>12:55:27</t>
  </si>
  <si>
    <t>MOV-00399</t>
  </si>
  <si>
    <t>02:01:11</t>
  </si>
  <si>
    <t>MOV-00400</t>
  </si>
  <si>
    <t>07:55:53</t>
  </si>
  <si>
    <t>MOV-00401</t>
  </si>
  <si>
    <t>14:01:46</t>
  </si>
  <si>
    <t>MOV-00402</t>
  </si>
  <si>
    <t>C-20</t>
  </si>
  <si>
    <t>15:29:16</t>
  </si>
  <si>
    <t>MOV-00403</t>
  </si>
  <si>
    <t>01:40:51</t>
  </si>
  <si>
    <t>MOV-00404</t>
  </si>
  <si>
    <t>16:53:49</t>
  </si>
  <si>
    <t>MOV-00405</t>
  </si>
  <si>
    <t>16:15:50</t>
  </si>
  <si>
    <t>MOV-00406</t>
  </si>
  <si>
    <t>00:12:11</t>
  </si>
  <si>
    <t>MOV-00407</t>
  </si>
  <si>
    <t>04:38:38</t>
  </si>
  <si>
    <t>MOV-00408</t>
  </si>
  <si>
    <t>11:17:51</t>
  </si>
  <si>
    <t>MOV-00409</t>
  </si>
  <si>
    <t>17:08:44</t>
  </si>
  <si>
    <t>MOV-00410</t>
  </si>
  <si>
    <t>14:48:52</t>
  </si>
  <si>
    <t>MOV-00411</t>
  </si>
  <si>
    <t>16:55:08</t>
  </si>
  <si>
    <t>MOV-00412</t>
  </si>
  <si>
    <t>18:27:46</t>
  </si>
  <si>
    <t>MOV-00413</t>
  </si>
  <si>
    <t>23:01:32</t>
  </si>
  <si>
    <t>MOV-00414</t>
  </si>
  <si>
    <t>06:23:55</t>
  </si>
  <si>
    <t>MOV-00415</t>
  </si>
  <si>
    <t>11:18:56</t>
  </si>
  <si>
    <t>MOV-00416</t>
  </si>
  <si>
    <t>11:38:18</t>
  </si>
  <si>
    <t>MOV-00417</t>
  </si>
  <si>
    <t>10:57:01</t>
  </si>
  <si>
    <t>MOV-00418</t>
  </si>
  <si>
    <t>09:52:23</t>
  </si>
  <si>
    <t>MOV-00419</t>
  </si>
  <si>
    <t>11:59:27</t>
  </si>
  <si>
    <t>MOV-00420</t>
  </si>
  <si>
    <t>23:37:05</t>
  </si>
  <si>
    <t>MOV-00421</t>
  </si>
  <si>
    <t>18:14:14</t>
  </si>
  <si>
    <t>MOV-00422</t>
  </si>
  <si>
    <t>19:05:05</t>
  </si>
  <si>
    <t>MOV-00423</t>
  </si>
  <si>
    <t>05:58:00</t>
  </si>
  <si>
    <t>MOV-00424</t>
  </si>
  <si>
    <t>07:47:56</t>
  </si>
  <si>
    <t>MOV-00425</t>
  </si>
  <si>
    <t>23:52:26</t>
  </si>
  <si>
    <t>MOV-00426</t>
  </si>
  <si>
    <t>17:30:28</t>
  </si>
  <si>
    <t>MOV-00427</t>
  </si>
  <si>
    <t>10:51:27</t>
  </si>
  <si>
    <t>MOV-00428</t>
  </si>
  <si>
    <t>16:04:57</t>
  </si>
  <si>
    <t>MOV-00429</t>
  </si>
  <si>
    <t>08:03:24</t>
  </si>
  <si>
    <t>MOV-00430</t>
  </si>
  <si>
    <t>10:43:49</t>
  </si>
  <si>
    <t>MOV-00431</t>
  </si>
  <si>
    <t>13:16:40</t>
  </si>
  <si>
    <t>MOV-00432</t>
  </si>
  <si>
    <t>01:18:09</t>
  </si>
  <si>
    <t>MOV-00433</t>
  </si>
  <si>
    <t>21:42:01</t>
  </si>
  <si>
    <t>MOV-00434</t>
  </si>
  <si>
    <t>22:36:32</t>
  </si>
  <si>
    <t>MOV-00435</t>
  </si>
  <si>
    <t>23:51:32</t>
  </si>
  <si>
    <t>MOV-00436</t>
  </si>
  <si>
    <t>00:45:11</t>
  </si>
  <si>
    <t>MOV-00437</t>
  </si>
  <si>
    <t>02:00:38</t>
  </si>
  <si>
    <t>MOV-00438</t>
  </si>
  <si>
    <t>19:08:28</t>
  </si>
  <si>
    <t>MOV-00439</t>
  </si>
  <si>
    <t>00:26:48</t>
  </si>
  <si>
    <t>MOV-00440</t>
  </si>
  <si>
    <t>11:57:47</t>
  </si>
  <si>
    <t>MOV-00441</t>
  </si>
  <si>
    <t>06:51:11</t>
  </si>
  <si>
    <t>MOV-00442</t>
  </si>
  <si>
    <t>14:37:18</t>
  </si>
  <si>
    <t>MOV-00443</t>
  </si>
  <si>
    <t>23:07:36</t>
  </si>
  <si>
    <t>MOV-00444</t>
  </si>
  <si>
    <t>11:46:15</t>
  </si>
  <si>
    <t>MOV-00445</t>
  </si>
  <si>
    <t>08:14:28</t>
  </si>
  <si>
    <t>MOV-00446</t>
  </si>
  <si>
    <t>20:52:36</t>
  </si>
  <si>
    <t>MOV-00447</t>
  </si>
  <si>
    <t>22:49:36</t>
  </si>
  <si>
    <t>MOV-00448</t>
  </si>
  <si>
    <t>12:18:41</t>
  </si>
  <si>
    <t>MOV-00449</t>
  </si>
  <si>
    <t>11:29:01</t>
  </si>
  <si>
    <t>MOV-00450</t>
  </si>
  <si>
    <t>05:26:01</t>
  </si>
  <si>
    <t>MOV-00451</t>
  </si>
  <si>
    <t>00:52:35</t>
  </si>
  <si>
    <t>MOV-00452</t>
  </si>
  <si>
    <t>04:44:24</t>
  </si>
  <si>
    <t>MOV-00453</t>
  </si>
  <si>
    <t>21:07:37</t>
  </si>
  <si>
    <t>MOV-00454</t>
  </si>
  <si>
    <t>08:56:51</t>
  </si>
  <si>
    <t>MOV-00455</t>
  </si>
  <si>
    <t>19:59:39</t>
  </si>
  <si>
    <t>MOV-00456</t>
  </si>
  <si>
    <t>12:57:16</t>
  </si>
  <si>
    <t>MOV-00457</t>
  </si>
  <si>
    <t>17:13:02</t>
  </si>
  <si>
    <t>MOV-00458</t>
  </si>
  <si>
    <t>08:49:35</t>
  </si>
  <si>
    <t>MOV-00459</t>
  </si>
  <si>
    <t>04:08:37</t>
  </si>
  <si>
    <t>MOV-00460</t>
  </si>
  <si>
    <t>22:42:31</t>
  </si>
  <si>
    <t>MOV-00461</t>
  </si>
  <si>
    <t>11:02:54</t>
  </si>
  <si>
    <t>MOV-00462</t>
  </si>
  <si>
    <t>06:36:06</t>
  </si>
  <si>
    <t>MOV-00463</t>
  </si>
  <si>
    <t>15:49:47</t>
  </si>
  <si>
    <t>MOV-00464</t>
  </si>
  <si>
    <t>20:37:15</t>
  </si>
  <si>
    <t>MOV-00465</t>
  </si>
  <si>
    <t>01:41:05</t>
  </si>
  <si>
    <t>MOV-00466</t>
  </si>
  <si>
    <t>19:45:44</t>
  </si>
  <si>
    <t>MOV-00467</t>
  </si>
  <si>
    <t>21:03:26</t>
  </si>
  <si>
    <t>MOV-00468</t>
  </si>
  <si>
    <t>05:10:18</t>
  </si>
  <si>
    <t>MOV-00469</t>
  </si>
  <si>
    <t>06:27:25</t>
  </si>
  <si>
    <t>MOV-00470</t>
  </si>
  <si>
    <t>05:47:51</t>
  </si>
  <si>
    <t>MOV-00471</t>
  </si>
  <si>
    <t>11:44:45</t>
  </si>
  <si>
    <t>MOV-00472</t>
  </si>
  <si>
    <t>09:44:19</t>
  </si>
  <si>
    <t>MOV-00473</t>
  </si>
  <si>
    <t>19:06:58</t>
  </si>
  <si>
    <t>MOV-00474</t>
  </si>
  <si>
    <t>04:13:06</t>
  </si>
  <si>
    <t>MOV-00475</t>
  </si>
  <si>
    <t>02:40:15</t>
  </si>
  <si>
    <t>MOV-00476</t>
  </si>
  <si>
    <t>19:58:46</t>
  </si>
  <si>
    <t>MOV-00477</t>
  </si>
  <si>
    <t>22:03:01</t>
  </si>
  <si>
    <t>MOV-00478</t>
  </si>
  <si>
    <t>21:34:37</t>
  </si>
  <si>
    <t>MOV-00479</t>
  </si>
  <si>
    <t>06:58:24</t>
  </si>
  <si>
    <t>MOV-00480</t>
  </si>
  <si>
    <t>16:39:38</t>
  </si>
  <si>
    <t>MOV-00481</t>
  </si>
  <si>
    <t>15:54:41</t>
  </si>
  <si>
    <t>MOV-00482</t>
  </si>
  <si>
    <t>16:26:45</t>
  </si>
  <si>
    <t>MOV-00483</t>
  </si>
  <si>
    <t>11:37:21</t>
  </si>
  <si>
    <t>MOV-00484</t>
  </si>
  <si>
    <t>03:01:38</t>
  </si>
  <si>
    <t>MOV-00485</t>
  </si>
  <si>
    <t>15:56:58</t>
  </si>
  <si>
    <t>MOV-00486</t>
  </si>
  <si>
    <t>02:56:50</t>
  </si>
  <si>
    <t>MOV-00487</t>
  </si>
  <si>
    <t>15:57:52</t>
  </si>
  <si>
    <t>MOV-00488</t>
  </si>
  <si>
    <t>08:43:53</t>
  </si>
  <si>
    <t>MOV-00489</t>
  </si>
  <si>
    <t>02:45:16</t>
  </si>
  <si>
    <t>MOV-00490</t>
  </si>
  <si>
    <t>18:38:36</t>
  </si>
  <si>
    <t>MOV-00491</t>
  </si>
  <si>
    <t>11:04:55</t>
  </si>
  <si>
    <t>MOV-00492</t>
  </si>
  <si>
    <t>09:08:03</t>
  </si>
  <si>
    <t>MOV-00493</t>
  </si>
  <si>
    <t>14:31:27</t>
  </si>
  <si>
    <t>MOV-00494</t>
  </si>
  <si>
    <t>05:02:17</t>
  </si>
  <si>
    <t>MOV-00495</t>
  </si>
  <si>
    <t>00:31:37</t>
  </si>
  <si>
    <t>MOV-00496</t>
  </si>
  <si>
    <t>04:02:23</t>
  </si>
  <si>
    <t>MOV-00497</t>
  </si>
  <si>
    <t>01:47:29</t>
  </si>
  <si>
    <t>MOV-00498</t>
  </si>
  <si>
    <t>01:28:48</t>
  </si>
  <si>
    <t>MOV-00499</t>
  </si>
  <si>
    <t>08:01:49</t>
  </si>
  <si>
    <t>MOV-00500</t>
  </si>
  <si>
    <t>02:33:26</t>
  </si>
  <si>
    <t>MOV-00501</t>
  </si>
  <si>
    <t>03:32:29</t>
  </si>
  <si>
    <t>MOV-00502</t>
  </si>
  <si>
    <t>21:27:49</t>
  </si>
  <si>
    <t>MOV-00503</t>
  </si>
  <si>
    <t>05:18:29</t>
  </si>
  <si>
    <t>MOV-00504</t>
  </si>
  <si>
    <t>22:24:52</t>
  </si>
  <si>
    <t>MOV-00505</t>
  </si>
  <si>
    <t>04:22:56</t>
  </si>
  <si>
    <t>MOV-00506</t>
  </si>
  <si>
    <t>00:40:08</t>
  </si>
  <si>
    <t>MOV-00507</t>
  </si>
  <si>
    <t>13:50:59</t>
  </si>
  <si>
    <t>MOV-00508</t>
  </si>
  <si>
    <t>22:39:19</t>
  </si>
  <si>
    <t>MOV-00509</t>
  </si>
  <si>
    <t>01:34:06</t>
  </si>
  <si>
    <t>MOV-00510</t>
  </si>
  <si>
    <t>16:01:21</t>
  </si>
  <si>
    <t>MOV-00511</t>
  </si>
  <si>
    <t>15:31:30</t>
  </si>
  <si>
    <t>MOV-00512</t>
  </si>
  <si>
    <t>MOV-00513</t>
  </si>
  <si>
    <t>20:51:24</t>
  </si>
  <si>
    <t>MOV-00514</t>
  </si>
  <si>
    <t>01:36:53</t>
  </si>
  <si>
    <t>MOV-00515</t>
  </si>
  <si>
    <t>01:13:08</t>
  </si>
  <si>
    <t>MOV-00516</t>
  </si>
  <si>
    <t>13:05:50</t>
  </si>
  <si>
    <t>MOV-00517</t>
  </si>
  <si>
    <t>03:31:45</t>
  </si>
  <si>
    <t>MOV-00518</t>
  </si>
  <si>
    <t>15:24:06</t>
  </si>
  <si>
    <t>MOV-00519</t>
  </si>
  <si>
    <t>16:05:07</t>
  </si>
  <si>
    <t>MOV-00520</t>
  </si>
  <si>
    <t>16:45:08</t>
  </si>
  <si>
    <t>MOV-00521</t>
  </si>
  <si>
    <t>13:49:47</t>
  </si>
  <si>
    <t>MOV-00522</t>
  </si>
  <si>
    <t>12:56:36</t>
  </si>
  <si>
    <t>MOV-00523</t>
  </si>
  <si>
    <t>00:42:51</t>
  </si>
  <si>
    <t>MOV-00524</t>
  </si>
  <si>
    <t>01:57:49</t>
  </si>
  <si>
    <t>MOV-00525</t>
  </si>
  <si>
    <t>20:30:05</t>
  </si>
  <si>
    <t>MOV-00526</t>
  </si>
  <si>
    <t>19:33:46</t>
  </si>
  <si>
    <t>MOV-00527</t>
  </si>
  <si>
    <t>23:17:07</t>
  </si>
  <si>
    <t>MOV-00528</t>
  </si>
  <si>
    <t>10:36:48</t>
  </si>
  <si>
    <t>MOV-00529</t>
  </si>
  <si>
    <t>09:49:44</t>
  </si>
  <si>
    <t>MOV-00530</t>
  </si>
  <si>
    <t>09:38:55</t>
  </si>
  <si>
    <t>MOV-00531</t>
  </si>
  <si>
    <t>19:04:48</t>
  </si>
  <si>
    <t>MOV-00532</t>
  </si>
  <si>
    <t>06:29:30</t>
  </si>
  <si>
    <t>MOV-00533</t>
  </si>
  <si>
    <t>01:30:40</t>
  </si>
  <si>
    <t>MOV-00534</t>
  </si>
  <si>
    <t>10:49:31</t>
  </si>
  <si>
    <t>MOV-00535</t>
  </si>
  <si>
    <t>07:09:45</t>
  </si>
  <si>
    <t>MOV-00536</t>
  </si>
  <si>
    <t>2025-08-17</t>
  </si>
  <si>
    <t>06:57:58</t>
  </si>
  <si>
    <t>MOV-00537</t>
  </si>
  <si>
    <t>00:47:31</t>
  </si>
  <si>
    <t>MOV-00538</t>
  </si>
  <si>
    <t>09:57:18</t>
  </si>
  <si>
    <t>MOV-00539</t>
  </si>
  <si>
    <t>00:47:20</t>
  </si>
  <si>
    <t>MOV-00540</t>
  </si>
  <si>
    <t>20:04:16</t>
  </si>
  <si>
    <t>MOV-00541</t>
  </si>
  <si>
    <t>00:00:29</t>
  </si>
  <si>
    <t>MOV-00542</t>
  </si>
  <si>
    <t>08:07:46</t>
  </si>
  <si>
    <t>MOV-00543</t>
  </si>
  <si>
    <t>MOV-00544</t>
  </si>
  <si>
    <t>13:19:21</t>
  </si>
  <si>
    <t>MOV-00545</t>
  </si>
  <si>
    <t>02:43:44</t>
  </si>
  <si>
    <t>MOV-00546</t>
  </si>
  <si>
    <t>13:12:37</t>
  </si>
  <si>
    <t>MOV-00547</t>
  </si>
  <si>
    <t>08:32:34</t>
  </si>
  <si>
    <t>MOV-00548</t>
  </si>
  <si>
    <t>22:33:13</t>
  </si>
  <si>
    <t>MOV-00549</t>
  </si>
  <si>
    <t>06:51:53</t>
  </si>
  <si>
    <t>MOV-00550</t>
  </si>
  <si>
    <t>13:08:16</t>
  </si>
  <si>
    <t>MOV-00551</t>
  </si>
  <si>
    <t>06:27:30</t>
  </si>
  <si>
    <t>MOV-00552</t>
  </si>
  <si>
    <t>03:49:55</t>
  </si>
  <si>
    <t>MOV-00553</t>
  </si>
  <si>
    <t>13:26:13</t>
  </si>
  <si>
    <t>MOV-00554</t>
  </si>
  <si>
    <t>01:41:31</t>
  </si>
  <si>
    <t>MOV-00555</t>
  </si>
  <si>
    <t>23:38:13</t>
  </si>
  <si>
    <t>MOV-00556</t>
  </si>
  <si>
    <t>2025-08-01</t>
  </si>
  <si>
    <t>17:11:15</t>
  </si>
  <si>
    <t>MOV-00557</t>
  </si>
  <si>
    <t>15:14:21</t>
  </si>
  <si>
    <t>MOV-00558</t>
  </si>
  <si>
    <t>22:03:53</t>
  </si>
  <si>
    <t>MOV-00559</t>
  </si>
  <si>
    <t>14:30:12</t>
  </si>
  <si>
    <t>MOV-00560</t>
  </si>
  <si>
    <t>02:18:51</t>
  </si>
  <si>
    <t>MOV-00561</t>
  </si>
  <si>
    <t>06:25:17</t>
  </si>
  <si>
    <t>MOV-00562</t>
  </si>
  <si>
    <t>04:10:58</t>
  </si>
  <si>
    <t>MOV-00563</t>
  </si>
  <si>
    <t>18:02:57</t>
  </si>
  <si>
    <t>MOV-00564</t>
  </si>
  <si>
    <t>21:19:29</t>
  </si>
  <si>
    <t>MOV-00565</t>
  </si>
  <si>
    <t>06:21:07</t>
  </si>
  <si>
    <t>MOV-00566</t>
  </si>
  <si>
    <t>01:50:59</t>
  </si>
  <si>
    <t>MOV-00567</t>
  </si>
  <si>
    <t>10:22:30</t>
  </si>
  <si>
    <t>MOV-00568</t>
  </si>
  <si>
    <t>2025-02-10</t>
  </si>
  <si>
    <t>15:02:34</t>
  </si>
  <si>
    <t>MOV-00569</t>
  </si>
  <si>
    <t>19:09:10</t>
  </si>
  <si>
    <t>MOV-00570</t>
  </si>
  <si>
    <t>17:29:34</t>
  </si>
  <si>
    <t>MOV-00571</t>
  </si>
  <si>
    <t>17:14:27</t>
  </si>
  <si>
    <t>MOV-00572</t>
  </si>
  <si>
    <t>05:24:24</t>
  </si>
  <si>
    <t>MOV-00573</t>
  </si>
  <si>
    <t>21:17:29</t>
  </si>
  <si>
    <t>MOV-00574</t>
  </si>
  <si>
    <t>12:55:32</t>
  </si>
  <si>
    <t>MOV-00575</t>
  </si>
  <si>
    <t>21:59:50</t>
  </si>
  <si>
    <t>MOV-00576</t>
  </si>
  <si>
    <t>03:34:15</t>
  </si>
  <si>
    <t>MOV-00577</t>
  </si>
  <si>
    <t>20:39:35</t>
  </si>
  <si>
    <t>MOV-00578</t>
  </si>
  <si>
    <t>06:15:52</t>
  </si>
  <si>
    <t>MOV-00579</t>
  </si>
  <si>
    <t>03:11:39</t>
  </si>
  <si>
    <t>MOV-00580</t>
  </si>
  <si>
    <t>23:05:29</t>
  </si>
  <si>
    <t>MOV-00581</t>
  </si>
  <si>
    <t>03:29:40</t>
  </si>
  <si>
    <t>MOV-00582</t>
  </si>
  <si>
    <t>23:12:18</t>
  </si>
  <si>
    <t>MOV-00583</t>
  </si>
  <si>
    <t>04:43:47</t>
  </si>
  <si>
    <t>MOV-00584</t>
  </si>
  <si>
    <t>05:33:57</t>
  </si>
  <si>
    <t>MOV-00585</t>
  </si>
  <si>
    <t>13:47:08</t>
  </si>
  <si>
    <t>MOV-00586</t>
  </si>
  <si>
    <t>10:13:41</t>
  </si>
  <si>
    <t>MOV-00587</t>
  </si>
  <si>
    <t>09:26:59</t>
  </si>
  <si>
    <t>MOV-00588</t>
  </si>
  <si>
    <t>21:18:53</t>
  </si>
  <si>
    <t>MOV-00589</t>
  </si>
  <si>
    <t>03:54:44</t>
  </si>
  <si>
    <t>MOV-00590</t>
  </si>
  <si>
    <t>01:23:01</t>
  </si>
  <si>
    <t>MOV-00591</t>
  </si>
  <si>
    <t>18:27:58</t>
  </si>
  <si>
    <t>MOV-00592</t>
  </si>
  <si>
    <t>13:31:50</t>
  </si>
  <si>
    <t>MOV-00593</t>
  </si>
  <si>
    <t>09:21:04</t>
  </si>
  <si>
    <t>MOV-00594</t>
  </si>
  <si>
    <t>10:55:12</t>
  </si>
  <si>
    <t>MOV-00595</t>
  </si>
  <si>
    <t>05:29:10</t>
  </si>
  <si>
    <t>MOV-00596</t>
  </si>
  <si>
    <t>19:51:33</t>
  </si>
  <si>
    <t>MOV-00597</t>
  </si>
  <si>
    <t>21:29:25</t>
  </si>
  <si>
    <t>MOV-00598</t>
  </si>
  <si>
    <t>04:05:23</t>
  </si>
  <si>
    <t>MOV-00599</t>
  </si>
  <si>
    <t>22:07:47</t>
  </si>
  <si>
    <t>MOV-00600</t>
  </si>
  <si>
    <t>02:40:35</t>
  </si>
  <si>
    <t>ID_Devolución</t>
  </si>
  <si>
    <t>ID_Venta</t>
  </si>
  <si>
    <t>Fecha_Devolución</t>
  </si>
  <si>
    <t>Motivo</t>
  </si>
  <si>
    <t>Estado_Producto</t>
  </si>
  <si>
    <t>DEV-001</t>
  </si>
  <si>
    <t>DEV-002</t>
  </si>
  <si>
    <t>DEV-003</t>
  </si>
  <si>
    <t>DEV-004</t>
  </si>
  <si>
    <t>DEV-005</t>
  </si>
  <si>
    <t>DEV-006</t>
  </si>
  <si>
    <t>DEV-007</t>
  </si>
  <si>
    <t>DEV-008</t>
  </si>
  <si>
    <t>DEV-009</t>
  </si>
  <si>
    <t>DEV-010</t>
  </si>
  <si>
    <t>DEV-011</t>
  </si>
  <si>
    <t>DEV-012</t>
  </si>
  <si>
    <t>DEV-013</t>
  </si>
  <si>
    <t>DEV-014</t>
  </si>
  <si>
    <t>DEV-015</t>
  </si>
  <si>
    <t>DEV-016</t>
  </si>
  <si>
    <t>DEV-017</t>
  </si>
  <si>
    <t>DEV-018</t>
  </si>
  <si>
    <t>DEV-019</t>
  </si>
  <si>
    <t>DEV-020</t>
  </si>
  <si>
    <t>DEV-021</t>
  </si>
  <si>
    <t>DEV-022</t>
  </si>
  <si>
    <t>DEV-023</t>
  </si>
  <si>
    <t>DEV-024</t>
  </si>
  <si>
    <t>DEV-025</t>
  </si>
  <si>
    <t>DEV-026</t>
  </si>
  <si>
    <t>DEV-027</t>
  </si>
  <si>
    <t>DEV-028</t>
  </si>
  <si>
    <t>DEV-029</t>
  </si>
  <si>
    <t>DEV-030</t>
  </si>
  <si>
    <t>DEV-031</t>
  </si>
  <si>
    <t>DEV-032</t>
  </si>
  <si>
    <t>DEV-033</t>
  </si>
  <si>
    <t>DEV-034</t>
  </si>
  <si>
    <t>DEV-035</t>
  </si>
  <si>
    <t>DEV-036</t>
  </si>
  <si>
    <t>DEV-037</t>
  </si>
  <si>
    <t>DEV-038</t>
  </si>
  <si>
    <t>DEV-039</t>
  </si>
  <si>
    <t>DEV-040</t>
  </si>
  <si>
    <t>DEV-041</t>
  </si>
  <si>
    <t>DEV-042</t>
  </si>
  <si>
    <t>DEV-043</t>
  </si>
  <si>
    <t>DEV-044</t>
  </si>
  <si>
    <t>DEV-045</t>
  </si>
  <si>
    <t>DEV-046</t>
  </si>
  <si>
    <t>DEV-047</t>
  </si>
  <si>
    <t>DEV-048</t>
  </si>
  <si>
    <t>DEV-049</t>
  </si>
  <si>
    <t>DEV-050</t>
  </si>
  <si>
    <t>DEV-051</t>
  </si>
  <si>
    <t>DEV-052</t>
  </si>
  <si>
    <t>DEV-053</t>
  </si>
  <si>
    <t>DEV-054</t>
  </si>
  <si>
    <t>DEV-055</t>
  </si>
  <si>
    <t>DEV-056</t>
  </si>
  <si>
    <t>DEV-057</t>
  </si>
  <si>
    <t>DEV-058</t>
  </si>
  <si>
    <t>DEV-059</t>
  </si>
  <si>
    <t>DEV-060</t>
  </si>
  <si>
    <t>DEV-061</t>
  </si>
  <si>
    <t>DEV-062</t>
  </si>
  <si>
    <t>DEV-063</t>
  </si>
  <si>
    <t>DEV-064</t>
  </si>
  <si>
    <t>DEV-065</t>
  </si>
  <si>
    <t>DEV-066</t>
  </si>
  <si>
    <t>DEV-067</t>
  </si>
  <si>
    <t>DEV-068</t>
  </si>
  <si>
    <t>DEV-069</t>
  </si>
  <si>
    <t>DEV-070</t>
  </si>
  <si>
    <t>DEV-071</t>
  </si>
  <si>
    <t>DEV-072</t>
  </si>
  <si>
    <t>DEV-073</t>
  </si>
  <si>
    <t>DEV-074</t>
  </si>
  <si>
    <t>DEV-075</t>
  </si>
  <si>
    <t>DEV-076</t>
  </si>
  <si>
    <t>DEV-077</t>
  </si>
  <si>
    <t>DEV-078</t>
  </si>
  <si>
    <t>DEV-079</t>
  </si>
  <si>
    <t>DEV-080</t>
  </si>
  <si>
    <t>DEV-081</t>
  </si>
  <si>
    <t>DEV-082</t>
  </si>
  <si>
    <t>DEV-083</t>
  </si>
  <si>
    <t>DEV-084</t>
  </si>
  <si>
    <t>DEV-085</t>
  </si>
  <si>
    <t>DEV-086</t>
  </si>
  <si>
    <t>DEV-087</t>
  </si>
  <si>
    <t>DEV-088</t>
  </si>
  <si>
    <t>DEV-089</t>
  </si>
  <si>
    <t>DEV-090</t>
  </si>
  <si>
    <t>DEV-091</t>
  </si>
  <si>
    <t>DEV-092</t>
  </si>
  <si>
    <t>ID_Incidente</t>
  </si>
  <si>
    <t>Tipo_Incidente</t>
  </si>
  <si>
    <t>Costo_Incidente_USD</t>
  </si>
  <si>
    <t>Horas_Retraso</t>
  </si>
  <si>
    <t>INC-001</t>
  </si>
  <si>
    <t>INC-013</t>
  </si>
  <si>
    <t>INC-002</t>
  </si>
  <si>
    <t>INC-003</t>
  </si>
  <si>
    <t>INC-004</t>
  </si>
  <si>
    <t>INC-005</t>
  </si>
  <si>
    <t>INC-006</t>
  </si>
  <si>
    <t>INC-007</t>
  </si>
  <si>
    <t>INC-008</t>
  </si>
  <si>
    <t>INC-009</t>
  </si>
  <si>
    <t>INC-010</t>
  </si>
  <si>
    <t>INC-011</t>
  </si>
  <si>
    <t>INC-012</t>
  </si>
  <si>
    <t>INC-014</t>
  </si>
  <si>
    <t>INC-015</t>
  </si>
  <si>
    <t>INC-016</t>
  </si>
  <si>
    <t>INC-017</t>
  </si>
  <si>
    <t>INC-018</t>
  </si>
  <si>
    <t>INC-019</t>
  </si>
  <si>
    <t>INC-020</t>
  </si>
  <si>
    <t>INC-021</t>
  </si>
  <si>
    <t>INC-022</t>
  </si>
  <si>
    <t>INC-023</t>
  </si>
  <si>
    <t>INC-024</t>
  </si>
  <si>
    <t>INC-025</t>
  </si>
  <si>
    <t>INC-026</t>
  </si>
  <si>
    <t>INC-027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</si>
</sst>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3200CFD-A82D-4A1F-BB70-3858556325D9}">
  <we:reference id="wa200010215" version="2.0.0.0" store="es-ES" storeType="OMEX"/>
  <we:alternateReferences>
    <we:reference id="WA200010215" version="2.0.0.0" store="WA200010215" storeType="OMEX"/>
  </we:alternateReferences>
  <we:properties>
    <we:property name="bps.codex_control.document_id" value="&quot;2af565a3-0f6a-4854-a3d0-f57613e7bbe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1"/>
  <sheetViews>
    <sheetView workbookViewId="0"/>
  </sheetViews>
  <sheetFormatPr baseColWidth="10" defaultColWidth="9.140625" defaultRowHeight="15" x14ac:dyDescent="0.25"/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>
        <v>160.19999999999999</v>
      </c>
      <c r="I2">
        <v>221.3</v>
      </c>
      <c r="J2">
        <v>38.1</v>
      </c>
      <c r="K2">
        <v>0.45</v>
      </c>
      <c r="L2">
        <v>0.156</v>
      </c>
      <c r="M2" t="s">
        <v>31</v>
      </c>
      <c r="N2" t="s">
        <v>32</v>
      </c>
      <c r="O2">
        <v>18</v>
      </c>
      <c r="P2">
        <v>198</v>
      </c>
      <c r="Q2">
        <v>90</v>
      </c>
      <c r="R2" t="s">
        <v>33</v>
      </c>
      <c r="S2" t="s">
        <v>34</v>
      </c>
      <c r="T2">
        <v>12</v>
      </c>
      <c r="U2">
        <v>2025</v>
      </c>
      <c r="V2" t="s">
        <v>35</v>
      </c>
      <c r="W2" t="s">
        <v>36</v>
      </c>
      <c r="X2" t="s">
        <v>37</v>
      </c>
    </row>
    <row r="3" spans="1:24" x14ac:dyDescent="0.25">
      <c r="A3" t="s">
        <v>38</v>
      </c>
      <c r="B3" t="s">
        <v>39</v>
      </c>
      <c r="C3" t="s">
        <v>40</v>
      </c>
      <c r="D3" t="s">
        <v>27</v>
      </c>
      <c r="E3" t="s">
        <v>41</v>
      </c>
      <c r="F3" t="s">
        <v>42</v>
      </c>
      <c r="G3" t="s">
        <v>43</v>
      </c>
      <c r="H3">
        <v>391.46</v>
      </c>
      <c r="I3">
        <v>551</v>
      </c>
      <c r="J3">
        <v>40.799999999999997</v>
      </c>
      <c r="K3">
        <v>1.54</v>
      </c>
      <c r="L3">
        <v>0.54100000000000004</v>
      </c>
      <c r="M3" t="s">
        <v>44</v>
      </c>
      <c r="N3" t="s">
        <v>45</v>
      </c>
      <c r="O3">
        <v>11</v>
      </c>
      <c r="P3">
        <v>154</v>
      </c>
      <c r="Q3">
        <v>33</v>
      </c>
      <c r="R3" t="s">
        <v>46</v>
      </c>
      <c r="S3" t="s">
        <v>47</v>
      </c>
      <c r="T3">
        <v>36</v>
      </c>
      <c r="U3">
        <v>2025</v>
      </c>
      <c r="V3" t="s">
        <v>48</v>
      </c>
      <c r="W3" t="s">
        <v>49</v>
      </c>
      <c r="X3" t="s">
        <v>50</v>
      </c>
    </row>
    <row r="4" spans="1:24" x14ac:dyDescent="0.25">
      <c r="A4" t="s">
        <v>51</v>
      </c>
      <c r="B4" t="s">
        <v>52</v>
      </c>
      <c r="C4" t="s">
        <v>53</v>
      </c>
      <c r="D4" t="s">
        <v>27</v>
      </c>
      <c r="E4" t="s">
        <v>54</v>
      </c>
      <c r="F4" t="s">
        <v>55</v>
      </c>
      <c r="G4" t="s">
        <v>43</v>
      </c>
      <c r="H4">
        <v>487.9</v>
      </c>
      <c r="I4">
        <v>825.57</v>
      </c>
      <c r="J4">
        <v>69.2</v>
      </c>
      <c r="K4">
        <v>1.98</v>
      </c>
      <c r="L4">
        <v>0.63900000000000001</v>
      </c>
      <c r="M4" t="s">
        <v>56</v>
      </c>
      <c r="N4" t="s">
        <v>57</v>
      </c>
      <c r="O4">
        <v>11</v>
      </c>
      <c r="P4">
        <v>121</v>
      </c>
      <c r="Q4">
        <v>44</v>
      </c>
      <c r="R4" t="s">
        <v>58</v>
      </c>
      <c r="S4" t="s">
        <v>47</v>
      </c>
      <c r="T4">
        <v>24</v>
      </c>
      <c r="U4">
        <v>2021</v>
      </c>
      <c r="V4" t="s">
        <v>59</v>
      </c>
      <c r="W4" t="s">
        <v>60</v>
      </c>
      <c r="X4" t="s">
        <v>61</v>
      </c>
    </row>
    <row r="5" spans="1:24" x14ac:dyDescent="0.25">
      <c r="A5" t="s">
        <v>62</v>
      </c>
      <c r="B5" t="s">
        <v>63</v>
      </c>
      <c r="C5" t="s">
        <v>64</v>
      </c>
      <c r="D5" t="s">
        <v>27</v>
      </c>
      <c r="E5" t="s">
        <v>28</v>
      </c>
      <c r="F5" t="s">
        <v>65</v>
      </c>
      <c r="G5" t="s">
        <v>30</v>
      </c>
      <c r="H5">
        <v>209.87</v>
      </c>
      <c r="I5">
        <v>434.69</v>
      </c>
      <c r="J5">
        <v>107.1</v>
      </c>
      <c r="K5">
        <v>2.4900000000000002</v>
      </c>
      <c r="L5">
        <v>1.655</v>
      </c>
      <c r="M5" t="s">
        <v>31</v>
      </c>
      <c r="N5" t="s">
        <v>66</v>
      </c>
      <c r="O5">
        <v>25</v>
      </c>
      <c r="P5">
        <v>250</v>
      </c>
      <c r="Q5">
        <v>100</v>
      </c>
      <c r="R5" t="s">
        <v>33</v>
      </c>
      <c r="S5" t="s">
        <v>47</v>
      </c>
      <c r="T5">
        <v>36</v>
      </c>
      <c r="U5">
        <v>2026</v>
      </c>
      <c r="V5" t="s">
        <v>35</v>
      </c>
      <c r="W5" t="s">
        <v>67</v>
      </c>
      <c r="X5" t="s">
        <v>68</v>
      </c>
    </row>
    <row r="6" spans="1:24" x14ac:dyDescent="0.25">
      <c r="A6" t="s">
        <v>69</v>
      </c>
      <c r="B6" t="s">
        <v>70</v>
      </c>
      <c r="C6" t="s">
        <v>71</v>
      </c>
      <c r="D6" t="s">
        <v>27</v>
      </c>
      <c r="E6" t="s">
        <v>72</v>
      </c>
      <c r="F6" t="s">
        <v>73</v>
      </c>
      <c r="G6" t="s">
        <v>43</v>
      </c>
      <c r="H6">
        <v>412.27</v>
      </c>
      <c r="I6">
        <v>709.73</v>
      </c>
      <c r="J6">
        <v>72.2</v>
      </c>
      <c r="K6">
        <v>0.33</v>
      </c>
      <c r="L6">
        <v>0.245</v>
      </c>
      <c r="M6" t="s">
        <v>56</v>
      </c>
      <c r="N6" t="s">
        <v>74</v>
      </c>
      <c r="O6">
        <v>25</v>
      </c>
      <c r="P6">
        <v>450</v>
      </c>
      <c r="Q6">
        <v>100</v>
      </c>
      <c r="R6" t="s">
        <v>33</v>
      </c>
      <c r="S6" t="s">
        <v>47</v>
      </c>
      <c r="T6">
        <v>36</v>
      </c>
      <c r="U6">
        <v>2022</v>
      </c>
      <c r="V6" t="s">
        <v>35</v>
      </c>
      <c r="W6" t="s">
        <v>75</v>
      </c>
      <c r="X6" t="s">
        <v>76</v>
      </c>
    </row>
    <row r="7" spans="1:24" x14ac:dyDescent="0.25">
      <c r="A7" t="s">
        <v>77</v>
      </c>
      <c r="B7" t="s">
        <v>78</v>
      </c>
      <c r="C7" t="s">
        <v>40</v>
      </c>
      <c r="D7" t="s">
        <v>27</v>
      </c>
      <c r="E7" t="s">
        <v>54</v>
      </c>
      <c r="F7" t="s">
        <v>79</v>
      </c>
      <c r="G7" t="s">
        <v>80</v>
      </c>
      <c r="H7">
        <v>212.9</v>
      </c>
      <c r="I7">
        <v>531.51</v>
      </c>
      <c r="J7">
        <v>149.69999999999999</v>
      </c>
      <c r="K7">
        <v>0.56999999999999995</v>
      </c>
      <c r="L7">
        <v>0.20200000000000001</v>
      </c>
      <c r="M7" t="s">
        <v>81</v>
      </c>
      <c r="N7" t="s">
        <v>82</v>
      </c>
      <c r="O7">
        <v>29</v>
      </c>
      <c r="P7">
        <v>522</v>
      </c>
      <c r="Q7">
        <v>87</v>
      </c>
      <c r="R7" t="s">
        <v>33</v>
      </c>
      <c r="S7" t="s">
        <v>83</v>
      </c>
      <c r="T7">
        <v>48</v>
      </c>
      <c r="U7">
        <v>2025</v>
      </c>
      <c r="V7" t="s">
        <v>84</v>
      </c>
      <c r="W7" t="s">
        <v>85</v>
      </c>
      <c r="X7" t="s">
        <v>86</v>
      </c>
    </row>
    <row r="8" spans="1:24" x14ac:dyDescent="0.25">
      <c r="A8" t="s">
        <v>87</v>
      </c>
      <c r="B8" t="s">
        <v>88</v>
      </c>
      <c r="C8" t="s">
        <v>53</v>
      </c>
      <c r="D8" t="s">
        <v>27</v>
      </c>
      <c r="E8" t="s">
        <v>89</v>
      </c>
      <c r="F8" t="s">
        <v>90</v>
      </c>
      <c r="G8" t="s">
        <v>30</v>
      </c>
      <c r="H8">
        <v>486.99</v>
      </c>
      <c r="I8">
        <v>1129.3399999999999</v>
      </c>
      <c r="J8">
        <v>131.9</v>
      </c>
      <c r="K8">
        <v>0.14000000000000001</v>
      </c>
      <c r="L8">
        <v>8.6999999999999994E-2</v>
      </c>
      <c r="M8" t="s">
        <v>31</v>
      </c>
      <c r="N8" t="s">
        <v>91</v>
      </c>
      <c r="O8">
        <v>29</v>
      </c>
      <c r="P8">
        <v>261</v>
      </c>
      <c r="Q8">
        <v>116</v>
      </c>
      <c r="R8" t="s">
        <v>33</v>
      </c>
      <c r="S8" t="s">
        <v>47</v>
      </c>
      <c r="T8">
        <v>24</v>
      </c>
      <c r="U8">
        <v>2024</v>
      </c>
      <c r="V8" t="s">
        <v>92</v>
      </c>
      <c r="W8" t="s">
        <v>93</v>
      </c>
      <c r="X8" t="s">
        <v>94</v>
      </c>
    </row>
    <row r="9" spans="1:24" x14ac:dyDescent="0.25">
      <c r="A9" t="s">
        <v>95</v>
      </c>
      <c r="B9" t="s">
        <v>96</v>
      </c>
      <c r="C9" t="s">
        <v>97</v>
      </c>
      <c r="D9" t="s">
        <v>27</v>
      </c>
      <c r="E9" t="s">
        <v>72</v>
      </c>
      <c r="F9" t="s">
        <v>98</v>
      </c>
      <c r="G9" t="s">
        <v>99</v>
      </c>
      <c r="H9">
        <v>118.78</v>
      </c>
      <c r="I9">
        <v>260.27999999999997</v>
      </c>
      <c r="J9">
        <v>119.1</v>
      </c>
      <c r="K9">
        <v>1.93</v>
      </c>
      <c r="L9">
        <v>0.68700000000000006</v>
      </c>
      <c r="M9" t="s">
        <v>100</v>
      </c>
      <c r="N9" t="s">
        <v>66</v>
      </c>
      <c r="O9">
        <v>15</v>
      </c>
      <c r="P9">
        <v>195</v>
      </c>
      <c r="Q9">
        <v>60</v>
      </c>
      <c r="R9" t="s">
        <v>33</v>
      </c>
      <c r="S9" t="s">
        <v>47</v>
      </c>
      <c r="T9">
        <v>12</v>
      </c>
      <c r="U9">
        <v>2022</v>
      </c>
      <c r="V9" t="s">
        <v>84</v>
      </c>
      <c r="W9" t="s">
        <v>101</v>
      </c>
      <c r="X9" t="s">
        <v>102</v>
      </c>
    </row>
    <row r="10" spans="1:24" x14ac:dyDescent="0.25">
      <c r="A10" t="s">
        <v>103</v>
      </c>
      <c r="B10" t="s">
        <v>104</v>
      </c>
      <c r="C10" t="s">
        <v>26</v>
      </c>
      <c r="D10" t="s">
        <v>27</v>
      </c>
      <c r="E10" t="s">
        <v>41</v>
      </c>
      <c r="F10" t="s">
        <v>105</v>
      </c>
      <c r="G10" t="s">
        <v>99</v>
      </c>
      <c r="H10">
        <v>107.78</v>
      </c>
      <c r="I10">
        <v>195.93</v>
      </c>
      <c r="J10">
        <v>81.8</v>
      </c>
      <c r="K10">
        <v>1.97</v>
      </c>
      <c r="L10">
        <v>1.5409999999999999</v>
      </c>
      <c r="M10" t="s">
        <v>44</v>
      </c>
      <c r="N10" t="s">
        <v>106</v>
      </c>
      <c r="O10">
        <v>32</v>
      </c>
      <c r="P10">
        <v>512</v>
      </c>
      <c r="Q10">
        <v>160</v>
      </c>
      <c r="R10" t="s">
        <v>33</v>
      </c>
      <c r="S10" t="s">
        <v>83</v>
      </c>
      <c r="T10">
        <v>24</v>
      </c>
      <c r="U10">
        <v>2026</v>
      </c>
      <c r="V10" t="s">
        <v>48</v>
      </c>
      <c r="W10" t="s">
        <v>107</v>
      </c>
      <c r="X10" t="s">
        <v>108</v>
      </c>
    </row>
    <row r="11" spans="1:24" x14ac:dyDescent="0.25">
      <c r="A11" t="s">
        <v>109</v>
      </c>
      <c r="B11" t="s">
        <v>110</v>
      </c>
      <c r="C11" t="s">
        <v>111</v>
      </c>
      <c r="D11" t="s">
        <v>27</v>
      </c>
      <c r="E11" t="s">
        <v>112</v>
      </c>
      <c r="F11" t="s">
        <v>113</v>
      </c>
      <c r="G11" t="s">
        <v>43</v>
      </c>
      <c r="H11">
        <v>161.56</v>
      </c>
      <c r="I11">
        <v>207.32</v>
      </c>
      <c r="J11">
        <v>28.3</v>
      </c>
      <c r="K11">
        <v>0.17</v>
      </c>
      <c r="L11">
        <v>0.111</v>
      </c>
      <c r="M11" t="s">
        <v>114</v>
      </c>
      <c r="N11" t="s">
        <v>32</v>
      </c>
      <c r="O11">
        <v>12</v>
      </c>
      <c r="P11">
        <v>96</v>
      </c>
      <c r="Q11">
        <v>36</v>
      </c>
      <c r="R11" t="s">
        <v>33</v>
      </c>
      <c r="S11" t="s">
        <v>47</v>
      </c>
      <c r="T11">
        <v>12</v>
      </c>
      <c r="U11">
        <v>2023</v>
      </c>
      <c r="V11" t="s">
        <v>84</v>
      </c>
      <c r="W11" t="s">
        <v>115</v>
      </c>
      <c r="X11" t="s">
        <v>116</v>
      </c>
    </row>
    <row r="12" spans="1:24" x14ac:dyDescent="0.25">
      <c r="A12" t="s">
        <v>117</v>
      </c>
      <c r="B12" t="s">
        <v>118</v>
      </c>
      <c r="C12" t="s">
        <v>53</v>
      </c>
      <c r="D12" t="s">
        <v>27</v>
      </c>
      <c r="E12" t="s">
        <v>119</v>
      </c>
      <c r="F12" t="s">
        <v>120</v>
      </c>
      <c r="G12" t="s">
        <v>99</v>
      </c>
      <c r="H12">
        <v>375.51</v>
      </c>
      <c r="I12">
        <v>881.36</v>
      </c>
      <c r="J12">
        <v>134.69999999999999</v>
      </c>
      <c r="K12">
        <v>2.06</v>
      </c>
      <c r="L12">
        <v>0.71499999999999997</v>
      </c>
      <c r="M12" t="s">
        <v>114</v>
      </c>
      <c r="N12" t="s">
        <v>121</v>
      </c>
      <c r="O12">
        <v>30</v>
      </c>
      <c r="P12">
        <v>540</v>
      </c>
      <c r="Q12">
        <v>120</v>
      </c>
      <c r="R12" t="s">
        <v>33</v>
      </c>
      <c r="S12" t="s">
        <v>47</v>
      </c>
      <c r="T12">
        <v>48</v>
      </c>
      <c r="U12">
        <v>2024</v>
      </c>
      <c r="V12" t="s">
        <v>122</v>
      </c>
      <c r="W12" t="s">
        <v>123</v>
      </c>
      <c r="X12" t="s">
        <v>124</v>
      </c>
    </row>
    <row r="13" spans="1:24" x14ac:dyDescent="0.25">
      <c r="A13" t="s">
        <v>125</v>
      </c>
      <c r="B13" t="s">
        <v>126</v>
      </c>
      <c r="C13" t="s">
        <v>26</v>
      </c>
      <c r="D13" t="s">
        <v>27</v>
      </c>
      <c r="E13" t="s">
        <v>28</v>
      </c>
      <c r="F13" t="s">
        <v>127</v>
      </c>
      <c r="G13" t="s">
        <v>80</v>
      </c>
      <c r="H13">
        <v>377.7</v>
      </c>
      <c r="I13">
        <v>846.34</v>
      </c>
      <c r="J13">
        <v>124.1</v>
      </c>
      <c r="K13">
        <v>0.47</v>
      </c>
      <c r="L13">
        <v>0.24</v>
      </c>
      <c r="M13" t="s">
        <v>114</v>
      </c>
      <c r="N13" t="s">
        <v>128</v>
      </c>
      <c r="O13">
        <v>22</v>
      </c>
      <c r="P13">
        <v>264</v>
      </c>
      <c r="Q13">
        <v>88</v>
      </c>
      <c r="R13" t="s">
        <v>33</v>
      </c>
      <c r="S13" t="s">
        <v>47</v>
      </c>
      <c r="T13">
        <v>12</v>
      </c>
      <c r="U13">
        <v>2024</v>
      </c>
      <c r="V13" t="s">
        <v>84</v>
      </c>
      <c r="W13" t="s">
        <v>129</v>
      </c>
      <c r="X13" t="s">
        <v>130</v>
      </c>
    </row>
    <row r="14" spans="1:24" x14ac:dyDescent="0.25">
      <c r="A14" t="s">
        <v>131</v>
      </c>
      <c r="B14" t="s">
        <v>132</v>
      </c>
      <c r="C14" t="s">
        <v>71</v>
      </c>
      <c r="D14" t="s">
        <v>27</v>
      </c>
      <c r="E14" t="s">
        <v>133</v>
      </c>
      <c r="F14" t="s">
        <v>134</v>
      </c>
      <c r="G14" t="s">
        <v>99</v>
      </c>
      <c r="H14">
        <v>124.84</v>
      </c>
      <c r="I14">
        <v>228.62</v>
      </c>
      <c r="J14">
        <v>83.1</v>
      </c>
      <c r="K14">
        <v>0.83</v>
      </c>
      <c r="L14">
        <v>0.65800000000000003</v>
      </c>
      <c r="M14" t="s">
        <v>135</v>
      </c>
      <c r="N14" t="s">
        <v>136</v>
      </c>
      <c r="O14">
        <v>10</v>
      </c>
      <c r="P14">
        <v>120</v>
      </c>
      <c r="Q14">
        <v>40</v>
      </c>
      <c r="R14" t="s">
        <v>33</v>
      </c>
      <c r="S14" t="s">
        <v>47</v>
      </c>
      <c r="T14">
        <v>48</v>
      </c>
      <c r="U14">
        <v>2026</v>
      </c>
      <c r="V14" t="s">
        <v>122</v>
      </c>
      <c r="W14" t="s">
        <v>137</v>
      </c>
      <c r="X14" t="s">
        <v>138</v>
      </c>
    </row>
    <row r="15" spans="1:24" x14ac:dyDescent="0.25">
      <c r="A15" t="s">
        <v>139</v>
      </c>
      <c r="B15" t="s">
        <v>140</v>
      </c>
      <c r="C15" t="s">
        <v>141</v>
      </c>
      <c r="D15" t="s">
        <v>27</v>
      </c>
      <c r="E15" t="s">
        <v>119</v>
      </c>
      <c r="F15" t="s">
        <v>142</v>
      </c>
      <c r="G15" t="s">
        <v>43</v>
      </c>
      <c r="H15">
        <v>386.59</v>
      </c>
      <c r="I15">
        <v>492.64</v>
      </c>
      <c r="J15">
        <v>27.4</v>
      </c>
      <c r="K15">
        <v>2.09</v>
      </c>
      <c r="L15">
        <v>1.5169999999999999</v>
      </c>
      <c r="M15" t="s">
        <v>143</v>
      </c>
      <c r="N15" t="s">
        <v>136</v>
      </c>
      <c r="O15">
        <v>35</v>
      </c>
      <c r="P15">
        <v>315</v>
      </c>
      <c r="Q15">
        <v>175</v>
      </c>
      <c r="R15" t="s">
        <v>33</v>
      </c>
      <c r="S15" t="s">
        <v>47</v>
      </c>
      <c r="T15">
        <v>24</v>
      </c>
      <c r="U15">
        <v>2024</v>
      </c>
      <c r="V15" t="s">
        <v>84</v>
      </c>
      <c r="W15" t="s">
        <v>144</v>
      </c>
      <c r="X15" t="s">
        <v>145</v>
      </c>
    </row>
    <row r="16" spans="1:24" x14ac:dyDescent="0.25">
      <c r="A16" t="s">
        <v>146</v>
      </c>
      <c r="B16" t="s">
        <v>147</v>
      </c>
      <c r="C16" t="s">
        <v>40</v>
      </c>
      <c r="D16" t="s">
        <v>27</v>
      </c>
      <c r="E16" t="s">
        <v>89</v>
      </c>
      <c r="F16" t="s">
        <v>148</v>
      </c>
      <c r="G16" t="s">
        <v>43</v>
      </c>
      <c r="H16">
        <v>238.65</v>
      </c>
      <c r="I16">
        <v>467.46</v>
      </c>
      <c r="J16">
        <v>95.9</v>
      </c>
      <c r="K16">
        <v>1.88</v>
      </c>
      <c r="L16">
        <v>0.78800000000000003</v>
      </c>
      <c r="M16" t="s">
        <v>44</v>
      </c>
      <c r="N16" t="s">
        <v>74</v>
      </c>
      <c r="O16">
        <v>26</v>
      </c>
      <c r="P16">
        <v>364</v>
      </c>
      <c r="Q16">
        <v>78</v>
      </c>
      <c r="R16" t="s">
        <v>58</v>
      </c>
      <c r="S16" t="s">
        <v>83</v>
      </c>
      <c r="T16">
        <v>36</v>
      </c>
      <c r="U16">
        <v>2024</v>
      </c>
      <c r="V16" t="s">
        <v>149</v>
      </c>
      <c r="W16" t="s">
        <v>150</v>
      </c>
      <c r="X16" t="s">
        <v>151</v>
      </c>
    </row>
    <row r="17" spans="1:24" x14ac:dyDescent="0.25">
      <c r="A17" t="s">
        <v>152</v>
      </c>
      <c r="B17" t="s">
        <v>153</v>
      </c>
      <c r="C17" t="s">
        <v>53</v>
      </c>
      <c r="D17" t="s">
        <v>27</v>
      </c>
      <c r="E17" t="s">
        <v>154</v>
      </c>
      <c r="F17" t="s">
        <v>155</v>
      </c>
      <c r="G17" t="s">
        <v>43</v>
      </c>
      <c r="H17">
        <v>291.94</v>
      </c>
      <c r="I17">
        <v>542.32000000000005</v>
      </c>
      <c r="J17">
        <v>85.8</v>
      </c>
      <c r="K17">
        <v>0.55000000000000004</v>
      </c>
      <c r="L17">
        <v>0.24299999999999999</v>
      </c>
      <c r="M17" t="s">
        <v>56</v>
      </c>
      <c r="N17" t="s">
        <v>156</v>
      </c>
      <c r="O17">
        <v>33</v>
      </c>
      <c r="P17">
        <v>495</v>
      </c>
      <c r="Q17">
        <v>165</v>
      </c>
      <c r="R17" t="s">
        <v>33</v>
      </c>
      <c r="S17" t="s">
        <v>83</v>
      </c>
      <c r="T17">
        <v>36</v>
      </c>
      <c r="U17">
        <v>2025</v>
      </c>
      <c r="V17" t="s">
        <v>92</v>
      </c>
      <c r="W17" t="s">
        <v>157</v>
      </c>
      <c r="X17" t="s">
        <v>158</v>
      </c>
    </row>
    <row r="18" spans="1:24" x14ac:dyDescent="0.25">
      <c r="A18" t="s">
        <v>159</v>
      </c>
      <c r="B18" t="s">
        <v>160</v>
      </c>
      <c r="C18" t="s">
        <v>26</v>
      </c>
      <c r="D18" t="s">
        <v>27</v>
      </c>
      <c r="E18" t="s">
        <v>112</v>
      </c>
      <c r="F18" t="s">
        <v>161</v>
      </c>
      <c r="G18" t="s">
        <v>30</v>
      </c>
      <c r="H18">
        <v>101.94</v>
      </c>
      <c r="I18">
        <v>136.51</v>
      </c>
      <c r="J18">
        <v>33.9</v>
      </c>
      <c r="K18">
        <v>1.98</v>
      </c>
      <c r="L18">
        <v>0.93300000000000005</v>
      </c>
      <c r="M18" t="s">
        <v>44</v>
      </c>
      <c r="N18" t="s">
        <v>162</v>
      </c>
      <c r="O18">
        <v>24</v>
      </c>
      <c r="P18">
        <v>432</v>
      </c>
      <c r="Q18">
        <v>120</v>
      </c>
      <c r="R18" t="s">
        <v>33</v>
      </c>
      <c r="S18" t="s">
        <v>47</v>
      </c>
      <c r="T18">
        <v>60</v>
      </c>
      <c r="U18">
        <v>2024</v>
      </c>
      <c r="V18" t="s">
        <v>48</v>
      </c>
      <c r="W18" t="s">
        <v>163</v>
      </c>
      <c r="X18" t="s">
        <v>164</v>
      </c>
    </row>
    <row r="19" spans="1:24" x14ac:dyDescent="0.25">
      <c r="A19" t="s">
        <v>165</v>
      </c>
      <c r="B19" t="s">
        <v>166</v>
      </c>
      <c r="C19" t="s">
        <v>167</v>
      </c>
      <c r="D19" t="s">
        <v>27</v>
      </c>
      <c r="E19" t="s">
        <v>168</v>
      </c>
      <c r="F19" t="s">
        <v>169</v>
      </c>
      <c r="G19" t="s">
        <v>43</v>
      </c>
      <c r="H19">
        <v>51.6</v>
      </c>
      <c r="I19">
        <v>113.65</v>
      </c>
      <c r="J19">
        <v>120.3</v>
      </c>
      <c r="K19">
        <v>2.27</v>
      </c>
      <c r="L19">
        <v>1.482</v>
      </c>
      <c r="M19" t="s">
        <v>44</v>
      </c>
      <c r="N19" t="s">
        <v>170</v>
      </c>
      <c r="O19">
        <v>28</v>
      </c>
      <c r="P19">
        <v>448</v>
      </c>
      <c r="Q19">
        <v>84</v>
      </c>
      <c r="R19" t="s">
        <v>33</v>
      </c>
      <c r="S19" t="s">
        <v>47</v>
      </c>
      <c r="T19">
        <v>12</v>
      </c>
      <c r="U19">
        <v>2026</v>
      </c>
      <c r="V19" t="s">
        <v>171</v>
      </c>
      <c r="W19" t="s">
        <v>172</v>
      </c>
      <c r="X19" t="s">
        <v>173</v>
      </c>
    </row>
    <row r="20" spans="1:24" x14ac:dyDescent="0.25">
      <c r="A20" t="s">
        <v>174</v>
      </c>
      <c r="B20" t="s">
        <v>175</v>
      </c>
      <c r="C20" t="s">
        <v>64</v>
      </c>
      <c r="D20" t="s">
        <v>27</v>
      </c>
      <c r="E20" t="s">
        <v>72</v>
      </c>
      <c r="F20" t="s">
        <v>176</v>
      </c>
      <c r="G20" t="s">
        <v>80</v>
      </c>
      <c r="H20">
        <v>107.35</v>
      </c>
      <c r="I20">
        <v>171.84</v>
      </c>
      <c r="J20">
        <v>60.1</v>
      </c>
      <c r="K20">
        <v>3.16</v>
      </c>
      <c r="L20">
        <v>2.0019999999999998</v>
      </c>
      <c r="M20" t="s">
        <v>100</v>
      </c>
      <c r="N20" t="s">
        <v>177</v>
      </c>
      <c r="O20">
        <v>11</v>
      </c>
      <c r="P20">
        <v>143</v>
      </c>
      <c r="Q20">
        <v>55</v>
      </c>
      <c r="R20" t="s">
        <v>58</v>
      </c>
      <c r="S20" t="s">
        <v>47</v>
      </c>
      <c r="T20">
        <v>60</v>
      </c>
      <c r="U20">
        <v>2026</v>
      </c>
      <c r="V20" t="s">
        <v>171</v>
      </c>
      <c r="W20" t="s">
        <v>178</v>
      </c>
      <c r="X20" t="s">
        <v>179</v>
      </c>
    </row>
    <row r="21" spans="1:24" x14ac:dyDescent="0.25">
      <c r="A21" t="s">
        <v>180</v>
      </c>
      <c r="B21" t="s">
        <v>181</v>
      </c>
      <c r="C21" t="s">
        <v>64</v>
      </c>
      <c r="D21" t="s">
        <v>27</v>
      </c>
      <c r="E21" t="s">
        <v>182</v>
      </c>
      <c r="F21" t="s">
        <v>183</v>
      </c>
      <c r="G21" t="s">
        <v>99</v>
      </c>
      <c r="H21">
        <v>170.06</v>
      </c>
      <c r="I21">
        <v>378.14</v>
      </c>
      <c r="J21">
        <v>122.4</v>
      </c>
      <c r="K21">
        <v>0.47</v>
      </c>
      <c r="L21">
        <v>0.35699999999999998</v>
      </c>
      <c r="M21" t="s">
        <v>100</v>
      </c>
      <c r="N21" t="s">
        <v>121</v>
      </c>
      <c r="O21">
        <v>12</v>
      </c>
      <c r="P21">
        <v>156</v>
      </c>
      <c r="Q21">
        <v>48</v>
      </c>
      <c r="R21" t="s">
        <v>33</v>
      </c>
      <c r="S21" t="s">
        <v>47</v>
      </c>
      <c r="T21">
        <v>24</v>
      </c>
      <c r="U21">
        <v>2021</v>
      </c>
      <c r="V21" t="s">
        <v>35</v>
      </c>
      <c r="W21" t="s">
        <v>184</v>
      </c>
      <c r="X21" t="s">
        <v>185</v>
      </c>
    </row>
    <row r="22" spans="1:24" x14ac:dyDescent="0.25">
      <c r="A22" t="s">
        <v>186</v>
      </c>
      <c r="B22" t="s">
        <v>187</v>
      </c>
      <c r="C22" t="s">
        <v>26</v>
      </c>
      <c r="D22" t="s">
        <v>27</v>
      </c>
      <c r="E22" t="s">
        <v>119</v>
      </c>
      <c r="F22" t="s">
        <v>188</v>
      </c>
      <c r="G22" t="s">
        <v>30</v>
      </c>
      <c r="H22">
        <v>338.67</v>
      </c>
      <c r="I22">
        <v>582.37</v>
      </c>
      <c r="J22">
        <v>72</v>
      </c>
      <c r="K22">
        <v>3.44</v>
      </c>
      <c r="L22">
        <v>2.0310000000000001</v>
      </c>
      <c r="M22" t="s">
        <v>56</v>
      </c>
      <c r="N22" t="s">
        <v>189</v>
      </c>
      <c r="O22">
        <v>8</v>
      </c>
      <c r="P22">
        <v>96</v>
      </c>
      <c r="Q22">
        <v>24</v>
      </c>
      <c r="R22" t="s">
        <v>33</v>
      </c>
      <c r="S22" t="s">
        <v>47</v>
      </c>
      <c r="T22">
        <v>60</v>
      </c>
      <c r="U22">
        <v>2024</v>
      </c>
      <c r="V22" t="s">
        <v>149</v>
      </c>
      <c r="W22" t="s">
        <v>190</v>
      </c>
      <c r="X22" t="s">
        <v>191</v>
      </c>
    </row>
    <row r="23" spans="1:24" x14ac:dyDescent="0.25">
      <c r="A23" t="s">
        <v>192</v>
      </c>
      <c r="B23" t="s">
        <v>193</v>
      </c>
      <c r="C23" t="s">
        <v>111</v>
      </c>
      <c r="D23" t="s">
        <v>27</v>
      </c>
      <c r="E23" t="s">
        <v>89</v>
      </c>
      <c r="F23" t="s">
        <v>194</v>
      </c>
      <c r="G23" t="s">
        <v>80</v>
      </c>
      <c r="H23">
        <v>454.78</v>
      </c>
      <c r="I23">
        <v>658.11</v>
      </c>
      <c r="J23">
        <v>44.7</v>
      </c>
      <c r="K23">
        <v>0.25</v>
      </c>
      <c r="L23">
        <v>0.161</v>
      </c>
      <c r="M23" t="s">
        <v>135</v>
      </c>
      <c r="N23" t="s">
        <v>195</v>
      </c>
      <c r="O23">
        <v>21</v>
      </c>
      <c r="P23">
        <v>399</v>
      </c>
      <c r="Q23">
        <v>105</v>
      </c>
      <c r="R23" t="s">
        <v>46</v>
      </c>
      <c r="S23" t="s">
        <v>83</v>
      </c>
      <c r="T23">
        <v>24</v>
      </c>
      <c r="U23">
        <v>2023</v>
      </c>
      <c r="V23" t="s">
        <v>59</v>
      </c>
      <c r="W23" t="s">
        <v>196</v>
      </c>
      <c r="X23" t="s">
        <v>197</v>
      </c>
    </row>
    <row r="24" spans="1:24" x14ac:dyDescent="0.25">
      <c r="A24" t="s">
        <v>198</v>
      </c>
      <c r="B24" t="s">
        <v>199</v>
      </c>
      <c r="C24" t="s">
        <v>97</v>
      </c>
      <c r="D24" t="s">
        <v>27</v>
      </c>
      <c r="E24" t="s">
        <v>54</v>
      </c>
      <c r="F24" t="s">
        <v>200</v>
      </c>
      <c r="G24" t="s">
        <v>30</v>
      </c>
      <c r="H24">
        <v>350.1</v>
      </c>
      <c r="I24">
        <v>568.58000000000004</v>
      </c>
      <c r="J24">
        <v>62.4</v>
      </c>
      <c r="K24">
        <v>2.4700000000000002</v>
      </c>
      <c r="L24">
        <v>1.577</v>
      </c>
      <c r="M24" t="s">
        <v>143</v>
      </c>
      <c r="N24" t="s">
        <v>128</v>
      </c>
      <c r="O24">
        <v>18</v>
      </c>
      <c r="P24">
        <v>180</v>
      </c>
      <c r="Q24">
        <v>90</v>
      </c>
      <c r="R24" t="s">
        <v>58</v>
      </c>
      <c r="S24" t="s">
        <v>34</v>
      </c>
      <c r="T24">
        <v>36</v>
      </c>
      <c r="U24">
        <v>2024</v>
      </c>
      <c r="V24" t="s">
        <v>92</v>
      </c>
      <c r="W24" t="s">
        <v>201</v>
      </c>
      <c r="X24" t="s">
        <v>202</v>
      </c>
    </row>
    <row r="25" spans="1:24" x14ac:dyDescent="0.25">
      <c r="A25" t="s">
        <v>203</v>
      </c>
      <c r="B25" t="s">
        <v>204</v>
      </c>
      <c r="C25" t="s">
        <v>167</v>
      </c>
      <c r="D25" t="s">
        <v>27</v>
      </c>
      <c r="E25" t="s">
        <v>205</v>
      </c>
      <c r="F25" t="s">
        <v>206</v>
      </c>
      <c r="G25" t="s">
        <v>80</v>
      </c>
      <c r="H25">
        <v>248.8</v>
      </c>
      <c r="I25">
        <v>517.08000000000004</v>
      </c>
      <c r="J25">
        <v>107.8</v>
      </c>
      <c r="K25">
        <v>1.84</v>
      </c>
      <c r="L25">
        <v>1.1339999999999999</v>
      </c>
      <c r="M25" t="s">
        <v>143</v>
      </c>
      <c r="N25" t="s">
        <v>82</v>
      </c>
      <c r="O25">
        <v>14</v>
      </c>
      <c r="P25">
        <v>182</v>
      </c>
      <c r="Q25">
        <v>42</v>
      </c>
      <c r="R25" t="s">
        <v>33</v>
      </c>
      <c r="S25" t="s">
        <v>47</v>
      </c>
      <c r="T25">
        <v>36</v>
      </c>
      <c r="U25">
        <v>2022</v>
      </c>
      <c r="V25" t="s">
        <v>35</v>
      </c>
      <c r="W25" t="s">
        <v>207</v>
      </c>
      <c r="X25" t="s">
        <v>208</v>
      </c>
    </row>
    <row r="26" spans="1:24" x14ac:dyDescent="0.25">
      <c r="A26" t="s">
        <v>209</v>
      </c>
      <c r="B26" t="s">
        <v>210</v>
      </c>
      <c r="C26" t="s">
        <v>141</v>
      </c>
      <c r="D26" t="s">
        <v>27</v>
      </c>
      <c r="E26" t="s">
        <v>154</v>
      </c>
      <c r="F26" t="s">
        <v>211</v>
      </c>
      <c r="G26" t="s">
        <v>43</v>
      </c>
      <c r="H26">
        <v>254.94</v>
      </c>
      <c r="I26">
        <v>599.61</v>
      </c>
      <c r="J26">
        <v>135.19999999999999</v>
      </c>
      <c r="K26">
        <v>2.06</v>
      </c>
      <c r="L26">
        <v>1.294</v>
      </c>
      <c r="M26" t="s">
        <v>135</v>
      </c>
      <c r="N26" t="s">
        <v>212</v>
      </c>
      <c r="O26">
        <v>17</v>
      </c>
      <c r="P26">
        <v>136</v>
      </c>
      <c r="Q26">
        <v>51</v>
      </c>
      <c r="R26" t="s">
        <v>33</v>
      </c>
      <c r="S26" t="s">
        <v>47</v>
      </c>
      <c r="T26">
        <v>24</v>
      </c>
      <c r="U26">
        <v>2022</v>
      </c>
      <c r="V26" t="s">
        <v>122</v>
      </c>
      <c r="W26" t="s">
        <v>213</v>
      </c>
      <c r="X26" t="s">
        <v>214</v>
      </c>
    </row>
    <row r="27" spans="1:24" x14ac:dyDescent="0.25">
      <c r="A27" t="s">
        <v>215</v>
      </c>
      <c r="B27" t="s">
        <v>216</v>
      </c>
      <c r="C27" t="s">
        <v>26</v>
      </c>
      <c r="D27" t="s">
        <v>27</v>
      </c>
      <c r="E27" t="s">
        <v>205</v>
      </c>
      <c r="F27" t="s">
        <v>217</v>
      </c>
      <c r="G27" t="s">
        <v>99</v>
      </c>
      <c r="H27">
        <v>410.64</v>
      </c>
      <c r="I27">
        <v>849.14</v>
      </c>
      <c r="J27">
        <v>106.8</v>
      </c>
      <c r="K27">
        <v>3.46</v>
      </c>
      <c r="L27">
        <v>2.581</v>
      </c>
      <c r="M27" t="s">
        <v>56</v>
      </c>
      <c r="N27" t="s">
        <v>218</v>
      </c>
      <c r="O27">
        <v>24</v>
      </c>
      <c r="P27">
        <v>336</v>
      </c>
      <c r="Q27">
        <v>120</v>
      </c>
      <c r="R27" t="s">
        <v>46</v>
      </c>
      <c r="S27" t="s">
        <v>47</v>
      </c>
      <c r="T27">
        <v>24</v>
      </c>
      <c r="U27">
        <v>2026</v>
      </c>
      <c r="V27" t="s">
        <v>122</v>
      </c>
      <c r="W27" t="s">
        <v>219</v>
      </c>
      <c r="X27" t="s">
        <v>220</v>
      </c>
    </row>
    <row r="28" spans="1:24" x14ac:dyDescent="0.25">
      <c r="A28" t="s">
        <v>221</v>
      </c>
      <c r="B28" t="s">
        <v>222</v>
      </c>
      <c r="C28" t="s">
        <v>141</v>
      </c>
      <c r="D28" t="s">
        <v>27</v>
      </c>
      <c r="E28" t="s">
        <v>223</v>
      </c>
      <c r="F28" t="s">
        <v>224</v>
      </c>
      <c r="G28" t="s">
        <v>80</v>
      </c>
      <c r="H28">
        <v>332.04</v>
      </c>
      <c r="I28">
        <v>516.98</v>
      </c>
      <c r="J28">
        <v>55.7</v>
      </c>
      <c r="K28">
        <v>0.36</v>
      </c>
      <c r="L28">
        <v>0.26900000000000002</v>
      </c>
      <c r="M28" t="s">
        <v>44</v>
      </c>
      <c r="N28" t="s">
        <v>225</v>
      </c>
      <c r="O28">
        <v>13</v>
      </c>
      <c r="P28">
        <v>117</v>
      </c>
      <c r="Q28">
        <v>39</v>
      </c>
      <c r="R28" t="s">
        <v>33</v>
      </c>
      <c r="S28" t="s">
        <v>47</v>
      </c>
      <c r="T28">
        <v>24</v>
      </c>
      <c r="U28">
        <v>2024</v>
      </c>
      <c r="V28" t="s">
        <v>171</v>
      </c>
      <c r="W28" t="s">
        <v>226</v>
      </c>
      <c r="X28" t="s">
        <v>227</v>
      </c>
    </row>
    <row r="29" spans="1:24" x14ac:dyDescent="0.25">
      <c r="A29" t="s">
        <v>228</v>
      </c>
      <c r="B29" t="s">
        <v>229</v>
      </c>
      <c r="C29" t="s">
        <v>167</v>
      </c>
      <c r="D29" t="s">
        <v>27</v>
      </c>
      <c r="E29" t="s">
        <v>168</v>
      </c>
      <c r="F29" t="s">
        <v>230</v>
      </c>
      <c r="G29" t="s">
        <v>30</v>
      </c>
      <c r="H29">
        <v>294.18</v>
      </c>
      <c r="I29">
        <v>512.02</v>
      </c>
      <c r="J29">
        <v>74</v>
      </c>
      <c r="K29">
        <v>0.8</v>
      </c>
      <c r="L29">
        <v>0.61799999999999999</v>
      </c>
      <c r="M29" t="s">
        <v>135</v>
      </c>
      <c r="N29" t="s">
        <v>231</v>
      </c>
      <c r="O29">
        <v>33</v>
      </c>
      <c r="P29">
        <v>264</v>
      </c>
      <c r="Q29">
        <v>165</v>
      </c>
      <c r="R29" t="s">
        <v>46</v>
      </c>
      <c r="S29" t="s">
        <v>47</v>
      </c>
      <c r="T29">
        <v>48</v>
      </c>
      <c r="U29">
        <v>2021</v>
      </c>
      <c r="V29" t="s">
        <v>149</v>
      </c>
      <c r="W29" t="s">
        <v>232</v>
      </c>
      <c r="X29" t="s">
        <v>233</v>
      </c>
    </row>
    <row r="30" spans="1:24" x14ac:dyDescent="0.25">
      <c r="A30" t="s">
        <v>234</v>
      </c>
      <c r="B30" t="s">
        <v>235</v>
      </c>
      <c r="C30" t="s">
        <v>111</v>
      </c>
      <c r="D30" t="s">
        <v>27</v>
      </c>
      <c r="E30" t="s">
        <v>133</v>
      </c>
      <c r="F30" t="s">
        <v>236</v>
      </c>
      <c r="G30" t="s">
        <v>80</v>
      </c>
      <c r="H30">
        <v>148.74</v>
      </c>
      <c r="I30">
        <v>262.76</v>
      </c>
      <c r="J30">
        <v>76.7</v>
      </c>
      <c r="K30">
        <v>0.2</v>
      </c>
      <c r="L30">
        <v>0.107</v>
      </c>
      <c r="M30" t="s">
        <v>56</v>
      </c>
      <c r="N30" t="s">
        <v>237</v>
      </c>
      <c r="O30">
        <v>28</v>
      </c>
      <c r="P30">
        <v>280</v>
      </c>
      <c r="Q30">
        <v>140</v>
      </c>
      <c r="R30" t="s">
        <v>33</v>
      </c>
      <c r="S30" t="s">
        <v>34</v>
      </c>
      <c r="T30">
        <v>12</v>
      </c>
      <c r="U30">
        <v>2024</v>
      </c>
      <c r="V30" t="s">
        <v>92</v>
      </c>
      <c r="W30" t="s">
        <v>238</v>
      </c>
      <c r="X30" t="s">
        <v>239</v>
      </c>
    </row>
    <row r="31" spans="1:24" x14ac:dyDescent="0.25">
      <c r="A31" t="s">
        <v>240</v>
      </c>
      <c r="B31" t="s">
        <v>241</v>
      </c>
      <c r="C31" t="s">
        <v>242</v>
      </c>
      <c r="D31" t="s">
        <v>27</v>
      </c>
      <c r="E31" t="s">
        <v>243</v>
      </c>
      <c r="F31" t="s">
        <v>244</v>
      </c>
      <c r="G31" t="s">
        <v>99</v>
      </c>
      <c r="H31">
        <v>72.63</v>
      </c>
      <c r="I31">
        <v>122.95</v>
      </c>
      <c r="J31">
        <v>69.3</v>
      </c>
      <c r="K31">
        <v>0.82</v>
      </c>
      <c r="L31">
        <v>0.55400000000000005</v>
      </c>
      <c r="M31" t="s">
        <v>56</v>
      </c>
      <c r="N31" t="s">
        <v>245</v>
      </c>
      <c r="O31">
        <v>29</v>
      </c>
      <c r="P31">
        <v>406</v>
      </c>
      <c r="Q31">
        <v>116</v>
      </c>
      <c r="R31" t="s">
        <v>33</v>
      </c>
      <c r="S31" t="s">
        <v>47</v>
      </c>
      <c r="T31">
        <v>48</v>
      </c>
      <c r="U31">
        <v>2021</v>
      </c>
      <c r="V31" t="s">
        <v>92</v>
      </c>
      <c r="W31" t="s">
        <v>246</v>
      </c>
      <c r="X31" t="s">
        <v>247</v>
      </c>
    </row>
    <row r="32" spans="1:24" x14ac:dyDescent="0.25">
      <c r="A32" t="s">
        <v>248</v>
      </c>
      <c r="B32" t="s">
        <v>249</v>
      </c>
      <c r="C32" t="s">
        <v>26</v>
      </c>
      <c r="D32" t="s">
        <v>27</v>
      </c>
      <c r="E32" t="s">
        <v>28</v>
      </c>
      <c r="F32" t="s">
        <v>250</v>
      </c>
      <c r="G32" t="s">
        <v>43</v>
      </c>
      <c r="H32">
        <v>477.33</v>
      </c>
      <c r="I32">
        <v>696.51</v>
      </c>
      <c r="J32">
        <v>45.9</v>
      </c>
      <c r="K32">
        <v>0.17</v>
      </c>
      <c r="L32">
        <v>6.0999999999999999E-2</v>
      </c>
      <c r="M32" t="s">
        <v>143</v>
      </c>
      <c r="N32" t="s">
        <v>225</v>
      </c>
      <c r="O32">
        <v>9</v>
      </c>
      <c r="P32">
        <v>99</v>
      </c>
      <c r="Q32">
        <v>36</v>
      </c>
      <c r="R32" t="s">
        <v>33</v>
      </c>
      <c r="S32" t="s">
        <v>83</v>
      </c>
      <c r="T32">
        <v>36</v>
      </c>
      <c r="U32">
        <v>2023</v>
      </c>
      <c r="V32" t="s">
        <v>171</v>
      </c>
      <c r="W32" t="s">
        <v>251</v>
      </c>
      <c r="X32" t="s">
        <v>252</v>
      </c>
    </row>
    <row r="33" spans="1:24" x14ac:dyDescent="0.25">
      <c r="A33" t="s">
        <v>253</v>
      </c>
      <c r="B33" t="s">
        <v>254</v>
      </c>
      <c r="C33" t="s">
        <v>242</v>
      </c>
      <c r="D33" t="s">
        <v>27</v>
      </c>
      <c r="E33" t="s">
        <v>223</v>
      </c>
      <c r="F33" t="s">
        <v>255</v>
      </c>
      <c r="G33" t="s">
        <v>43</v>
      </c>
      <c r="H33">
        <v>310.41000000000003</v>
      </c>
      <c r="I33">
        <v>747.33</v>
      </c>
      <c r="J33">
        <v>140.80000000000001</v>
      </c>
      <c r="K33">
        <v>2.06</v>
      </c>
      <c r="L33">
        <v>0.69599999999999995</v>
      </c>
      <c r="M33" t="s">
        <v>135</v>
      </c>
      <c r="N33" t="s">
        <v>237</v>
      </c>
      <c r="O33">
        <v>35</v>
      </c>
      <c r="P33">
        <v>665</v>
      </c>
      <c r="Q33">
        <v>175</v>
      </c>
      <c r="R33" t="s">
        <v>58</v>
      </c>
      <c r="S33" t="s">
        <v>47</v>
      </c>
      <c r="T33">
        <v>12</v>
      </c>
      <c r="U33">
        <v>2026</v>
      </c>
      <c r="V33" t="s">
        <v>48</v>
      </c>
      <c r="W33" t="s">
        <v>256</v>
      </c>
      <c r="X33" t="s">
        <v>257</v>
      </c>
    </row>
    <row r="34" spans="1:24" x14ac:dyDescent="0.25">
      <c r="A34" t="s">
        <v>258</v>
      </c>
      <c r="B34" t="s">
        <v>259</v>
      </c>
      <c r="C34" t="s">
        <v>111</v>
      </c>
      <c r="D34" t="s">
        <v>27</v>
      </c>
      <c r="E34" t="s">
        <v>260</v>
      </c>
      <c r="F34" t="s">
        <v>261</v>
      </c>
      <c r="G34" t="s">
        <v>30</v>
      </c>
      <c r="H34">
        <v>81.03</v>
      </c>
      <c r="I34">
        <v>165.45</v>
      </c>
      <c r="J34">
        <v>104.2</v>
      </c>
      <c r="K34">
        <v>0.14000000000000001</v>
      </c>
      <c r="L34">
        <v>8.5999999999999993E-2</v>
      </c>
      <c r="M34" t="s">
        <v>135</v>
      </c>
      <c r="N34" t="s">
        <v>212</v>
      </c>
      <c r="O34">
        <v>8</v>
      </c>
      <c r="P34">
        <v>120</v>
      </c>
      <c r="Q34">
        <v>40</v>
      </c>
      <c r="R34" t="s">
        <v>33</v>
      </c>
      <c r="S34" t="s">
        <v>47</v>
      </c>
      <c r="T34">
        <v>48</v>
      </c>
      <c r="U34">
        <v>2022</v>
      </c>
      <c r="V34" t="s">
        <v>48</v>
      </c>
      <c r="W34" t="s">
        <v>262</v>
      </c>
      <c r="X34" t="s">
        <v>263</v>
      </c>
    </row>
    <row r="35" spans="1:24" x14ac:dyDescent="0.25">
      <c r="A35" t="s">
        <v>264</v>
      </c>
      <c r="B35" t="s">
        <v>265</v>
      </c>
      <c r="C35" t="s">
        <v>167</v>
      </c>
      <c r="D35" t="s">
        <v>27</v>
      </c>
      <c r="E35" t="s">
        <v>41</v>
      </c>
      <c r="F35" t="s">
        <v>266</v>
      </c>
      <c r="G35" t="s">
        <v>30</v>
      </c>
      <c r="H35">
        <v>433.27</v>
      </c>
      <c r="I35">
        <v>987.83</v>
      </c>
      <c r="J35">
        <v>128</v>
      </c>
      <c r="K35">
        <v>0.39</v>
      </c>
      <c r="L35">
        <v>0.23599999999999999</v>
      </c>
      <c r="M35" t="s">
        <v>81</v>
      </c>
      <c r="N35" t="s">
        <v>225</v>
      </c>
      <c r="O35">
        <v>29</v>
      </c>
      <c r="P35">
        <v>406</v>
      </c>
      <c r="Q35">
        <v>116</v>
      </c>
      <c r="R35" t="s">
        <v>33</v>
      </c>
      <c r="S35" t="s">
        <v>47</v>
      </c>
      <c r="T35">
        <v>48</v>
      </c>
      <c r="U35">
        <v>2023</v>
      </c>
      <c r="V35" t="s">
        <v>171</v>
      </c>
      <c r="W35" t="s">
        <v>267</v>
      </c>
      <c r="X35" t="s">
        <v>268</v>
      </c>
    </row>
    <row r="36" spans="1:24" x14ac:dyDescent="0.25">
      <c r="A36" t="s">
        <v>269</v>
      </c>
      <c r="B36" t="s">
        <v>270</v>
      </c>
      <c r="C36" t="s">
        <v>97</v>
      </c>
      <c r="D36" t="s">
        <v>27</v>
      </c>
      <c r="E36" t="s">
        <v>260</v>
      </c>
      <c r="F36" t="s">
        <v>271</v>
      </c>
      <c r="G36" t="s">
        <v>30</v>
      </c>
      <c r="H36">
        <v>446.14</v>
      </c>
      <c r="I36">
        <v>942.04</v>
      </c>
      <c r="J36">
        <v>111.2</v>
      </c>
      <c r="K36">
        <v>1.04</v>
      </c>
      <c r="L36">
        <v>0.438</v>
      </c>
      <c r="M36" t="s">
        <v>100</v>
      </c>
      <c r="N36" t="s">
        <v>106</v>
      </c>
      <c r="O36">
        <v>35</v>
      </c>
      <c r="P36">
        <v>490</v>
      </c>
      <c r="Q36">
        <v>140</v>
      </c>
      <c r="R36" t="s">
        <v>33</v>
      </c>
      <c r="S36" t="s">
        <v>34</v>
      </c>
      <c r="T36">
        <v>24</v>
      </c>
      <c r="U36">
        <v>2026</v>
      </c>
      <c r="V36" t="s">
        <v>122</v>
      </c>
      <c r="W36" t="s">
        <v>272</v>
      </c>
      <c r="X36" t="s">
        <v>273</v>
      </c>
    </row>
    <row r="37" spans="1:24" x14ac:dyDescent="0.25">
      <c r="A37" t="s">
        <v>274</v>
      </c>
      <c r="B37" t="s">
        <v>275</v>
      </c>
      <c r="C37" t="s">
        <v>71</v>
      </c>
      <c r="D37" t="s">
        <v>27</v>
      </c>
      <c r="E37" t="s">
        <v>223</v>
      </c>
      <c r="F37" t="s">
        <v>276</v>
      </c>
      <c r="G37" t="s">
        <v>30</v>
      </c>
      <c r="H37">
        <v>149.72</v>
      </c>
      <c r="I37">
        <v>314.31</v>
      </c>
      <c r="J37">
        <v>109.9</v>
      </c>
      <c r="K37">
        <v>1.1399999999999999</v>
      </c>
      <c r="L37">
        <v>0.58499999999999996</v>
      </c>
      <c r="M37" t="s">
        <v>56</v>
      </c>
      <c r="N37" t="s">
        <v>121</v>
      </c>
      <c r="O37">
        <v>22</v>
      </c>
      <c r="P37">
        <v>418</v>
      </c>
      <c r="Q37">
        <v>110</v>
      </c>
      <c r="R37" t="s">
        <v>33</v>
      </c>
      <c r="S37" t="s">
        <v>47</v>
      </c>
      <c r="T37">
        <v>36</v>
      </c>
      <c r="U37">
        <v>2026</v>
      </c>
      <c r="V37" t="s">
        <v>122</v>
      </c>
      <c r="W37" t="s">
        <v>277</v>
      </c>
      <c r="X37" t="s">
        <v>278</v>
      </c>
    </row>
    <row r="38" spans="1:24" x14ac:dyDescent="0.25">
      <c r="A38" t="s">
        <v>279</v>
      </c>
      <c r="B38" t="s">
        <v>280</v>
      </c>
      <c r="C38" t="s">
        <v>141</v>
      </c>
      <c r="D38" t="s">
        <v>27</v>
      </c>
      <c r="E38" t="s">
        <v>119</v>
      </c>
      <c r="F38" t="s">
        <v>281</v>
      </c>
      <c r="G38" t="s">
        <v>99</v>
      </c>
      <c r="H38">
        <v>192</v>
      </c>
      <c r="I38">
        <v>415.82</v>
      </c>
      <c r="J38">
        <v>116.6</v>
      </c>
      <c r="K38">
        <v>3.33</v>
      </c>
      <c r="L38">
        <v>1.4590000000000001</v>
      </c>
      <c r="M38" t="s">
        <v>143</v>
      </c>
      <c r="N38" t="s">
        <v>128</v>
      </c>
      <c r="O38">
        <v>11</v>
      </c>
      <c r="P38">
        <v>187</v>
      </c>
      <c r="Q38">
        <v>55</v>
      </c>
      <c r="R38" t="s">
        <v>58</v>
      </c>
      <c r="S38" t="s">
        <v>34</v>
      </c>
      <c r="T38">
        <v>36</v>
      </c>
      <c r="U38">
        <v>2021</v>
      </c>
      <c r="V38" t="s">
        <v>35</v>
      </c>
      <c r="W38" t="s">
        <v>282</v>
      </c>
      <c r="X38" t="s">
        <v>283</v>
      </c>
    </row>
    <row r="39" spans="1:24" x14ac:dyDescent="0.25">
      <c r="A39" t="s">
        <v>284</v>
      </c>
      <c r="B39" t="s">
        <v>285</v>
      </c>
      <c r="C39" t="s">
        <v>242</v>
      </c>
      <c r="D39" t="s">
        <v>27</v>
      </c>
      <c r="E39" t="s">
        <v>260</v>
      </c>
      <c r="F39" t="s">
        <v>286</v>
      </c>
      <c r="G39" t="s">
        <v>43</v>
      </c>
      <c r="H39">
        <v>368.61</v>
      </c>
      <c r="I39">
        <v>502.99</v>
      </c>
      <c r="J39">
        <v>36.5</v>
      </c>
      <c r="K39">
        <v>0.25</v>
      </c>
      <c r="L39">
        <v>0.155</v>
      </c>
      <c r="M39" t="s">
        <v>100</v>
      </c>
      <c r="N39" t="s">
        <v>287</v>
      </c>
      <c r="O39">
        <v>14</v>
      </c>
      <c r="P39">
        <v>280</v>
      </c>
      <c r="Q39">
        <v>56</v>
      </c>
      <c r="R39" t="s">
        <v>58</v>
      </c>
      <c r="S39" t="s">
        <v>47</v>
      </c>
      <c r="T39">
        <v>12</v>
      </c>
      <c r="U39">
        <v>2025</v>
      </c>
      <c r="V39" t="s">
        <v>48</v>
      </c>
      <c r="W39" t="s">
        <v>288</v>
      </c>
      <c r="X39" t="s">
        <v>289</v>
      </c>
    </row>
    <row r="40" spans="1:24" x14ac:dyDescent="0.25">
      <c r="A40" t="s">
        <v>290</v>
      </c>
      <c r="B40" t="s">
        <v>291</v>
      </c>
      <c r="C40" t="s">
        <v>64</v>
      </c>
      <c r="D40" t="s">
        <v>27</v>
      </c>
      <c r="E40" t="s">
        <v>41</v>
      </c>
      <c r="F40" t="s">
        <v>292</v>
      </c>
      <c r="G40" t="s">
        <v>43</v>
      </c>
      <c r="H40">
        <v>163.62</v>
      </c>
      <c r="I40">
        <v>379.64</v>
      </c>
      <c r="J40">
        <v>132</v>
      </c>
      <c r="K40">
        <v>0.49</v>
      </c>
      <c r="L40">
        <v>0.30099999999999999</v>
      </c>
      <c r="M40" t="s">
        <v>31</v>
      </c>
      <c r="N40" t="s">
        <v>237</v>
      </c>
      <c r="O40">
        <v>20</v>
      </c>
      <c r="P40">
        <v>160</v>
      </c>
      <c r="Q40">
        <v>60</v>
      </c>
      <c r="R40" t="s">
        <v>33</v>
      </c>
      <c r="S40" t="s">
        <v>47</v>
      </c>
      <c r="T40">
        <v>60</v>
      </c>
      <c r="U40">
        <v>2023</v>
      </c>
      <c r="V40" t="s">
        <v>84</v>
      </c>
      <c r="W40" t="s">
        <v>293</v>
      </c>
      <c r="X40" t="s">
        <v>294</v>
      </c>
    </row>
    <row r="41" spans="1:24" x14ac:dyDescent="0.25">
      <c r="A41" t="s">
        <v>295</v>
      </c>
      <c r="B41" t="s">
        <v>296</v>
      </c>
      <c r="C41" t="s">
        <v>111</v>
      </c>
      <c r="D41" t="s">
        <v>27</v>
      </c>
      <c r="E41" t="s">
        <v>168</v>
      </c>
      <c r="F41" t="s">
        <v>297</v>
      </c>
      <c r="G41" t="s">
        <v>99</v>
      </c>
      <c r="H41">
        <v>399.06</v>
      </c>
      <c r="I41">
        <v>676.2</v>
      </c>
      <c r="J41">
        <v>69.400000000000006</v>
      </c>
      <c r="K41">
        <v>3.19</v>
      </c>
      <c r="L41">
        <v>1.948</v>
      </c>
      <c r="M41" t="s">
        <v>44</v>
      </c>
      <c r="N41" t="s">
        <v>32</v>
      </c>
      <c r="O41">
        <v>18</v>
      </c>
      <c r="P41">
        <v>306</v>
      </c>
      <c r="Q41">
        <v>90</v>
      </c>
      <c r="R41" t="s">
        <v>33</v>
      </c>
      <c r="S41" t="s">
        <v>47</v>
      </c>
      <c r="T41">
        <v>24</v>
      </c>
      <c r="U41">
        <v>2026</v>
      </c>
      <c r="V41" t="s">
        <v>35</v>
      </c>
      <c r="W41" t="s">
        <v>298</v>
      </c>
      <c r="X41" t="s">
        <v>299</v>
      </c>
    </row>
    <row r="42" spans="1:24" x14ac:dyDescent="0.25">
      <c r="A42" t="s">
        <v>300</v>
      </c>
      <c r="B42" t="s">
        <v>301</v>
      </c>
      <c r="C42" t="s">
        <v>242</v>
      </c>
      <c r="D42" t="s">
        <v>27</v>
      </c>
      <c r="E42" t="s">
        <v>205</v>
      </c>
      <c r="F42" t="s">
        <v>302</v>
      </c>
      <c r="G42" t="s">
        <v>99</v>
      </c>
      <c r="H42">
        <v>51.2</v>
      </c>
      <c r="I42">
        <v>91.43</v>
      </c>
      <c r="J42">
        <v>78.599999999999994</v>
      </c>
      <c r="K42">
        <v>2.12</v>
      </c>
      <c r="L42">
        <v>0.93600000000000005</v>
      </c>
      <c r="M42" t="s">
        <v>44</v>
      </c>
      <c r="N42" t="s">
        <v>303</v>
      </c>
      <c r="O42">
        <v>12</v>
      </c>
      <c r="P42">
        <v>180</v>
      </c>
      <c r="Q42">
        <v>36</v>
      </c>
      <c r="R42" t="s">
        <v>33</v>
      </c>
      <c r="S42" t="s">
        <v>83</v>
      </c>
      <c r="T42">
        <v>24</v>
      </c>
      <c r="U42">
        <v>2023</v>
      </c>
      <c r="V42" t="s">
        <v>35</v>
      </c>
      <c r="W42" t="s">
        <v>304</v>
      </c>
      <c r="X42" t="s">
        <v>305</v>
      </c>
    </row>
    <row r="43" spans="1:24" x14ac:dyDescent="0.25">
      <c r="A43" t="s">
        <v>306</v>
      </c>
      <c r="B43" t="s">
        <v>307</v>
      </c>
      <c r="C43" t="s">
        <v>141</v>
      </c>
      <c r="D43" t="s">
        <v>27</v>
      </c>
      <c r="E43" t="s">
        <v>133</v>
      </c>
      <c r="F43" t="s">
        <v>308</v>
      </c>
      <c r="G43" t="s">
        <v>30</v>
      </c>
      <c r="H43">
        <v>421.98</v>
      </c>
      <c r="I43">
        <v>545.54999999999995</v>
      </c>
      <c r="J43">
        <v>29.3</v>
      </c>
      <c r="K43">
        <v>0.66</v>
      </c>
      <c r="L43">
        <v>0.502</v>
      </c>
      <c r="M43" t="s">
        <v>44</v>
      </c>
      <c r="N43" t="s">
        <v>66</v>
      </c>
      <c r="O43">
        <v>28</v>
      </c>
      <c r="P43">
        <v>420</v>
      </c>
      <c r="Q43">
        <v>84</v>
      </c>
      <c r="R43" t="s">
        <v>46</v>
      </c>
      <c r="S43" t="s">
        <v>47</v>
      </c>
      <c r="T43">
        <v>36</v>
      </c>
      <c r="U43">
        <v>2026</v>
      </c>
      <c r="V43" t="s">
        <v>59</v>
      </c>
      <c r="W43" t="s">
        <v>309</v>
      </c>
      <c r="X43" t="s">
        <v>310</v>
      </c>
    </row>
    <row r="44" spans="1:24" x14ac:dyDescent="0.25">
      <c r="A44" t="s">
        <v>311</v>
      </c>
      <c r="B44" t="s">
        <v>312</v>
      </c>
      <c r="C44" t="s">
        <v>111</v>
      </c>
      <c r="D44" t="s">
        <v>27</v>
      </c>
      <c r="E44" t="s">
        <v>133</v>
      </c>
      <c r="F44" t="s">
        <v>313</v>
      </c>
      <c r="G44" t="s">
        <v>80</v>
      </c>
      <c r="H44">
        <v>86.2</v>
      </c>
      <c r="I44">
        <v>107.91</v>
      </c>
      <c r="J44">
        <v>25.2</v>
      </c>
      <c r="K44">
        <v>1.57</v>
      </c>
      <c r="L44">
        <v>0.65100000000000002</v>
      </c>
      <c r="M44" t="s">
        <v>56</v>
      </c>
      <c r="N44" t="s">
        <v>66</v>
      </c>
      <c r="O44">
        <v>13</v>
      </c>
      <c r="P44">
        <v>234</v>
      </c>
      <c r="Q44">
        <v>65</v>
      </c>
      <c r="R44" t="s">
        <v>33</v>
      </c>
      <c r="S44" t="s">
        <v>34</v>
      </c>
      <c r="T44">
        <v>12</v>
      </c>
      <c r="U44">
        <v>2026</v>
      </c>
      <c r="V44" t="s">
        <v>48</v>
      </c>
      <c r="W44" t="s">
        <v>314</v>
      </c>
      <c r="X44" t="s">
        <v>315</v>
      </c>
    </row>
    <row r="45" spans="1:24" x14ac:dyDescent="0.25">
      <c r="A45" t="s">
        <v>316</v>
      </c>
      <c r="B45" t="s">
        <v>317</v>
      </c>
      <c r="C45" t="s">
        <v>242</v>
      </c>
      <c r="D45" t="s">
        <v>27</v>
      </c>
      <c r="E45" t="s">
        <v>223</v>
      </c>
      <c r="F45" t="s">
        <v>318</v>
      </c>
      <c r="G45" t="s">
        <v>80</v>
      </c>
      <c r="H45">
        <v>462.23</v>
      </c>
      <c r="I45">
        <v>663.73</v>
      </c>
      <c r="J45">
        <v>43.6</v>
      </c>
      <c r="K45">
        <v>2.09</v>
      </c>
      <c r="L45">
        <v>0.97499999999999998</v>
      </c>
      <c r="M45" t="s">
        <v>81</v>
      </c>
      <c r="N45" t="s">
        <v>82</v>
      </c>
      <c r="O45">
        <v>20</v>
      </c>
      <c r="P45">
        <v>360</v>
      </c>
      <c r="Q45">
        <v>60</v>
      </c>
      <c r="R45" t="s">
        <v>33</v>
      </c>
      <c r="S45" t="s">
        <v>47</v>
      </c>
      <c r="T45">
        <v>36</v>
      </c>
      <c r="U45">
        <v>2024</v>
      </c>
      <c r="V45" t="s">
        <v>122</v>
      </c>
      <c r="W45" t="s">
        <v>319</v>
      </c>
      <c r="X45" t="s">
        <v>320</v>
      </c>
    </row>
    <row r="46" spans="1:24" x14ac:dyDescent="0.25">
      <c r="A46" t="s">
        <v>321</v>
      </c>
      <c r="B46" t="s">
        <v>322</v>
      </c>
      <c r="C46" t="s">
        <v>111</v>
      </c>
      <c r="D46" t="s">
        <v>27</v>
      </c>
      <c r="E46" t="s">
        <v>72</v>
      </c>
      <c r="F46" t="s">
        <v>323</v>
      </c>
      <c r="G46" t="s">
        <v>80</v>
      </c>
      <c r="H46">
        <v>89.63</v>
      </c>
      <c r="I46">
        <v>136.97</v>
      </c>
      <c r="J46">
        <v>52.8</v>
      </c>
      <c r="K46">
        <v>0.49</v>
      </c>
      <c r="L46">
        <v>0.36</v>
      </c>
      <c r="M46" t="s">
        <v>135</v>
      </c>
      <c r="N46" t="s">
        <v>324</v>
      </c>
      <c r="O46">
        <v>31</v>
      </c>
      <c r="P46">
        <v>465</v>
      </c>
      <c r="Q46">
        <v>124</v>
      </c>
      <c r="R46" t="s">
        <v>33</v>
      </c>
      <c r="S46" t="s">
        <v>47</v>
      </c>
      <c r="T46">
        <v>24</v>
      </c>
      <c r="U46">
        <v>2025</v>
      </c>
      <c r="V46" t="s">
        <v>149</v>
      </c>
      <c r="W46" t="s">
        <v>325</v>
      </c>
      <c r="X46" t="s">
        <v>326</v>
      </c>
    </row>
    <row r="47" spans="1:24" x14ac:dyDescent="0.25">
      <c r="A47" t="s">
        <v>327</v>
      </c>
      <c r="B47" t="s">
        <v>328</v>
      </c>
      <c r="C47" t="s">
        <v>111</v>
      </c>
      <c r="D47" t="s">
        <v>27</v>
      </c>
      <c r="E47" t="s">
        <v>119</v>
      </c>
      <c r="F47" t="s">
        <v>329</v>
      </c>
      <c r="G47" t="s">
        <v>30</v>
      </c>
      <c r="H47">
        <v>247.15</v>
      </c>
      <c r="I47">
        <v>520.91999999999996</v>
      </c>
      <c r="J47">
        <v>110.8</v>
      </c>
      <c r="K47">
        <v>0.51</v>
      </c>
      <c r="L47">
        <v>0.29399999999999998</v>
      </c>
      <c r="M47" t="s">
        <v>114</v>
      </c>
      <c r="N47" t="s">
        <v>170</v>
      </c>
      <c r="O47">
        <v>14</v>
      </c>
      <c r="P47">
        <v>126</v>
      </c>
      <c r="Q47">
        <v>42</v>
      </c>
      <c r="R47" t="s">
        <v>33</v>
      </c>
      <c r="S47" t="s">
        <v>47</v>
      </c>
      <c r="T47">
        <v>48</v>
      </c>
      <c r="U47">
        <v>2021</v>
      </c>
      <c r="V47" t="s">
        <v>171</v>
      </c>
      <c r="W47" t="s">
        <v>330</v>
      </c>
      <c r="X47" t="s">
        <v>331</v>
      </c>
    </row>
    <row r="48" spans="1:24" x14ac:dyDescent="0.25">
      <c r="A48" t="s">
        <v>332</v>
      </c>
      <c r="B48" t="s">
        <v>333</v>
      </c>
      <c r="C48" t="s">
        <v>97</v>
      </c>
      <c r="D48" t="s">
        <v>27</v>
      </c>
      <c r="E48" t="s">
        <v>133</v>
      </c>
      <c r="F48" t="s">
        <v>334</v>
      </c>
      <c r="G48" t="s">
        <v>80</v>
      </c>
      <c r="H48">
        <v>491.11</v>
      </c>
      <c r="I48">
        <v>744.94</v>
      </c>
      <c r="J48">
        <v>51.7</v>
      </c>
      <c r="K48">
        <v>1.97</v>
      </c>
      <c r="L48">
        <v>1.3260000000000001</v>
      </c>
      <c r="M48" t="s">
        <v>135</v>
      </c>
      <c r="N48" t="s">
        <v>128</v>
      </c>
      <c r="O48">
        <v>34</v>
      </c>
      <c r="P48">
        <v>340</v>
      </c>
      <c r="Q48">
        <v>102</v>
      </c>
      <c r="R48" t="s">
        <v>33</v>
      </c>
      <c r="S48" t="s">
        <v>47</v>
      </c>
      <c r="T48">
        <v>48</v>
      </c>
      <c r="U48">
        <v>2023</v>
      </c>
      <c r="V48" t="s">
        <v>48</v>
      </c>
      <c r="W48" t="s">
        <v>335</v>
      </c>
      <c r="X48" t="s">
        <v>336</v>
      </c>
    </row>
    <row r="49" spans="1:24" x14ac:dyDescent="0.25">
      <c r="A49" t="s">
        <v>337</v>
      </c>
      <c r="B49" t="s">
        <v>338</v>
      </c>
      <c r="C49" t="s">
        <v>97</v>
      </c>
      <c r="D49" t="s">
        <v>27</v>
      </c>
      <c r="E49" t="s">
        <v>119</v>
      </c>
      <c r="F49" t="s">
        <v>339</v>
      </c>
      <c r="G49" t="s">
        <v>99</v>
      </c>
      <c r="H49">
        <v>250.95</v>
      </c>
      <c r="I49">
        <v>459.15</v>
      </c>
      <c r="J49">
        <v>83</v>
      </c>
      <c r="K49">
        <v>1.23</v>
      </c>
      <c r="L49">
        <v>0.48499999999999999</v>
      </c>
      <c r="M49" t="s">
        <v>135</v>
      </c>
      <c r="N49" t="s">
        <v>340</v>
      </c>
      <c r="O49">
        <v>34</v>
      </c>
      <c r="P49">
        <v>646</v>
      </c>
      <c r="Q49">
        <v>102</v>
      </c>
      <c r="R49" t="s">
        <v>33</v>
      </c>
      <c r="S49" t="s">
        <v>34</v>
      </c>
      <c r="T49">
        <v>48</v>
      </c>
      <c r="U49">
        <v>2022</v>
      </c>
      <c r="V49" t="s">
        <v>59</v>
      </c>
      <c r="W49" t="s">
        <v>341</v>
      </c>
      <c r="X49" t="s">
        <v>342</v>
      </c>
    </row>
    <row r="50" spans="1:24" x14ac:dyDescent="0.25">
      <c r="A50" t="s">
        <v>343</v>
      </c>
      <c r="B50" t="s">
        <v>344</v>
      </c>
      <c r="C50" t="s">
        <v>53</v>
      </c>
      <c r="D50" t="s">
        <v>27</v>
      </c>
      <c r="E50" t="s">
        <v>54</v>
      </c>
      <c r="F50" t="s">
        <v>345</v>
      </c>
      <c r="G50" t="s">
        <v>80</v>
      </c>
      <c r="H50">
        <v>494.79</v>
      </c>
      <c r="I50">
        <v>1103.44</v>
      </c>
      <c r="J50">
        <v>123</v>
      </c>
      <c r="K50">
        <v>2.3199999999999998</v>
      </c>
      <c r="L50">
        <v>1.2789999999999999</v>
      </c>
      <c r="M50" t="s">
        <v>143</v>
      </c>
      <c r="N50" t="s">
        <v>212</v>
      </c>
      <c r="O50">
        <v>35</v>
      </c>
      <c r="P50">
        <v>595</v>
      </c>
      <c r="Q50">
        <v>140</v>
      </c>
      <c r="R50" t="s">
        <v>33</v>
      </c>
      <c r="S50" t="s">
        <v>47</v>
      </c>
      <c r="T50">
        <v>48</v>
      </c>
      <c r="U50">
        <v>2021</v>
      </c>
      <c r="V50" t="s">
        <v>122</v>
      </c>
      <c r="W50" t="s">
        <v>346</v>
      </c>
      <c r="X50" t="s">
        <v>347</v>
      </c>
    </row>
    <row r="51" spans="1:24" x14ac:dyDescent="0.25">
      <c r="A51" t="s">
        <v>348</v>
      </c>
      <c r="B51" t="s">
        <v>349</v>
      </c>
      <c r="C51" t="s">
        <v>167</v>
      </c>
      <c r="D51" t="s">
        <v>27</v>
      </c>
      <c r="E51" t="s">
        <v>182</v>
      </c>
      <c r="F51" t="s">
        <v>350</v>
      </c>
      <c r="G51" t="s">
        <v>43</v>
      </c>
      <c r="H51">
        <v>261.27</v>
      </c>
      <c r="I51">
        <v>642.71</v>
      </c>
      <c r="J51">
        <v>146</v>
      </c>
      <c r="K51">
        <v>1.25</v>
      </c>
      <c r="L51">
        <v>0.79600000000000004</v>
      </c>
      <c r="M51" t="s">
        <v>135</v>
      </c>
      <c r="N51" t="s">
        <v>82</v>
      </c>
      <c r="O51">
        <v>32</v>
      </c>
      <c r="P51">
        <v>512</v>
      </c>
      <c r="Q51">
        <v>128</v>
      </c>
      <c r="R51" t="s">
        <v>33</v>
      </c>
      <c r="S51" t="s">
        <v>47</v>
      </c>
      <c r="T51">
        <v>48</v>
      </c>
      <c r="U51">
        <v>2025</v>
      </c>
      <c r="V51" t="s">
        <v>92</v>
      </c>
      <c r="W51" t="s">
        <v>351</v>
      </c>
      <c r="X51" t="s">
        <v>352</v>
      </c>
    </row>
    <row r="52" spans="1:24" x14ac:dyDescent="0.25">
      <c r="A52" t="s">
        <v>353</v>
      </c>
      <c r="B52" t="s">
        <v>354</v>
      </c>
      <c r="C52" t="s">
        <v>97</v>
      </c>
      <c r="D52" t="s">
        <v>27</v>
      </c>
      <c r="E52" t="s">
        <v>205</v>
      </c>
      <c r="F52" t="s">
        <v>355</v>
      </c>
      <c r="G52" t="s">
        <v>43</v>
      </c>
      <c r="H52">
        <v>245.29</v>
      </c>
      <c r="I52">
        <v>325.74</v>
      </c>
      <c r="J52">
        <v>32.799999999999997</v>
      </c>
      <c r="K52">
        <v>2.25</v>
      </c>
      <c r="L52">
        <v>1.6910000000000001</v>
      </c>
      <c r="M52" t="s">
        <v>31</v>
      </c>
      <c r="N52" t="s">
        <v>218</v>
      </c>
      <c r="O52">
        <v>10</v>
      </c>
      <c r="P52">
        <v>80</v>
      </c>
      <c r="Q52">
        <v>40</v>
      </c>
      <c r="R52" t="s">
        <v>58</v>
      </c>
      <c r="S52" t="s">
        <v>47</v>
      </c>
      <c r="T52">
        <v>36</v>
      </c>
      <c r="U52">
        <v>2023</v>
      </c>
      <c r="V52" t="s">
        <v>149</v>
      </c>
      <c r="W52" t="s">
        <v>356</v>
      </c>
      <c r="X52" t="s">
        <v>357</v>
      </c>
    </row>
    <row r="53" spans="1:24" x14ac:dyDescent="0.25">
      <c r="A53" t="s">
        <v>358</v>
      </c>
      <c r="B53" t="s">
        <v>359</v>
      </c>
      <c r="C53" t="s">
        <v>111</v>
      </c>
      <c r="D53" t="s">
        <v>27</v>
      </c>
      <c r="E53" t="s">
        <v>205</v>
      </c>
      <c r="F53" t="s">
        <v>360</v>
      </c>
      <c r="G53" t="s">
        <v>99</v>
      </c>
      <c r="H53">
        <v>126.49</v>
      </c>
      <c r="I53">
        <v>164.77</v>
      </c>
      <c r="J53">
        <v>30.3</v>
      </c>
      <c r="K53">
        <v>3.06</v>
      </c>
      <c r="L53">
        <v>1.2729999999999999</v>
      </c>
      <c r="M53" t="s">
        <v>114</v>
      </c>
      <c r="N53" t="s">
        <v>212</v>
      </c>
      <c r="O53">
        <v>34</v>
      </c>
      <c r="P53">
        <v>612</v>
      </c>
      <c r="Q53">
        <v>136</v>
      </c>
      <c r="R53" t="s">
        <v>33</v>
      </c>
      <c r="S53" t="s">
        <v>47</v>
      </c>
      <c r="T53">
        <v>36</v>
      </c>
      <c r="U53">
        <v>2026</v>
      </c>
      <c r="V53" t="s">
        <v>92</v>
      </c>
      <c r="W53" t="s">
        <v>361</v>
      </c>
      <c r="X53" t="s">
        <v>362</v>
      </c>
    </row>
    <row r="54" spans="1:24" x14ac:dyDescent="0.25">
      <c r="A54" t="s">
        <v>363</v>
      </c>
      <c r="B54" t="s">
        <v>364</v>
      </c>
      <c r="C54" t="s">
        <v>53</v>
      </c>
      <c r="D54" t="s">
        <v>27</v>
      </c>
      <c r="E54" t="s">
        <v>168</v>
      </c>
      <c r="F54" t="s">
        <v>365</v>
      </c>
      <c r="G54" t="s">
        <v>30</v>
      </c>
      <c r="H54">
        <v>337.52</v>
      </c>
      <c r="I54">
        <v>591.20000000000005</v>
      </c>
      <c r="J54">
        <v>75.2</v>
      </c>
      <c r="K54">
        <v>0.95</v>
      </c>
      <c r="L54">
        <v>0.33600000000000002</v>
      </c>
      <c r="M54" t="s">
        <v>44</v>
      </c>
      <c r="N54" t="s">
        <v>128</v>
      </c>
      <c r="O54">
        <v>17</v>
      </c>
      <c r="P54">
        <v>238</v>
      </c>
      <c r="Q54">
        <v>85</v>
      </c>
      <c r="R54" t="s">
        <v>46</v>
      </c>
      <c r="S54" t="s">
        <v>47</v>
      </c>
      <c r="T54">
        <v>60</v>
      </c>
      <c r="U54">
        <v>2023</v>
      </c>
      <c r="V54" t="s">
        <v>48</v>
      </c>
      <c r="W54" t="s">
        <v>366</v>
      </c>
      <c r="X54" t="s">
        <v>367</v>
      </c>
    </row>
    <row r="55" spans="1:24" x14ac:dyDescent="0.25">
      <c r="A55" t="s">
        <v>368</v>
      </c>
      <c r="B55" t="s">
        <v>369</v>
      </c>
      <c r="C55" t="s">
        <v>40</v>
      </c>
      <c r="D55" t="s">
        <v>27</v>
      </c>
      <c r="E55" t="s">
        <v>154</v>
      </c>
      <c r="F55" t="s">
        <v>370</v>
      </c>
      <c r="G55" t="s">
        <v>80</v>
      </c>
      <c r="H55">
        <v>424.78</v>
      </c>
      <c r="I55">
        <v>1008.35</v>
      </c>
      <c r="J55">
        <v>137.4</v>
      </c>
      <c r="K55">
        <v>2.74</v>
      </c>
      <c r="L55">
        <v>1.694</v>
      </c>
      <c r="M55" t="s">
        <v>114</v>
      </c>
      <c r="N55" t="s">
        <v>66</v>
      </c>
      <c r="O55">
        <v>30</v>
      </c>
      <c r="P55">
        <v>510</v>
      </c>
      <c r="Q55">
        <v>120</v>
      </c>
      <c r="R55" t="s">
        <v>33</v>
      </c>
      <c r="S55" t="s">
        <v>83</v>
      </c>
      <c r="T55">
        <v>24</v>
      </c>
      <c r="U55">
        <v>2026</v>
      </c>
      <c r="V55" t="s">
        <v>84</v>
      </c>
      <c r="W55" t="s">
        <v>371</v>
      </c>
      <c r="X55" t="s">
        <v>372</v>
      </c>
    </row>
    <row r="56" spans="1:24" x14ac:dyDescent="0.25">
      <c r="A56" t="s">
        <v>373</v>
      </c>
      <c r="B56" t="s">
        <v>374</v>
      </c>
      <c r="C56" t="s">
        <v>53</v>
      </c>
      <c r="D56" t="s">
        <v>27</v>
      </c>
      <c r="E56" t="s">
        <v>119</v>
      </c>
      <c r="F56" t="s">
        <v>375</v>
      </c>
      <c r="G56" t="s">
        <v>30</v>
      </c>
      <c r="H56">
        <v>379.56</v>
      </c>
      <c r="I56">
        <v>499.95</v>
      </c>
      <c r="J56">
        <v>31.7</v>
      </c>
      <c r="K56">
        <v>1.1000000000000001</v>
      </c>
      <c r="L56">
        <v>0.627</v>
      </c>
      <c r="M56" t="s">
        <v>135</v>
      </c>
      <c r="N56" t="s">
        <v>376</v>
      </c>
      <c r="O56">
        <v>11</v>
      </c>
      <c r="P56">
        <v>143</v>
      </c>
      <c r="Q56">
        <v>55</v>
      </c>
      <c r="R56" t="s">
        <v>33</v>
      </c>
      <c r="S56" t="s">
        <v>34</v>
      </c>
      <c r="T56">
        <v>36</v>
      </c>
      <c r="U56">
        <v>2022</v>
      </c>
      <c r="V56" t="s">
        <v>48</v>
      </c>
      <c r="W56" t="s">
        <v>377</v>
      </c>
      <c r="X56" t="s">
        <v>378</v>
      </c>
    </row>
    <row r="57" spans="1:24" x14ac:dyDescent="0.25">
      <c r="A57" t="s">
        <v>379</v>
      </c>
      <c r="B57" t="s">
        <v>380</v>
      </c>
      <c r="C57" t="s">
        <v>97</v>
      </c>
      <c r="D57" t="s">
        <v>27</v>
      </c>
      <c r="E57" t="s">
        <v>223</v>
      </c>
      <c r="F57" t="s">
        <v>381</v>
      </c>
      <c r="G57" t="s">
        <v>43</v>
      </c>
      <c r="H57">
        <v>260.75</v>
      </c>
      <c r="I57">
        <v>338.42</v>
      </c>
      <c r="J57">
        <v>29.8</v>
      </c>
      <c r="K57">
        <v>2.66</v>
      </c>
      <c r="L57">
        <v>1.5389999999999999</v>
      </c>
      <c r="M57" t="s">
        <v>114</v>
      </c>
      <c r="N57" t="s">
        <v>237</v>
      </c>
      <c r="O57">
        <v>35</v>
      </c>
      <c r="P57">
        <v>315</v>
      </c>
      <c r="Q57">
        <v>140</v>
      </c>
      <c r="R57" t="s">
        <v>46</v>
      </c>
      <c r="S57" t="s">
        <v>47</v>
      </c>
      <c r="T57">
        <v>36</v>
      </c>
      <c r="U57">
        <v>2025</v>
      </c>
      <c r="V57" t="s">
        <v>84</v>
      </c>
      <c r="W57" t="s">
        <v>382</v>
      </c>
      <c r="X57" t="s">
        <v>383</v>
      </c>
    </row>
    <row r="58" spans="1:24" x14ac:dyDescent="0.25">
      <c r="A58" t="s">
        <v>384</v>
      </c>
      <c r="B58" t="s">
        <v>385</v>
      </c>
      <c r="C58" t="s">
        <v>97</v>
      </c>
      <c r="D58" t="s">
        <v>27</v>
      </c>
      <c r="E58" t="s">
        <v>28</v>
      </c>
      <c r="F58" t="s">
        <v>386</v>
      </c>
      <c r="G58" t="s">
        <v>30</v>
      </c>
      <c r="H58">
        <v>98.76</v>
      </c>
      <c r="I58">
        <v>148.53</v>
      </c>
      <c r="J58">
        <v>50.4</v>
      </c>
      <c r="K58">
        <v>0.19</v>
      </c>
      <c r="L58">
        <v>0.11700000000000001</v>
      </c>
      <c r="M58" t="s">
        <v>56</v>
      </c>
      <c r="N58" t="s">
        <v>387</v>
      </c>
      <c r="O58">
        <v>12</v>
      </c>
      <c r="P58">
        <v>180</v>
      </c>
      <c r="Q58">
        <v>60</v>
      </c>
      <c r="R58" t="s">
        <v>58</v>
      </c>
      <c r="S58" t="s">
        <v>47</v>
      </c>
      <c r="T58">
        <v>48</v>
      </c>
      <c r="U58">
        <v>2021</v>
      </c>
      <c r="V58" t="s">
        <v>171</v>
      </c>
      <c r="W58" t="s">
        <v>388</v>
      </c>
      <c r="X58" t="s">
        <v>389</v>
      </c>
    </row>
    <row r="59" spans="1:24" x14ac:dyDescent="0.25">
      <c r="A59" t="s">
        <v>390</v>
      </c>
      <c r="B59" t="s">
        <v>391</v>
      </c>
      <c r="C59" t="s">
        <v>26</v>
      </c>
      <c r="D59" t="s">
        <v>27</v>
      </c>
      <c r="E59" t="s">
        <v>41</v>
      </c>
      <c r="F59" t="s">
        <v>392</v>
      </c>
      <c r="G59" t="s">
        <v>99</v>
      </c>
      <c r="H59">
        <v>449.27</v>
      </c>
      <c r="I59">
        <v>618.36</v>
      </c>
      <c r="J59">
        <v>37.6</v>
      </c>
      <c r="K59">
        <v>1.64</v>
      </c>
      <c r="L59">
        <v>1.218</v>
      </c>
      <c r="M59" t="s">
        <v>135</v>
      </c>
      <c r="N59" t="s">
        <v>32</v>
      </c>
      <c r="O59">
        <v>28</v>
      </c>
      <c r="P59">
        <v>504</v>
      </c>
      <c r="Q59">
        <v>84</v>
      </c>
      <c r="R59" t="s">
        <v>58</v>
      </c>
      <c r="S59" t="s">
        <v>47</v>
      </c>
      <c r="T59">
        <v>60</v>
      </c>
      <c r="U59">
        <v>2024</v>
      </c>
      <c r="V59" t="s">
        <v>48</v>
      </c>
      <c r="W59" t="s">
        <v>393</v>
      </c>
      <c r="X59" t="s">
        <v>394</v>
      </c>
    </row>
    <row r="60" spans="1:24" x14ac:dyDescent="0.25">
      <c r="A60" t="s">
        <v>395</v>
      </c>
      <c r="B60" t="s">
        <v>396</v>
      </c>
      <c r="C60" t="s">
        <v>141</v>
      </c>
      <c r="D60" t="s">
        <v>27</v>
      </c>
      <c r="E60" t="s">
        <v>260</v>
      </c>
      <c r="F60" t="s">
        <v>397</v>
      </c>
      <c r="G60" t="s">
        <v>80</v>
      </c>
      <c r="H60">
        <v>477.75</v>
      </c>
      <c r="I60">
        <v>1104.5999999999999</v>
      </c>
      <c r="J60">
        <v>131.19999999999999</v>
      </c>
      <c r="K60">
        <v>0.44</v>
      </c>
      <c r="L60">
        <v>0.14499999999999999</v>
      </c>
      <c r="M60" t="s">
        <v>56</v>
      </c>
      <c r="N60" t="s">
        <v>91</v>
      </c>
      <c r="O60">
        <v>33</v>
      </c>
      <c r="P60">
        <v>396</v>
      </c>
      <c r="Q60">
        <v>99</v>
      </c>
      <c r="R60" t="s">
        <v>58</v>
      </c>
      <c r="S60" t="s">
        <v>47</v>
      </c>
      <c r="T60">
        <v>48</v>
      </c>
      <c r="U60">
        <v>2021</v>
      </c>
      <c r="V60" t="s">
        <v>35</v>
      </c>
      <c r="W60" t="s">
        <v>398</v>
      </c>
      <c r="X60" t="s">
        <v>399</v>
      </c>
    </row>
    <row r="61" spans="1:24" x14ac:dyDescent="0.25">
      <c r="A61" t="s">
        <v>400</v>
      </c>
      <c r="B61" t="s">
        <v>401</v>
      </c>
      <c r="C61" t="s">
        <v>64</v>
      </c>
      <c r="D61" t="s">
        <v>27</v>
      </c>
      <c r="E61" t="s">
        <v>223</v>
      </c>
      <c r="F61" t="s">
        <v>402</v>
      </c>
      <c r="G61" t="s">
        <v>99</v>
      </c>
      <c r="H61">
        <v>404.14</v>
      </c>
      <c r="I61">
        <v>592.78</v>
      </c>
      <c r="J61">
        <v>46.7</v>
      </c>
      <c r="K61">
        <v>2.92</v>
      </c>
      <c r="L61">
        <v>1.216</v>
      </c>
      <c r="M61" t="s">
        <v>114</v>
      </c>
      <c r="N61" t="s">
        <v>32</v>
      </c>
      <c r="O61">
        <v>11</v>
      </c>
      <c r="P61">
        <v>220</v>
      </c>
      <c r="Q61">
        <v>33</v>
      </c>
      <c r="R61" t="s">
        <v>46</v>
      </c>
      <c r="S61" t="s">
        <v>34</v>
      </c>
      <c r="T61">
        <v>12</v>
      </c>
      <c r="U61">
        <v>2023</v>
      </c>
      <c r="V61" t="s">
        <v>171</v>
      </c>
      <c r="W61" t="s">
        <v>403</v>
      </c>
      <c r="X61" t="s">
        <v>404</v>
      </c>
    </row>
    <row r="62" spans="1:24" x14ac:dyDescent="0.25">
      <c r="A62" t="s">
        <v>405</v>
      </c>
      <c r="B62" t="s">
        <v>406</v>
      </c>
      <c r="C62" t="s">
        <v>97</v>
      </c>
      <c r="D62" t="s">
        <v>27</v>
      </c>
      <c r="E62" t="s">
        <v>133</v>
      </c>
      <c r="F62" t="s">
        <v>407</v>
      </c>
      <c r="G62" t="s">
        <v>43</v>
      </c>
      <c r="H62">
        <v>347.48</v>
      </c>
      <c r="I62">
        <v>428.62</v>
      </c>
      <c r="J62">
        <v>23.4</v>
      </c>
      <c r="K62">
        <v>0.15</v>
      </c>
      <c r="L62">
        <v>6.5000000000000002E-2</v>
      </c>
      <c r="M62" t="s">
        <v>114</v>
      </c>
      <c r="N62" t="s">
        <v>32</v>
      </c>
      <c r="O62">
        <v>15</v>
      </c>
      <c r="P62">
        <v>150</v>
      </c>
      <c r="Q62">
        <v>75</v>
      </c>
      <c r="R62" t="s">
        <v>33</v>
      </c>
      <c r="S62" t="s">
        <v>47</v>
      </c>
      <c r="T62">
        <v>60</v>
      </c>
      <c r="U62">
        <v>2021</v>
      </c>
      <c r="V62" t="s">
        <v>84</v>
      </c>
      <c r="W62" t="s">
        <v>408</v>
      </c>
      <c r="X62" t="s">
        <v>409</v>
      </c>
    </row>
    <row r="63" spans="1:24" x14ac:dyDescent="0.25">
      <c r="A63" t="s">
        <v>410</v>
      </c>
      <c r="B63" t="s">
        <v>411</v>
      </c>
      <c r="C63" t="s">
        <v>64</v>
      </c>
      <c r="D63" t="s">
        <v>27</v>
      </c>
      <c r="E63" t="s">
        <v>223</v>
      </c>
      <c r="F63" t="s">
        <v>412</v>
      </c>
      <c r="G63" t="s">
        <v>43</v>
      </c>
      <c r="H63">
        <v>253.4</v>
      </c>
      <c r="I63">
        <v>377.06</v>
      </c>
      <c r="J63">
        <v>48.8</v>
      </c>
      <c r="K63">
        <v>2.19</v>
      </c>
      <c r="L63">
        <v>1.75</v>
      </c>
      <c r="M63" t="s">
        <v>44</v>
      </c>
      <c r="N63" t="s">
        <v>340</v>
      </c>
      <c r="O63">
        <v>25</v>
      </c>
      <c r="P63">
        <v>350</v>
      </c>
      <c r="Q63">
        <v>100</v>
      </c>
      <c r="R63" t="s">
        <v>33</v>
      </c>
      <c r="S63" t="s">
        <v>83</v>
      </c>
      <c r="T63">
        <v>12</v>
      </c>
      <c r="U63">
        <v>2024</v>
      </c>
      <c r="V63" t="s">
        <v>122</v>
      </c>
      <c r="W63" t="s">
        <v>413</v>
      </c>
      <c r="X63" t="s">
        <v>414</v>
      </c>
    </row>
    <row r="64" spans="1:24" x14ac:dyDescent="0.25">
      <c r="A64" t="s">
        <v>415</v>
      </c>
      <c r="B64" t="s">
        <v>416</v>
      </c>
      <c r="C64" t="s">
        <v>242</v>
      </c>
      <c r="D64" t="s">
        <v>27</v>
      </c>
      <c r="E64" t="s">
        <v>89</v>
      </c>
      <c r="F64" t="s">
        <v>417</v>
      </c>
      <c r="G64" t="s">
        <v>99</v>
      </c>
      <c r="H64">
        <v>173.76</v>
      </c>
      <c r="I64">
        <v>351.52</v>
      </c>
      <c r="J64">
        <v>102.3</v>
      </c>
      <c r="K64">
        <v>1.96</v>
      </c>
      <c r="L64">
        <v>1.0329999999999999</v>
      </c>
      <c r="M64" t="s">
        <v>56</v>
      </c>
      <c r="N64" t="s">
        <v>231</v>
      </c>
      <c r="O64">
        <v>24</v>
      </c>
      <c r="P64">
        <v>408</v>
      </c>
      <c r="Q64">
        <v>96</v>
      </c>
      <c r="R64" t="s">
        <v>33</v>
      </c>
      <c r="S64" t="s">
        <v>47</v>
      </c>
      <c r="T64">
        <v>12</v>
      </c>
      <c r="U64">
        <v>2026</v>
      </c>
      <c r="V64" t="s">
        <v>35</v>
      </c>
      <c r="W64" t="s">
        <v>418</v>
      </c>
      <c r="X64" t="s">
        <v>419</v>
      </c>
    </row>
    <row r="65" spans="1:24" x14ac:dyDescent="0.25">
      <c r="A65" t="s">
        <v>420</v>
      </c>
      <c r="B65" t="s">
        <v>421</v>
      </c>
      <c r="C65" t="s">
        <v>141</v>
      </c>
      <c r="D65" t="s">
        <v>27</v>
      </c>
      <c r="E65" t="s">
        <v>112</v>
      </c>
      <c r="F65" t="s">
        <v>422</v>
      </c>
      <c r="G65" t="s">
        <v>30</v>
      </c>
      <c r="H65">
        <v>422.34</v>
      </c>
      <c r="I65">
        <v>725.73</v>
      </c>
      <c r="J65">
        <v>71.8</v>
      </c>
      <c r="K65">
        <v>2.58</v>
      </c>
      <c r="L65">
        <v>1.2569999999999999</v>
      </c>
      <c r="M65" t="s">
        <v>56</v>
      </c>
      <c r="N65" t="s">
        <v>423</v>
      </c>
      <c r="O65">
        <v>15</v>
      </c>
      <c r="P65">
        <v>150</v>
      </c>
      <c r="Q65">
        <v>75</v>
      </c>
      <c r="R65" t="s">
        <v>58</v>
      </c>
      <c r="S65" t="s">
        <v>47</v>
      </c>
      <c r="T65">
        <v>12</v>
      </c>
      <c r="U65">
        <v>2021</v>
      </c>
      <c r="V65" t="s">
        <v>84</v>
      </c>
      <c r="W65" t="s">
        <v>424</v>
      </c>
      <c r="X65" t="s">
        <v>425</v>
      </c>
    </row>
    <row r="66" spans="1:24" x14ac:dyDescent="0.25">
      <c r="A66" t="s">
        <v>426</v>
      </c>
      <c r="B66" t="s">
        <v>427</v>
      </c>
      <c r="C66" t="s">
        <v>64</v>
      </c>
      <c r="D66" t="s">
        <v>27</v>
      </c>
      <c r="E66" t="s">
        <v>168</v>
      </c>
      <c r="F66" t="s">
        <v>428</v>
      </c>
      <c r="G66" t="s">
        <v>43</v>
      </c>
      <c r="H66">
        <v>313.91000000000003</v>
      </c>
      <c r="I66">
        <v>605.87</v>
      </c>
      <c r="J66">
        <v>93</v>
      </c>
      <c r="K66">
        <v>1.22</v>
      </c>
      <c r="L66">
        <v>0.94</v>
      </c>
      <c r="M66" t="s">
        <v>31</v>
      </c>
      <c r="N66" t="s">
        <v>429</v>
      </c>
      <c r="O66">
        <v>16</v>
      </c>
      <c r="P66">
        <v>224</v>
      </c>
      <c r="Q66">
        <v>80</v>
      </c>
      <c r="R66" t="s">
        <v>46</v>
      </c>
      <c r="S66" t="s">
        <v>47</v>
      </c>
      <c r="T66">
        <v>36</v>
      </c>
      <c r="U66">
        <v>2025</v>
      </c>
      <c r="V66" t="s">
        <v>48</v>
      </c>
      <c r="W66" t="s">
        <v>430</v>
      </c>
      <c r="X66" t="s">
        <v>431</v>
      </c>
    </row>
    <row r="67" spans="1:24" x14ac:dyDescent="0.25">
      <c r="A67" t="s">
        <v>432</v>
      </c>
      <c r="B67" t="s">
        <v>433</v>
      </c>
      <c r="C67" t="s">
        <v>111</v>
      </c>
      <c r="D67" t="s">
        <v>27</v>
      </c>
      <c r="E67" t="s">
        <v>89</v>
      </c>
      <c r="F67" t="s">
        <v>434</v>
      </c>
      <c r="G67" t="s">
        <v>99</v>
      </c>
      <c r="H67">
        <v>345.53</v>
      </c>
      <c r="I67">
        <v>515.36</v>
      </c>
      <c r="J67">
        <v>49.2</v>
      </c>
      <c r="K67">
        <v>0.47</v>
      </c>
      <c r="L67">
        <v>0.19400000000000001</v>
      </c>
      <c r="M67" t="s">
        <v>56</v>
      </c>
      <c r="N67" t="s">
        <v>435</v>
      </c>
      <c r="O67">
        <v>29</v>
      </c>
      <c r="P67">
        <v>406</v>
      </c>
      <c r="Q67">
        <v>145</v>
      </c>
      <c r="R67" t="s">
        <v>33</v>
      </c>
      <c r="S67" t="s">
        <v>34</v>
      </c>
      <c r="T67">
        <v>60</v>
      </c>
      <c r="U67">
        <v>2026</v>
      </c>
      <c r="V67" t="s">
        <v>92</v>
      </c>
      <c r="W67" t="s">
        <v>436</v>
      </c>
      <c r="X67" t="s">
        <v>437</v>
      </c>
    </row>
    <row r="68" spans="1:24" x14ac:dyDescent="0.25">
      <c r="A68" t="s">
        <v>438</v>
      </c>
      <c r="B68" t="s">
        <v>439</v>
      </c>
      <c r="C68" t="s">
        <v>242</v>
      </c>
      <c r="D68" t="s">
        <v>27</v>
      </c>
      <c r="E68" t="s">
        <v>154</v>
      </c>
      <c r="F68" t="s">
        <v>440</v>
      </c>
      <c r="G68" t="s">
        <v>30</v>
      </c>
      <c r="H68">
        <v>464.69</v>
      </c>
      <c r="I68">
        <v>769.68</v>
      </c>
      <c r="J68">
        <v>65.599999999999994</v>
      </c>
      <c r="K68">
        <v>0.72</v>
      </c>
      <c r="L68">
        <v>0.26700000000000002</v>
      </c>
      <c r="M68" t="s">
        <v>143</v>
      </c>
      <c r="N68" t="s">
        <v>57</v>
      </c>
      <c r="O68">
        <v>26</v>
      </c>
      <c r="P68">
        <v>468</v>
      </c>
      <c r="Q68">
        <v>78</v>
      </c>
      <c r="R68" t="s">
        <v>33</v>
      </c>
      <c r="S68" t="s">
        <v>47</v>
      </c>
      <c r="T68">
        <v>60</v>
      </c>
      <c r="U68">
        <v>2022</v>
      </c>
      <c r="V68" t="s">
        <v>59</v>
      </c>
      <c r="W68" t="s">
        <v>441</v>
      </c>
      <c r="X68" t="s">
        <v>442</v>
      </c>
    </row>
    <row r="69" spans="1:24" x14ac:dyDescent="0.25">
      <c r="A69" t="s">
        <v>443</v>
      </c>
      <c r="B69" t="s">
        <v>444</v>
      </c>
      <c r="C69" t="s">
        <v>242</v>
      </c>
      <c r="D69" t="s">
        <v>27</v>
      </c>
      <c r="E69" t="s">
        <v>260</v>
      </c>
      <c r="F69" t="s">
        <v>445</v>
      </c>
      <c r="G69" t="s">
        <v>30</v>
      </c>
      <c r="H69">
        <v>374.72</v>
      </c>
      <c r="I69">
        <v>828.09</v>
      </c>
      <c r="J69">
        <v>121</v>
      </c>
      <c r="K69">
        <v>2.0299999999999998</v>
      </c>
      <c r="L69">
        <v>1.236</v>
      </c>
      <c r="M69" t="s">
        <v>31</v>
      </c>
      <c r="N69" t="s">
        <v>136</v>
      </c>
      <c r="O69">
        <v>9</v>
      </c>
      <c r="P69">
        <v>162</v>
      </c>
      <c r="Q69">
        <v>27</v>
      </c>
      <c r="R69" t="s">
        <v>33</v>
      </c>
      <c r="S69" t="s">
        <v>47</v>
      </c>
      <c r="T69">
        <v>48</v>
      </c>
      <c r="U69">
        <v>2026</v>
      </c>
      <c r="V69" t="s">
        <v>59</v>
      </c>
      <c r="W69" t="s">
        <v>446</v>
      </c>
      <c r="X69" t="s">
        <v>447</v>
      </c>
    </row>
    <row r="70" spans="1:24" x14ac:dyDescent="0.25">
      <c r="A70" t="s">
        <v>448</v>
      </c>
      <c r="B70" t="s">
        <v>449</v>
      </c>
      <c r="C70" t="s">
        <v>141</v>
      </c>
      <c r="D70" t="s">
        <v>27</v>
      </c>
      <c r="E70" t="s">
        <v>119</v>
      </c>
      <c r="F70" t="s">
        <v>450</v>
      </c>
      <c r="G70" t="s">
        <v>43</v>
      </c>
      <c r="H70">
        <v>205.33</v>
      </c>
      <c r="I70">
        <v>276</v>
      </c>
      <c r="J70">
        <v>34.4</v>
      </c>
      <c r="K70">
        <v>2.41</v>
      </c>
      <c r="L70">
        <v>0.98899999999999999</v>
      </c>
      <c r="M70" t="s">
        <v>81</v>
      </c>
      <c r="N70" t="s">
        <v>106</v>
      </c>
      <c r="O70">
        <v>26</v>
      </c>
      <c r="P70">
        <v>442</v>
      </c>
      <c r="Q70">
        <v>78</v>
      </c>
      <c r="R70" t="s">
        <v>33</v>
      </c>
      <c r="S70" t="s">
        <v>47</v>
      </c>
      <c r="T70">
        <v>24</v>
      </c>
      <c r="U70">
        <v>2023</v>
      </c>
      <c r="V70" t="s">
        <v>35</v>
      </c>
      <c r="W70" t="s">
        <v>451</v>
      </c>
      <c r="X70" t="s">
        <v>452</v>
      </c>
    </row>
    <row r="71" spans="1:24" x14ac:dyDescent="0.25">
      <c r="A71" t="s">
        <v>453</v>
      </c>
      <c r="B71" t="s">
        <v>454</v>
      </c>
      <c r="C71" t="s">
        <v>97</v>
      </c>
      <c r="D71" t="s">
        <v>27</v>
      </c>
      <c r="E71" t="s">
        <v>223</v>
      </c>
      <c r="F71" t="s">
        <v>455</v>
      </c>
      <c r="G71" t="s">
        <v>30</v>
      </c>
      <c r="H71">
        <v>103.99</v>
      </c>
      <c r="I71">
        <v>192.03</v>
      </c>
      <c r="J71">
        <v>84.7</v>
      </c>
      <c r="K71">
        <v>1.56</v>
      </c>
      <c r="L71">
        <v>0.85799999999999998</v>
      </c>
      <c r="M71" t="s">
        <v>143</v>
      </c>
      <c r="N71" t="s">
        <v>231</v>
      </c>
      <c r="O71">
        <v>22</v>
      </c>
      <c r="P71">
        <v>396</v>
      </c>
      <c r="Q71">
        <v>88</v>
      </c>
      <c r="R71" t="s">
        <v>58</v>
      </c>
      <c r="S71" t="s">
        <v>47</v>
      </c>
      <c r="T71">
        <v>48</v>
      </c>
      <c r="U71">
        <v>2026</v>
      </c>
      <c r="V71" t="s">
        <v>92</v>
      </c>
      <c r="W71" t="s">
        <v>456</v>
      </c>
      <c r="X71" t="s">
        <v>457</v>
      </c>
    </row>
    <row r="72" spans="1:24" x14ac:dyDescent="0.25">
      <c r="A72" t="s">
        <v>458</v>
      </c>
      <c r="B72" t="s">
        <v>459</v>
      </c>
      <c r="C72" t="s">
        <v>26</v>
      </c>
      <c r="D72" t="s">
        <v>27</v>
      </c>
      <c r="E72" t="s">
        <v>41</v>
      </c>
      <c r="F72" t="s">
        <v>460</v>
      </c>
      <c r="G72" t="s">
        <v>80</v>
      </c>
      <c r="H72">
        <v>308.02999999999997</v>
      </c>
      <c r="I72">
        <v>653.75</v>
      </c>
      <c r="J72">
        <v>112.2</v>
      </c>
      <c r="K72">
        <v>1.52</v>
      </c>
      <c r="L72">
        <v>1.0649999999999999</v>
      </c>
      <c r="M72" t="s">
        <v>31</v>
      </c>
      <c r="N72" t="s">
        <v>237</v>
      </c>
      <c r="O72">
        <v>5</v>
      </c>
      <c r="P72">
        <v>85</v>
      </c>
      <c r="Q72">
        <v>20</v>
      </c>
      <c r="R72" t="s">
        <v>33</v>
      </c>
      <c r="S72" t="s">
        <v>83</v>
      </c>
      <c r="T72">
        <v>36</v>
      </c>
      <c r="U72">
        <v>2021</v>
      </c>
      <c r="V72" t="s">
        <v>59</v>
      </c>
      <c r="W72" t="s">
        <v>461</v>
      </c>
      <c r="X72" t="s">
        <v>462</v>
      </c>
    </row>
    <row r="73" spans="1:24" x14ac:dyDescent="0.25">
      <c r="A73" t="s">
        <v>463</v>
      </c>
      <c r="B73" t="s">
        <v>464</v>
      </c>
      <c r="C73" t="s">
        <v>167</v>
      </c>
      <c r="D73" t="s">
        <v>27</v>
      </c>
      <c r="E73" t="s">
        <v>205</v>
      </c>
      <c r="F73" t="s">
        <v>465</v>
      </c>
      <c r="G73" t="s">
        <v>43</v>
      </c>
      <c r="H73">
        <v>228.1</v>
      </c>
      <c r="I73">
        <v>365.73</v>
      </c>
      <c r="J73">
        <v>60.3</v>
      </c>
      <c r="K73">
        <v>1.25</v>
      </c>
      <c r="L73">
        <v>0.44600000000000001</v>
      </c>
      <c r="M73" t="s">
        <v>56</v>
      </c>
      <c r="N73" t="s">
        <v>170</v>
      </c>
      <c r="O73">
        <v>7</v>
      </c>
      <c r="P73">
        <v>112</v>
      </c>
      <c r="Q73">
        <v>21</v>
      </c>
      <c r="R73" t="s">
        <v>33</v>
      </c>
      <c r="S73" t="s">
        <v>47</v>
      </c>
      <c r="T73">
        <v>36</v>
      </c>
      <c r="U73">
        <v>2026</v>
      </c>
      <c r="V73" t="s">
        <v>171</v>
      </c>
      <c r="W73" t="s">
        <v>466</v>
      </c>
      <c r="X73" t="s">
        <v>467</v>
      </c>
    </row>
    <row r="74" spans="1:24" x14ac:dyDescent="0.25">
      <c r="A74" t="s">
        <v>468</v>
      </c>
      <c r="B74" t="s">
        <v>469</v>
      </c>
      <c r="C74" t="s">
        <v>97</v>
      </c>
      <c r="D74" t="s">
        <v>27</v>
      </c>
      <c r="E74" t="s">
        <v>182</v>
      </c>
      <c r="F74" t="s">
        <v>470</v>
      </c>
      <c r="G74" t="s">
        <v>99</v>
      </c>
      <c r="H74">
        <v>321.08</v>
      </c>
      <c r="I74">
        <v>702.61</v>
      </c>
      <c r="J74">
        <v>118.8</v>
      </c>
      <c r="K74">
        <v>2.33</v>
      </c>
      <c r="L74">
        <v>1.5840000000000001</v>
      </c>
      <c r="M74" t="s">
        <v>143</v>
      </c>
      <c r="N74" t="s">
        <v>212</v>
      </c>
      <c r="O74">
        <v>19</v>
      </c>
      <c r="P74">
        <v>285</v>
      </c>
      <c r="Q74">
        <v>95</v>
      </c>
      <c r="R74" t="s">
        <v>46</v>
      </c>
      <c r="S74" t="s">
        <v>34</v>
      </c>
      <c r="T74">
        <v>60</v>
      </c>
      <c r="U74">
        <v>2023</v>
      </c>
      <c r="V74" t="s">
        <v>149</v>
      </c>
      <c r="W74" t="s">
        <v>471</v>
      </c>
      <c r="X74" t="s">
        <v>472</v>
      </c>
    </row>
    <row r="75" spans="1:24" x14ac:dyDescent="0.25">
      <c r="A75" t="s">
        <v>473</v>
      </c>
      <c r="B75" t="s">
        <v>474</v>
      </c>
      <c r="C75" t="s">
        <v>53</v>
      </c>
      <c r="D75" t="s">
        <v>27</v>
      </c>
      <c r="E75" t="s">
        <v>168</v>
      </c>
      <c r="F75" t="s">
        <v>475</v>
      </c>
      <c r="G75" t="s">
        <v>30</v>
      </c>
      <c r="H75">
        <v>408.35</v>
      </c>
      <c r="I75">
        <v>803.98</v>
      </c>
      <c r="J75">
        <v>96.9</v>
      </c>
      <c r="K75">
        <v>1.3</v>
      </c>
      <c r="L75">
        <v>0.42699999999999999</v>
      </c>
      <c r="M75" t="s">
        <v>31</v>
      </c>
      <c r="N75" t="s">
        <v>476</v>
      </c>
      <c r="O75">
        <v>19</v>
      </c>
      <c r="P75">
        <v>228</v>
      </c>
      <c r="Q75">
        <v>57</v>
      </c>
      <c r="R75" t="s">
        <v>33</v>
      </c>
      <c r="S75" t="s">
        <v>83</v>
      </c>
      <c r="T75">
        <v>12</v>
      </c>
      <c r="U75">
        <v>2025</v>
      </c>
      <c r="V75" t="s">
        <v>59</v>
      </c>
      <c r="W75" t="s">
        <v>477</v>
      </c>
      <c r="X75" t="s">
        <v>478</v>
      </c>
    </row>
    <row r="76" spans="1:24" x14ac:dyDescent="0.25">
      <c r="A76" t="s">
        <v>479</v>
      </c>
      <c r="B76" t="s">
        <v>480</v>
      </c>
      <c r="C76" t="s">
        <v>40</v>
      </c>
      <c r="D76" t="s">
        <v>27</v>
      </c>
      <c r="E76" t="s">
        <v>41</v>
      </c>
      <c r="F76" t="s">
        <v>481</v>
      </c>
      <c r="G76" t="s">
        <v>30</v>
      </c>
      <c r="H76">
        <v>322.25</v>
      </c>
      <c r="I76">
        <v>596.74</v>
      </c>
      <c r="J76">
        <v>85.2</v>
      </c>
      <c r="K76">
        <v>3.36</v>
      </c>
      <c r="L76">
        <v>2.6579999999999999</v>
      </c>
      <c r="M76" t="s">
        <v>81</v>
      </c>
      <c r="N76" t="s">
        <v>482</v>
      </c>
      <c r="O76">
        <v>30</v>
      </c>
      <c r="P76">
        <v>270</v>
      </c>
      <c r="Q76">
        <v>150</v>
      </c>
      <c r="R76" t="s">
        <v>46</v>
      </c>
      <c r="S76" t="s">
        <v>83</v>
      </c>
      <c r="T76">
        <v>24</v>
      </c>
      <c r="U76">
        <v>2021</v>
      </c>
      <c r="V76" t="s">
        <v>35</v>
      </c>
      <c r="W76" t="s">
        <v>483</v>
      </c>
      <c r="X76" t="s">
        <v>484</v>
      </c>
    </row>
    <row r="77" spans="1:24" x14ac:dyDescent="0.25">
      <c r="A77" t="s">
        <v>485</v>
      </c>
      <c r="B77" t="s">
        <v>486</v>
      </c>
      <c r="C77" t="s">
        <v>111</v>
      </c>
      <c r="D77" t="s">
        <v>27</v>
      </c>
      <c r="E77" t="s">
        <v>41</v>
      </c>
      <c r="F77" t="s">
        <v>487</v>
      </c>
      <c r="G77" t="s">
        <v>99</v>
      </c>
      <c r="H77">
        <v>213.75</v>
      </c>
      <c r="I77">
        <v>511.57</v>
      </c>
      <c r="J77">
        <v>139.30000000000001</v>
      </c>
      <c r="K77">
        <v>1.42</v>
      </c>
      <c r="L77">
        <v>0.88600000000000001</v>
      </c>
      <c r="M77" t="s">
        <v>56</v>
      </c>
      <c r="N77" t="s">
        <v>66</v>
      </c>
      <c r="O77">
        <v>6</v>
      </c>
      <c r="P77">
        <v>54</v>
      </c>
      <c r="Q77">
        <v>24</v>
      </c>
      <c r="R77" t="s">
        <v>46</v>
      </c>
      <c r="S77" t="s">
        <v>47</v>
      </c>
      <c r="T77">
        <v>60</v>
      </c>
      <c r="U77">
        <v>2026</v>
      </c>
      <c r="V77" t="s">
        <v>59</v>
      </c>
      <c r="W77" t="s">
        <v>488</v>
      </c>
      <c r="X77" t="s">
        <v>489</v>
      </c>
    </row>
    <row r="78" spans="1:24" x14ac:dyDescent="0.25">
      <c r="A78" t="s">
        <v>490</v>
      </c>
      <c r="B78" t="s">
        <v>491</v>
      </c>
      <c r="C78" t="s">
        <v>40</v>
      </c>
      <c r="D78" t="s">
        <v>27</v>
      </c>
      <c r="E78" t="s">
        <v>54</v>
      </c>
      <c r="F78" t="s">
        <v>492</v>
      </c>
      <c r="G78" t="s">
        <v>30</v>
      </c>
      <c r="H78">
        <v>86.68</v>
      </c>
      <c r="I78">
        <v>178.79</v>
      </c>
      <c r="J78">
        <v>106.3</v>
      </c>
      <c r="K78">
        <v>3.22</v>
      </c>
      <c r="L78">
        <v>2.476</v>
      </c>
      <c r="M78" t="s">
        <v>44</v>
      </c>
      <c r="N78" t="s">
        <v>237</v>
      </c>
      <c r="O78">
        <v>9</v>
      </c>
      <c r="P78">
        <v>108</v>
      </c>
      <c r="Q78">
        <v>45</v>
      </c>
      <c r="R78" t="s">
        <v>33</v>
      </c>
      <c r="S78" t="s">
        <v>47</v>
      </c>
      <c r="T78">
        <v>36</v>
      </c>
      <c r="U78">
        <v>2022</v>
      </c>
      <c r="V78" t="s">
        <v>84</v>
      </c>
      <c r="W78" t="s">
        <v>493</v>
      </c>
      <c r="X78" t="s">
        <v>494</v>
      </c>
    </row>
    <row r="79" spans="1:24" x14ac:dyDescent="0.25">
      <c r="A79" t="s">
        <v>495</v>
      </c>
      <c r="B79" t="s">
        <v>496</v>
      </c>
      <c r="C79" t="s">
        <v>97</v>
      </c>
      <c r="D79" t="s">
        <v>27</v>
      </c>
      <c r="E79" t="s">
        <v>260</v>
      </c>
      <c r="F79" t="s">
        <v>497</v>
      </c>
      <c r="G79" t="s">
        <v>99</v>
      </c>
      <c r="H79">
        <v>203.78</v>
      </c>
      <c r="I79">
        <v>447.5</v>
      </c>
      <c r="J79">
        <v>119.6</v>
      </c>
      <c r="K79">
        <v>0.75</v>
      </c>
      <c r="L79">
        <v>0.52100000000000002</v>
      </c>
      <c r="M79" t="s">
        <v>143</v>
      </c>
      <c r="N79" t="s">
        <v>45</v>
      </c>
      <c r="O79">
        <v>7</v>
      </c>
      <c r="P79">
        <v>112</v>
      </c>
      <c r="Q79">
        <v>35</v>
      </c>
      <c r="R79" t="s">
        <v>33</v>
      </c>
      <c r="S79" t="s">
        <v>83</v>
      </c>
      <c r="T79">
        <v>60</v>
      </c>
      <c r="U79">
        <v>2021</v>
      </c>
      <c r="V79" t="s">
        <v>149</v>
      </c>
      <c r="W79" t="s">
        <v>498</v>
      </c>
      <c r="X79" t="s">
        <v>499</v>
      </c>
    </row>
    <row r="80" spans="1:24" x14ac:dyDescent="0.25">
      <c r="A80" t="s">
        <v>500</v>
      </c>
      <c r="B80" t="s">
        <v>501</v>
      </c>
      <c r="C80" t="s">
        <v>167</v>
      </c>
      <c r="D80" t="s">
        <v>27</v>
      </c>
      <c r="E80" t="s">
        <v>89</v>
      </c>
      <c r="F80" t="s">
        <v>502</v>
      </c>
      <c r="G80" t="s">
        <v>99</v>
      </c>
      <c r="H80">
        <v>131.38</v>
      </c>
      <c r="I80">
        <v>275.99</v>
      </c>
      <c r="J80">
        <v>110.1</v>
      </c>
      <c r="K80">
        <v>2.2200000000000002</v>
      </c>
      <c r="L80">
        <v>1.417</v>
      </c>
      <c r="M80" t="s">
        <v>143</v>
      </c>
      <c r="N80" t="s">
        <v>218</v>
      </c>
      <c r="O80">
        <v>6</v>
      </c>
      <c r="P80">
        <v>66</v>
      </c>
      <c r="Q80">
        <v>24</v>
      </c>
      <c r="R80" t="s">
        <v>33</v>
      </c>
      <c r="S80" t="s">
        <v>34</v>
      </c>
      <c r="T80">
        <v>36</v>
      </c>
      <c r="U80">
        <v>2026</v>
      </c>
      <c r="V80" t="s">
        <v>122</v>
      </c>
      <c r="W80" t="s">
        <v>503</v>
      </c>
      <c r="X80" t="s">
        <v>504</v>
      </c>
    </row>
    <row r="81" spans="1:24" x14ac:dyDescent="0.25">
      <c r="A81" t="s">
        <v>505</v>
      </c>
      <c r="B81" t="s">
        <v>506</v>
      </c>
      <c r="C81" t="s">
        <v>53</v>
      </c>
      <c r="D81" t="s">
        <v>27</v>
      </c>
      <c r="E81" t="s">
        <v>223</v>
      </c>
      <c r="F81" t="s">
        <v>507</v>
      </c>
      <c r="G81" t="s">
        <v>30</v>
      </c>
      <c r="H81">
        <v>355.24</v>
      </c>
      <c r="I81">
        <v>689.71</v>
      </c>
      <c r="J81">
        <v>94.2</v>
      </c>
      <c r="K81">
        <v>1.6</v>
      </c>
      <c r="L81">
        <v>1.2529999999999999</v>
      </c>
      <c r="M81" t="s">
        <v>44</v>
      </c>
      <c r="N81" t="s">
        <v>231</v>
      </c>
      <c r="O81">
        <v>21</v>
      </c>
      <c r="P81">
        <v>231</v>
      </c>
      <c r="Q81">
        <v>105</v>
      </c>
      <c r="R81" t="s">
        <v>33</v>
      </c>
      <c r="S81" t="s">
        <v>47</v>
      </c>
      <c r="T81">
        <v>36</v>
      </c>
      <c r="U81">
        <v>2021</v>
      </c>
      <c r="V81" t="s">
        <v>122</v>
      </c>
      <c r="W81" t="s">
        <v>508</v>
      </c>
      <c r="X81" t="s">
        <v>509</v>
      </c>
    </row>
    <row r="82" spans="1:24" x14ac:dyDescent="0.25">
      <c r="A82" t="s">
        <v>510</v>
      </c>
      <c r="B82" t="s">
        <v>511</v>
      </c>
      <c r="C82" t="s">
        <v>26</v>
      </c>
      <c r="D82" t="s">
        <v>27</v>
      </c>
      <c r="E82" t="s">
        <v>133</v>
      </c>
      <c r="F82" t="s">
        <v>512</v>
      </c>
      <c r="G82" t="s">
        <v>43</v>
      </c>
      <c r="H82">
        <v>178.28</v>
      </c>
      <c r="I82">
        <v>390.8</v>
      </c>
      <c r="J82">
        <v>119.2</v>
      </c>
      <c r="K82">
        <v>1.03</v>
      </c>
      <c r="L82">
        <v>0.54100000000000004</v>
      </c>
      <c r="M82" t="s">
        <v>143</v>
      </c>
      <c r="N82" t="s">
        <v>423</v>
      </c>
      <c r="O82">
        <v>7</v>
      </c>
      <c r="P82">
        <v>91</v>
      </c>
      <c r="Q82">
        <v>21</v>
      </c>
      <c r="R82" t="s">
        <v>33</v>
      </c>
      <c r="S82" t="s">
        <v>47</v>
      </c>
      <c r="T82">
        <v>12</v>
      </c>
      <c r="U82">
        <v>2024</v>
      </c>
      <c r="V82" t="s">
        <v>149</v>
      </c>
      <c r="W82" t="s">
        <v>513</v>
      </c>
      <c r="X82" t="s">
        <v>514</v>
      </c>
    </row>
    <row r="83" spans="1:24" x14ac:dyDescent="0.25">
      <c r="A83" t="s">
        <v>515</v>
      </c>
      <c r="B83" t="s">
        <v>516</v>
      </c>
      <c r="C83" t="s">
        <v>64</v>
      </c>
      <c r="D83" t="s">
        <v>27</v>
      </c>
      <c r="E83" t="s">
        <v>168</v>
      </c>
      <c r="F83" t="s">
        <v>517</v>
      </c>
      <c r="G83" t="s">
        <v>43</v>
      </c>
      <c r="H83">
        <v>193.41</v>
      </c>
      <c r="I83">
        <v>257</v>
      </c>
      <c r="J83">
        <v>32.9</v>
      </c>
      <c r="K83">
        <v>2.5299999999999998</v>
      </c>
      <c r="L83">
        <v>1.92</v>
      </c>
      <c r="M83" t="s">
        <v>56</v>
      </c>
      <c r="N83" t="s">
        <v>45</v>
      </c>
      <c r="O83">
        <v>9</v>
      </c>
      <c r="P83">
        <v>135</v>
      </c>
      <c r="Q83">
        <v>45</v>
      </c>
      <c r="R83" t="s">
        <v>33</v>
      </c>
      <c r="S83" t="s">
        <v>47</v>
      </c>
      <c r="T83">
        <v>48</v>
      </c>
      <c r="U83">
        <v>2024</v>
      </c>
      <c r="V83" t="s">
        <v>92</v>
      </c>
      <c r="W83" t="s">
        <v>518</v>
      </c>
      <c r="X83" t="s">
        <v>519</v>
      </c>
    </row>
    <row r="84" spans="1:24" x14ac:dyDescent="0.25">
      <c r="A84" t="s">
        <v>520</v>
      </c>
      <c r="B84" t="s">
        <v>521</v>
      </c>
      <c r="C84" t="s">
        <v>97</v>
      </c>
      <c r="D84" t="s">
        <v>27</v>
      </c>
      <c r="E84" t="s">
        <v>154</v>
      </c>
      <c r="F84" t="s">
        <v>522</v>
      </c>
      <c r="G84" t="s">
        <v>99</v>
      </c>
      <c r="H84">
        <v>296.95999999999998</v>
      </c>
      <c r="I84">
        <v>637.1</v>
      </c>
      <c r="J84">
        <v>114.5</v>
      </c>
      <c r="K84">
        <v>1.89</v>
      </c>
      <c r="L84">
        <v>0.61199999999999999</v>
      </c>
      <c r="M84" t="s">
        <v>31</v>
      </c>
      <c r="N84" t="s">
        <v>162</v>
      </c>
      <c r="O84">
        <v>12</v>
      </c>
      <c r="P84">
        <v>168</v>
      </c>
      <c r="Q84">
        <v>60</v>
      </c>
      <c r="R84" t="s">
        <v>33</v>
      </c>
      <c r="S84" t="s">
        <v>34</v>
      </c>
      <c r="T84">
        <v>48</v>
      </c>
      <c r="U84">
        <v>2021</v>
      </c>
      <c r="V84" t="s">
        <v>84</v>
      </c>
      <c r="W84" t="s">
        <v>523</v>
      </c>
      <c r="X84" t="s">
        <v>524</v>
      </c>
    </row>
    <row r="85" spans="1:24" x14ac:dyDescent="0.25">
      <c r="A85" t="s">
        <v>525</v>
      </c>
      <c r="B85" t="s">
        <v>526</v>
      </c>
      <c r="C85" t="s">
        <v>111</v>
      </c>
      <c r="D85" t="s">
        <v>27</v>
      </c>
      <c r="E85" t="s">
        <v>28</v>
      </c>
      <c r="F85" t="s">
        <v>527</v>
      </c>
      <c r="G85" t="s">
        <v>99</v>
      </c>
      <c r="H85">
        <v>181.07</v>
      </c>
      <c r="I85">
        <v>217.65</v>
      </c>
      <c r="J85">
        <v>20.2</v>
      </c>
      <c r="K85">
        <v>1.3</v>
      </c>
      <c r="L85">
        <v>0.73</v>
      </c>
      <c r="M85" t="s">
        <v>135</v>
      </c>
      <c r="N85" t="s">
        <v>376</v>
      </c>
      <c r="O85">
        <v>26</v>
      </c>
      <c r="P85">
        <v>338</v>
      </c>
      <c r="Q85">
        <v>78</v>
      </c>
      <c r="R85" t="s">
        <v>58</v>
      </c>
      <c r="S85" t="s">
        <v>34</v>
      </c>
      <c r="T85">
        <v>60</v>
      </c>
      <c r="U85">
        <v>2025</v>
      </c>
      <c r="V85" t="s">
        <v>92</v>
      </c>
      <c r="W85" t="s">
        <v>528</v>
      </c>
      <c r="X85" t="s">
        <v>529</v>
      </c>
    </row>
    <row r="86" spans="1:24" x14ac:dyDescent="0.25">
      <c r="A86" t="s">
        <v>530</v>
      </c>
      <c r="B86" t="s">
        <v>531</v>
      </c>
      <c r="C86" t="s">
        <v>167</v>
      </c>
      <c r="D86" t="s">
        <v>27</v>
      </c>
      <c r="E86" t="s">
        <v>28</v>
      </c>
      <c r="F86" t="s">
        <v>532</v>
      </c>
      <c r="G86" t="s">
        <v>30</v>
      </c>
      <c r="H86">
        <v>386.29</v>
      </c>
      <c r="I86">
        <v>642.87</v>
      </c>
      <c r="J86">
        <v>66.400000000000006</v>
      </c>
      <c r="K86">
        <v>0.33</v>
      </c>
      <c r="L86">
        <v>0.224</v>
      </c>
      <c r="M86" t="s">
        <v>114</v>
      </c>
      <c r="N86" t="s">
        <v>482</v>
      </c>
      <c r="O86">
        <v>29</v>
      </c>
      <c r="P86">
        <v>290</v>
      </c>
      <c r="Q86">
        <v>87</v>
      </c>
      <c r="R86" t="s">
        <v>33</v>
      </c>
      <c r="S86" t="s">
        <v>47</v>
      </c>
      <c r="T86">
        <v>60</v>
      </c>
      <c r="U86">
        <v>2023</v>
      </c>
      <c r="V86" t="s">
        <v>171</v>
      </c>
      <c r="W86" t="s">
        <v>533</v>
      </c>
      <c r="X86" t="s">
        <v>534</v>
      </c>
    </row>
    <row r="87" spans="1:24" x14ac:dyDescent="0.25">
      <c r="A87" t="s">
        <v>535</v>
      </c>
      <c r="B87" t="s">
        <v>536</v>
      </c>
      <c r="C87" t="s">
        <v>53</v>
      </c>
      <c r="D87" t="s">
        <v>27</v>
      </c>
      <c r="E87" t="s">
        <v>54</v>
      </c>
      <c r="F87" t="s">
        <v>537</v>
      </c>
      <c r="G87" t="s">
        <v>99</v>
      </c>
      <c r="H87">
        <v>78.400000000000006</v>
      </c>
      <c r="I87">
        <v>173.19</v>
      </c>
      <c r="J87">
        <v>120.9</v>
      </c>
      <c r="K87">
        <v>1.66</v>
      </c>
      <c r="L87">
        <v>1.2330000000000001</v>
      </c>
      <c r="M87" t="s">
        <v>44</v>
      </c>
      <c r="N87" t="s">
        <v>128</v>
      </c>
      <c r="O87">
        <v>6</v>
      </c>
      <c r="P87">
        <v>78</v>
      </c>
      <c r="Q87">
        <v>24</v>
      </c>
      <c r="R87" t="s">
        <v>46</v>
      </c>
      <c r="S87" t="s">
        <v>34</v>
      </c>
      <c r="T87">
        <v>48</v>
      </c>
      <c r="U87">
        <v>2025</v>
      </c>
      <c r="V87" t="s">
        <v>122</v>
      </c>
      <c r="W87" t="s">
        <v>538</v>
      </c>
      <c r="X87" t="s">
        <v>539</v>
      </c>
    </row>
    <row r="88" spans="1:24" x14ac:dyDescent="0.25">
      <c r="A88" t="s">
        <v>540</v>
      </c>
      <c r="B88" t="s">
        <v>541</v>
      </c>
      <c r="C88" t="s">
        <v>141</v>
      </c>
      <c r="D88" t="s">
        <v>27</v>
      </c>
      <c r="E88" t="s">
        <v>223</v>
      </c>
      <c r="F88" t="s">
        <v>542</v>
      </c>
      <c r="G88" t="s">
        <v>30</v>
      </c>
      <c r="H88">
        <v>437.96</v>
      </c>
      <c r="I88">
        <v>552.77</v>
      </c>
      <c r="J88">
        <v>26.2</v>
      </c>
      <c r="K88">
        <v>2.33</v>
      </c>
      <c r="L88">
        <v>1.7350000000000001</v>
      </c>
      <c r="M88" t="s">
        <v>44</v>
      </c>
      <c r="N88" t="s">
        <v>435</v>
      </c>
      <c r="O88">
        <v>30</v>
      </c>
      <c r="P88">
        <v>570</v>
      </c>
      <c r="Q88">
        <v>120</v>
      </c>
      <c r="R88" t="s">
        <v>33</v>
      </c>
      <c r="S88" t="s">
        <v>47</v>
      </c>
      <c r="T88">
        <v>36</v>
      </c>
      <c r="U88">
        <v>2022</v>
      </c>
      <c r="V88" t="s">
        <v>122</v>
      </c>
      <c r="W88" t="s">
        <v>543</v>
      </c>
      <c r="X88" t="s">
        <v>544</v>
      </c>
    </row>
    <row r="89" spans="1:24" x14ac:dyDescent="0.25">
      <c r="A89" t="s">
        <v>545</v>
      </c>
      <c r="B89" t="s">
        <v>546</v>
      </c>
      <c r="C89" t="s">
        <v>111</v>
      </c>
      <c r="D89" t="s">
        <v>27</v>
      </c>
      <c r="E89" t="s">
        <v>260</v>
      </c>
      <c r="F89" t="s">
        <v>547</v>
      </c>
      <c r="G89" t="s">
        <v>43</v>
      </c>
      <c r="H89">
        <v>377.19</v>
      </c>
      <c r="I89">
        <v>491.33</v>
      </c>
      <c r="J89">
        <v>30.3</v>
      </c>
      <c r="K89">
        <v>2.15</v>
      </c>
      <c r="L89">
        <v>0.73099999999999998</v>
      </c>
      <c r="M89" t="s">
        <v>143</v>
      </c>
      <c r="N89" t="s">
        <v>91</v>
      </c>
      <c r="O89">
        <v>14</v>
      </c>
      <c r="P89">
        <v>252</v>
      </c>
      <c r="Q89">
        <v>56</v>
      </c>
      <c r="R89" t="s">
        <v>33</v>
      </c>
      <c r="S89" t="s">
        <v>47</v>
      </c>
      <c r="T89">
        <v>48</v>
      </c>
      <c r="U89">
        <v>2025</v>
      </c>
      <c r="V89" t="s">
        <v>59</v>
      </c>
      <c r="W89" t="s">
        <v>548</v>
      </c>
      <c r="X89" t="s">
        <v>549</v>
      </c>
    </row>
    <row r="90" spans="1:24" x14ac:dyDescent="0.25">
      <c r="A90" t="s">
        <v>550</v>
      </c>
      <c r="B90" t="s">
        <v>551</v>
      </c>
      <c r="C90" t="s">
        <v>71</v>
      </c>
      <c r="D90" t="s">
        <v>27</v>
      </c>
      <c r="E90" t="s">
        <v>41</v>
      </c>
      <c r="F90" t="s">
        <v>552</v>
      </c>
      <c r="G90" t="s">
        <v>80</v>
      </c>
      <c r="H90">
        <v>173.55</v>
      </c>
      <c r="I90">
        <v>429.37</v>
      </c>
      <c r="J90">
        <v>147.4</v>
      </c>
      <c r="K90">
        <v>3.32</v>
      </c>
      <c r="L90">
        <v>2.2410000000000001</v>
      </c>
      <c r="M90" t="s">
        <v>31</v>
      </c>
      <c r="N90" t="s">
        <v>237</v>
      </c>
      <c r="O90">
        <v>16</v>
      </c>
      <c r="P90">
        <v>160</v>
      </c>
      <c r="Q90">
        <v>48</v>
      </c>
      <c r="R90" t="s">
        <v>33</v>
      </c>
      <c r="S90" t="s">
        <v>47</v>
      </c>
      <c r="T90">
        <v>60</v>
      </c>
      <c r="U90">
        <v>2026</v>
      </c>
      <c r="V90" t="s">
        <v>122</v>
      </c>
      <c r="W90" t="s">
        <v>553</v>
      </c>
      <c r="X90" t="s">
        <v>554</v>
      </c>
    </row>
    <row r="91" spans="1:24" x14ac:dyDescent="0.25">
      <c r="A91" t="s">
        <v>555</v>
      </c>
      <c r="B91" t="s">
        <v>556</v>
      </c>
      <c r="C91" t="s">
        <v>141</v>
      </c>
      <c r="D91" t="s">
        <v>27</v>
      </c>
      <c r="E91" t="s">
        <v>168</v>
      </c>
      <c r="F91" t="s">
        <v>557</v>
      </c>
      <c r="G91" t="s">
        <v>30</v>
      </c>
      <c r="H91">
        <v>222.28</v>
      </c>
      <c r="I91">
        <v>430.65</v>
      </c>
      <c r="J91">
        <v>93.7</v>
      </c>
      <c r="K91">
        <v>2.16</v>
      </c>
      <c r="L91">
        <v>0.73099999999999998</v>
      </c>
      <c r="M91" t="s">
        <v>81</v>
      </c>
      <c r="N91" t="s">
        <v>558</v>
      </c>
      <c r="O91">
        <v>16</v>
      </c>
      <c r="P91">
        <v>160</v>
      </c>
      <c r="Q91">
        <v>80</v>
      </c>
      <c r="R91" t="s">
        <v>33</v>
      </c>
      <c r="S91" t="s">
        <v>47</v>
      </c>
      <c r="T91">
        <v>48</v>
      </c>
      <c r="U91">
        <v>2023</v>
      </c>
      <c r="V91" t="s">
        <v>48</v>
      </c>
      <c r="W91" t="s">
        <v>559</v>
      </c>
      <c r="X91" t="s">
        <v>560</v>
      </c>
    </row>
    <row r="92" spans="1:24" x14ac:dyDescent="0.25">
      <c r="A92" t="s">
        <v>561</v>
      </c>
      <c r="B92" t="s">
        <v>562</v>
      </c>
      <c r="C92" t="s">
        <v>242</v>
      </c>
      <c r="D92" t="s">
        <v>27</v>
      </c>
      <c r="E92" t="s">
        <v>54</v>
      </c>
      <c r="F92" t="s">
        <v>563</v>
      </c>
      <c r="G92" t="s">
        <v>80</v>
      </c>
      <c r="H92">
        <v>461.09</v>
      </c>
      <c r="I92">
        <v>623.9</v>
      </c>
      <c r="J92">
        <v>35.299999999999997</v>
      </c>
      <c r="K92">
        <v>2.73</v>
      </c>
      <c r="L92">
        <v>2.0699999999999998</v>
      </c>
      <c r="M92" t="s">
        <v>81</v>
      </c>
      <c r="N92" t="s">
        <v>74</v>
      </c>
      <c r="O92">
        <v>24</v>
      </c>
      <c r="P92">
        <v>360</v>
      </c>
      <c r="Q92">
        <v>72</v>
      </c>
      <c r="R92" t="s">
        <v>33</v>
      </c>
      <c r="S92" t="s">
        <v>47</v>
      </c>
      <c r="T92">
        <v>24</v>
      </c>
      <c r="U92">
        <v>2021</v>
      </c>
      <c r="V92" t="s">
        <v>122</v>
      </c>
      <c r="W92" t="s">
        <v>564</v>
      </c>
      <c r="X92" t="s">
        <v>565</v>
      </c>
    </row>
    <row r="93" spans="1:24" x14ac:dyDescent="0.25">
      <c r="A93" t="s">
        <v>566</v>
      </c>
      <c r="B93" t="s">
        <v>567</v>
      </c>
      <c r="C93" t="s">
        <v>64</v>
      </c>
      <c r="D93" t="s">
        <v>27</v>
      </c>
      <c r="E93" t="s">
        <v>168</v>
      </c>
      <c r="F93" t="s">
        <v>568</v>
      </c>
      <c r="G93" t="s">
        <v>43</v>
      </c>
      <c r="H93">
        <v>297.5</v>
      </c>
      <c r="I93">
        <v>469.3</v>
      </c>
      <c r="J93">
        <v>57.7</v>
      </c>
      <c r="K93">
        <v>1.1200000000000001</v>
      </c>
      <c r="L93">
        <v>0.46200000000000002</v>
      </c>
      <c r="M93" t="s">
        <v>143</v>
      </c>
      <c r="N93" t="s">
        <v>376</v>
      </c>
      <c r="O93">
        <v>30</v>
      </c>
      <c r="P93">
        <v>330</v>
      </c>
      <c r="Q93">
        <v>90</v>
      </c>
      <c r="R93" t="s">
        <v>33</v>
      </c>
      <c r="S93" t="s">
        <v>47</v>
      </c>
      <c r="T93">
        <v>48</v>
      </c>
      <c r="U93">
        <v>2021</v>
      </c>
      <c r="V93" t="s">
        <v>149</v>
      </c>
      <c r="W93" t="s">
        <v>569</v>
      </c>
      <c r="X93" t="s">
        <v>570</v>
      </c>
    </row>
    <row r="94" spans="1:24" x14ac:dyDescent="0.25">
      <c r="A94" t="s">
        <v>571</v>
      </c>
      <c r="B94" t="s">
        <v>572</v>
      </c>
      <c r="C94" t="s">
        <v>111</v>
      </c>
      <c r="D94" t="s">
        <v>27</v>
      </c>
      <c r="E94" t="s">
        <v>223</v>
      </c>
      <c r="F94" t="s">
        <v>573</v>
      </c>
      <c r="G94" t="s">
        <v>43</v>
      </c>
      <c r="H94">
        <v>79.59</v>
      </c>
      <c r="I94">
        <v>136.69999999999999</v>
      </c>
      <c r="J94">
        <v>71.8</v>
      </c>
      <c r="K94">
        <v>2.54</v>
      </c>
      <c r="L94">
        <v>1.8080000000000001</v>
      </c>
      <c r="M94" t="s">
        <v>81</v>
      </c>
      <c r="N94" t="s">
        <v>106</v>
      </c>
      <c r="O94">
        <v>18</v>
      </c>
      <c r="P94">
        <v>162</v>
      </c>
      <c r="Q94">
        <v>54</v>
      </c>
      <c r="R94" t="s">
        <v>46</v>
      </c>
      <c r="S94" t="s">
        <v>47</v>
      </c>
      <c r="T94">
        <v>12</v>
      </c>
      <c r="U94">
        <v>2024</v>
      </c>
      <c r="V94" t="s">
        <v>122</v>
      </c>
      <c r="W94" t="s">
        <v>574</v>
      </c>
      <c r="X94" t="s">
        <v>575</v>
      </c>
    </row>
    <row r="95" spans="1:24" x14ac:dyDescent="0.25">
      <c r="A95" t="s">
        <v>576</v>
      </c>
      <c r="B95" t="s">
        <v>577</v>
      </c>
      <c r="C95" t="s">
        <v>111</v>
      </c>
      <c r="D95" t="s">
        <v>27</v>
      </c>
      <c r="E95" t="s">
        <v>112</v>
      </c>
      <c r="F95" t="s">
        <v>578</v>
      </c>
      <c r="G95" t="s">
        <v>99</v>
      </c>
      <c r="H95">
        <v>244.68</v>
      </c>
      <c r="I95">
        <v>583.29999999999995</v>
      </c>
      <c r="J95">
        <v>138.4</v>
      </c>
      <c r="K95">
        <v>0.28999999999999998</v>
      </c>
      <c r="L95">
        <v>0.11</v>
      </c>
      <c r="M95" t="s">
        <v>31</v>
      </c>
      <c r="N95" t="s">
        <v>106</v>
      </c>
      <c r="O95">
        <v>9</v>
      </c>
      <c r="P95">
        <v>171</v>
      </c>
      <c r="Q95">
        <v>27</v>
      </c>
      <c r="R95" t="s">
        <v>33</v>
      </c>
      <c r="S95" t="s">
        <v>47</v>
      </c>
      <c r="T95">
        <v>60</v>
      </c>
      <c r="U95">
        <v>2023</v>
      </c>
      <c r="V95" t="s">
        <v>84</v>
      </c>
      <c r="W95" t="s">
        <v>579</v>
      </c>
      <c r="X95" t="s">
        <v>580</v>
      </c>
    </row>
    <row r="96" spans="1:24" x14ac:dyDescent="0.25">
      <c r="A96" t="s">
        <v>581</v>
      </c>
      <c r="B96" t="s">
        <v>582</v>
      </c>
      <c r="C96" t="s">
        <v>111</v>
      </c>
      <c r="D96" t="s">
        <v>27</v>
      </c>
      <c r="E96" t="s">
        <v>28</v>
      </c>
      <c r="F96" t="s">
        <v>583</v>
      </c>
      <c r="G96" t="s">
        <v>99</v>
      </c>
      <c r="H96">
        <v>331.26</v>
      </c>
      <c r="I96">
        <v>662.11</v>
      </c>
      <c r="J96">
        <v>99.9</v>
      </c>
      <c r="K96">
        <v>0.42</v>
      </c>
      <c r="L96">
        <v>0.16200000000000001</v>
      </c>
      <c r="M96" t="s">
        <v>143</v>
      </c>
      <c r="N96" t="s">
        <v>32</v>
      </c>
      <c r="O96">
        <v>35</v>
      </c>
      <c r="P96">
        <v>595</v>
      </c>
      <c r="Q96">
        <v>175</v>
      </c>
      <c r="R96" t="s">
        <v>33</v>
      </c>
      <c r="S96" t="s">
        <v>34</v>
      </c>
      <c r="T96">
        <v>36</v>
      </c>
      <c r="U96">
        <v>2025</v>
      </c>
      <c r="V96" t="s">
        <v>92</v>
      </c>
      <c r="W96" t="s">
        <v>584</v>
      </c>
      <c r="X96" t="s">
        <v>585</v>
      </c>
    </row>
    <row r="97" spans="1:24" x14ac:dyDescent="0.25">
      <c r="A97" t="s">
        <v>586</v>
      </c>
      <c r="B97" t="s">
        <v>587</v>
      </c>
      <c r="C97" t="s">
        <v>40</v>
      </c>
      <c r="D97" t="s">
        <v>27</v>
      </c>
      <c r="E97" t="s">
        <v>154</v>
      </c>
      <c r="F97" t="s">
        <v>588</v>
      </c>
      <c r="G97" t="s">
        <v>99</v>
      </c>
      <c r="H97">
        <v>395.13</v>
      </c>
      <c r="I97">
        <v>688.14</v>
      </c>
      <c r="J97">
        <v>74.2</v>
      </c>
      <c r="K97">
        <v>2.27</v>
      </c>
      <c r="L97">
        <v>1.2290000000000001</v>
      </c>
      <c r="M97" t="s">
        <v>81</v>
      </c>
      <c r="N97" t="s">
        <v>91</v>
      </c>
      <c r="O97">
        <v>14</v>
      </c>
      <c r="P97">
        <v>280</v>
      </c>
      <c r="Q97">
        <v>70</v>
      </c>
      <c r="R97" t="s">
        <v>58</v>
      </c>
      <c r="S97" t="s">
        <v>47</v>
      </c>
      <c r="T97">
        <v>36</v>
      </c>
      <c r="U97">
        <v>2024</v>
      </c>
      <c r="V97" t="s">
        <v>84</v>
      </c>
      <c r="W97" t="s">
        <v>589</v>
      </c>
      <c r="X97" t="s">
        <v>590</v>
      </c>
    </row>
    <row r="98" spans="1:24" x14ac:dyDescent="0.25">
      <c r="A98" t="s">
        <v>591</v>
      </c>
      <c r="B98" t="s">
        <v>592</v>
      </c>
      <c r="C98" t="s">
        <v>53</v>
      </c>
      <c r="D98" t="s">
        <v>27</v>
      </c>
      <c r="E98" t="s">
        <v>182</v>
      </c>
      <c r="F98" t="s">
        <v>593</v>
      </c>
      <c r="G98" t="s">
        <v>80</v>
      </c>
      <c r="H98">
        <v>259</v>
      </c>
      <c r="I98">
        <v>425.34</v>
      </c>
      <c r="J98">
        <v>64.2</v>
      </c>
      <c r="K98">
        <v>0.59</v>
      </c>
      <c r="L98">
        <v>0.28599999999999998</v>
      </c>
      <c r="M98" t="s">
        <v>56</v>
      </c>
      <c r="N98" t="s">
        <v>177</v>
      </c>
      <c r="O98">
        <v>17</v>
      </c>
      <c r="P98">
        <v>272</v>
      </c>
      <c r="Q98">
        <v>51</v>
      </c>
      <c r="R98" t="s">
        <v>33</v>
      </c>
      <c r="S98" t="s">
        <v>47</v>
      </c>
      <c r="T98">
        <v>24</v>
      </c>
      <c r="U98">
        <v>2024</v>
      </c>
      <c r="V98" t="s">
        <v>84</v>
      </c>
      <c r="W98" t="s">
        <v>594</v>
      </c>
      <c r="X98" t="s">
        <v>595</v>
      </c>
    </row>
    <row r="99" spans="1:24" x14ac:dyDescent="0.25">
      <c r="A99" t="s">
        <v>596</v>
      </c>
      <c r="B99" t="s">
        <v>597</v>
      </c>
      <c r="C99" t="s">
        <v>242</v>
      </c>
      <c r="D99" t="s">
        <v>27</v>
      </c>
      <c r="E99" t="s">
        <v>205</v>
      </c>
      <c r="F99" t="s">
        <v>598</v>
      </c>
      <c r="G99" t="s">
        <v>43</v>
      </c>
      <c r="H99">
        <v>180.6</v>
      </c>
      <c r="I99">
        <v>306.91000000000003</v>
      </c>
      <c r="J99">
        <v>69.900000000000006</v>
      </c>
      <c r="K99">
        <v>2.19</v>
      </c>
      <c r="L99">
        <v>1.4470000000000001</v>
      </c>
      <c r="M99" t="s">
        <v>114</v>
      </c>
      <c r="N99" t="s">
        <v>170</v>
      </c>
      <c r="O99">
        <v>31</v>
      </c>
      <c r="P99">
        <v>341</v>
      </c>
      <c r="Q99">
        <v>93</v>
      </c>
      <c r="R99" t="s">
        <v>33</v>
      </c>
      <c r="S99" t="s">
        <v>47</v>
      </c>
      <c r="T99">
        <v>60</v>
      </c>
      <c r="U99">
        <v>2024</v>
      </c>
      <c r="V99" t="s">
        <v>122</v>
      </c>
      <c r="W99" t="s">
        <v>599</v>
      </c>
      <c r="X99" t="s">
        <v>600</v>
      </c>
    </row>
    <row r="100" spans="1:24" x14ac:dyDescent="0.25">
      <c r="A100" t="s">
        <v>601</v>
      </c>
      <c r="B100" t="s">
        <v>602</v>
      </c>
      <c r="C100" t="s">
        <v>71</v>
      </c>
      <c r="D100" t="s">
        <v>27</v>
      </c>
      <c r="E100" t="s">
        <v>41</v>
      </c>
      <c r="F100" t="s">
        <v>603</v>
      </c>
      <c r="G100" t="s">
        <v>80</v>
      </c>
      <c r="H100">
        <v>277.45</v>
      </c>
      <c r="I100">
        <v>681.61</v>
      </c>
      <c r="J100">
        <v>145.69999999999999</v>
      </c>
      <c r="K100">
        <v>0.83</v>
      </c>
      <c r="L100">
        <v>0.497</v>
      </c>
      <c r="M100" t="s">
        <v>56</v>
      </c>
      <c r="N100" t="s">
        <v>136</v>
      </c>
      <c r="O100">
        <v>6</v>
      </c>
      <c r="P100">
        <v>108</v>
      </c>
      <c r="Q100">
        <v>30</v>
      </c>
      <c r="R100" t="s">
        <v>33</v>
      </c>
      <c r="S100" t="s">
        <v>47</v>
      </c>
      <c r="T100">
        <v>36</v>
      </c>
      <c r="U100">
        <v>2025</v>
      </c>
      <c r="V100" t="s">
        <v>92</v>
      </c>
      <c r="W100" t="s">
        <v>604</v>
      </c>
      <c r="X100" t="s">
        <v>605</v>
      </c>
    </row>
    <row r="101" spans="1:24" x14ac:dyDescent="0.25">
      <c r="A101" t="s">
        <v>606</v>
      </c>
      <c r="B101" t="s">
        <v>607</v>
      </c>
      <c r="C101" t="s">
        <v>242</v>
      </c>
      <c r="D101" t="s">
        <v>27</v>
      </c>
      <c r="E101" t="s">
        <v>243</v>
      </c>
      <c r="F101" t="s">
        <v>608</v>
      </c>
      <c r="G101" t="s">
        <v>30</v>
      </c>
      <c r="H101">
        <v>393.74</v>
      </c>
      <c r="I101">
        <v>659.8</v>
      </c>
      <c r="J101">
        <v>67.599999999999994</v>
      </c>
      <c r="K101">
        <v>1.46</v>
      </c>
      <c r="L101">
        <v>0.72</v>
      </c>
      <c r="M101" t="s">
        <v>114</v>
      </c>
      <c r="N101" t="s">
        <v>558</v>
      </c>
      <c r="O101">
        <v>22</v>
      </c>
      <c r="P101">
        <v>330</v>
      </c>
      <c r="Q101">
        <v>110</v>
      </c>
      <c r="R101" t="s">
        <v>33</v>
      </c>
      <c r="S101" t="s">
        <v>47</v>
      </c>
      <c r="T101">
        <v>60</v>
      </c>
      <c r="U101">
        <v>2026</v>
      </c>
      <c r="V101" t="s">
        <v>84</v>
      </c>
      <c r="W101" t="s">
        <v>609</v>
      </c>
      <c r="X101" t="s">
        <v>610</v>
      </c>
    </row>
    <row r="102" spans="1:24" x14ac:dyDescent="0.25">
      <c r="A102" t="s">
        <v>611</v>
      </c>
      <c r="B102" t="s">
        <v>612</v>
      </c>
      <c r="C102" t="s">
        <v>64</v>
      </c>
      <c r="D102" t="s">
        <v>27</v>
      </c>
      <c r="E102" t="s">
        <v>260</v>
      </c>
      <c r="F102" t="s">
        <v>613</v>
      </c>
      <c r="G102" t="s">
        <v>99</v>
      </c>
      <c r="H102">
        <v>139.58000000000001</v>
      </c>
      <c r="I102">
        <v>259.88</v>
      </c>
      <c r="J102">
        <v>86.2</v>
      </c>
      <c r="K102">
        <v>1.8</v>
      </c>
      <c r="L102">
        <v>1.264</v>
      </c>
      <c r="M102" t="s">
        <v>100</v>
      </c>
      <c r="N102" t="s">
        <v>303</v>
      </c>
      <c r="O102">
        <v>9</v>
      </c>
      <c r="P102">
        <v>144</v>
      </c>
      <c r="Q102">
        <v>36</v>
      </c>
      <c r="R102" t="s">
        <v>58</v>
      </c>
      <c r="S102" t="s">
        <v>47</v>
      </c>
      <c r="T102">
        <v>60</v>
      </c>
      <c r="U102">
        <v>2025</v>
      </c>
      <c r="V102" t="s">
        <v>171</v>
      </c>
      <c r="W102" t="s">
        <v>614</v>
      </c>
      <c r="X102" t="s">
        <v>615</v>
      </c>
    </row>
    <row r="103" spans="1:24" x14ac:dyDescent="0.25">
      <c r="A103" t="s">
        <v>616</v>
      </c>
      <c r="B103" t="s">
        <v>617</v>
      </c>
      <c r="C103" t="s">
        <v>167</v>
      </c>
      <c r="D103" t="s">
        <v>27</v>
      </c>
      <c r="E103" t="s">
        <v>182</v>
      </c>
      <c r="F103" t="s">
        <v>618</v>
      </c>
      <c r="G103" t="s">
        <v>30</v>
      </c>
      <c r="H103">
        <v>278.29000000000002</v>
      </c>
      <c r="I103">
        <v>518.35</v>
      </c>
      <c r="J103">
        <v>86.3</v>
      </c>
      <c r="K103">
        <v>1.77</v>
      </c>
      <c r="L103">
        <v>0.82399999999999995</v>
      </c>
      <c r="M103" t="s">
        <v>44</v>
      </c>
      <c r="N103" t="s">
        <v>121</v>
      </c>
      <c r="O103">
        <v>31</v>
      </c>
      <c r="P103">
        <v>279</v>
      </c>
      <c r="Q103">
        <v>124</v>
      </c>
      <c r="R103" t="s">
        <v>33</v>
      </c>
      <c r="S103" t="s">
        <v>34</v>
      </c>
      <c r="T103">
        <v>36</v>
      </c>
      <c r="U103">
        <v>2026</v>
      </c>
      <c r="V103" t="s">
        <v>92</v>
      </c>
      <c r="W103" t="s">
        <v>619</v>
      </c>
      <c r="X103" t="s">
        <v>620</v>
      </c>
    </row>
    <row r="104" spans="1:24" x14ac:dyDescent="0.25">
      <c r="A104" t="s">
        <v>621</v>
      </c>
      <c r="B104" t="s">
        <v>622</v>
      </c>
      <c r="C104" t="s">
        <v>40</v>
      </c>
      <c r="D104" t="s">
        <v>27</v>
      </c>
      <c r="E104" t="s">
        <v>119</v>
      </c>
      <c r="F104" t="s">
        <v>623</v>
      </c>
      <c r="G104" t="s">
        <v>43</v>
      </c>
      <c r="H104">
        <v>312.58999999999997</v>
      </c>
      <c r="I104">
        <v>444.4</v>
      </c>
      <c r="J104">
        <v>42.2</v>
      </c>
      <c r="K104">
        <v>2.2400000000000002</v>
      </c>
      <c r="L104">
        <v>0.70699999999999996</v>
      </c>
      <c r="M104" t="s">
        <v>135</v>
      </c>
      <c r="N104" t="s">
        <v>45</v>
      </c>
      <c r="O104">
        <v>31</v>
      </c>
      <c r="P104">
        <v>589</v>
      </c>
      <c r="Q104">
        <v>93</v>
      </c>
      <c r="R104" t="s">
        <v>58</v>
      </c>
      <c r="S104" t="s">
        <v>47</v>
      </c>
      <c r="T104">
        <v>12</v>
      </c>
      <c r="U104">
        <v>2024</v>
      </c>
      <c r="V104" t="s">
        <v>149</v>
      </c>
      <c r="W104" t="s">
        <v>624</v>
      </c>
      <c r="X104" t="s">
        <v>625</v>
      </c>
    </row>
    <row r="105" spans="1:24" x14ac:dyDescent="0.25">
      <c r="A105" t="s">
        <v>626</v>
      </c>
      <c r="B105" t="s">
        <v>627</v>
      </c>
      <c r="C105" t="s">
        <v>141</v>
      </c>
      <c r="D105" t="s">
        <v>27</v>
      </c>
      <c r="E105" t="s">
        <v>243</v>
      </c>
      <c r="F105" t="s">
        <v>628</v>
      </c>
      <c r="G105" t="s">
        <v>80</v>
      </c>
      <c r="H105">
        <v>442.77</v>
      </c>
      <c r="I105">
        <v>954.87</v>
      </c>
      <c r="J105">
        <v>115.7</v>
      </c>
      <c r="K105">
        <v>0.31</v>
      </c>
      <c r="L105">
        <v>0.248</v>
      </c>
      <c r="M105" t="s">
        <v>143</v>
      </c>
      <c r="N105" t="s">
        <v>106</v>
      </c>
      <c r="O105">
        <v>11</v>
      </c>
      <c r="P105">
        <v>165</v>
      </c>
      <c r="Q105">
        <v>55</v>
      </c>
      <c r="R105" t="s">
        <v>33</v>
      </c>
      <c r="S105" t="s">
        <v>47</v>
      </c>
      <c r="T105">
        <v>36</v>
      </c>
      <c r="U105">
        <v>2022</v>
      </c>
      <c r="V105" t="s">
        <v>122</v>
      </c>
      <c r="W105" t="s">
        <v>629</v>
      </c>
      <c r="X105" t="s">
        <v>630</v>
      </c>
    </row>
    <row r="106" spans="1:24" x14ac:dyDescent="0.25">
      <c r="A106" t="s">
        <v>631</v>
      </c>
      <c r="B106" t="s">
        <v>632</v>
      </c>
      <c r="C106" t="s">
        <v>53</v>
      </c>
      <c r="D106" t="s">
        <v>27</v>
      </c>
      <c r="E106" t="s">
        <v>89</v>
      </c>
      <c r="F106" t="s">
        <v>633</v>
      </c>
      <c r="G106" t="s">
        <v>99</v>
      </c>
      <c r="H106">
        <v>175.55</v>
      </c>
      <c r="I106">
        <v>278.77999999999997</v>
      </c>
      <c r="J106">
        <v>58.8</v>
      </c>
      <c r="K106">
        <v>3.3</v>
      </c>
      <c r="L106">
        <v>2.153</v>
      </c>
      <c r="M106" t="s">
        <v>44</v>
      </c>
      <c r="N106" t="s">
        <v>162</v>
      </c>
      <c r="O106">
        <v>27</v>
      </c>
      <c r="P106">
        <v>351</v>
      </c>
      <c r="Q106">
        <v>108</v>
      </c>
      <c r="R106" t="s">
        <v>33</v>
      </c>
      <c r="S106" t="s">
        <v>47</v>
      </c>
      <c r="T106">
        <v>60</v>
      </c>
      <c r="U106">
        <v>2026</v>
      </c>
      <c r="V106" t="s">
        <v>48</v>
      </c>
      <c r="W106" t="s">
        <v>634</v>
      </c>
      <c r="X106" t="s">
        <v>635</v>
      </c>
    </row>
    <row r="107" spans="1:24" x14ac:dyDescent="0.25">
      <c r="A107" t="s">
        <v>636</v>
      </c>
      <c r="B107" t="s">
        <v>637</v>
      </c>
      <c r="C107" t="s">
        <v>111</v>
      </c>
      <c r="D107" t="s">
        <v>27</v>
      </c>
      <c r="E107" t="s">
        <v>89</v>
      </c>
      <c r="F107" t="s">
        <v>638</v>
      </c>
      <c r="G107" t="s">
        <v>80</v>
      </c>
      <c r="H107">
        <v>418.27</v>
      </c>
      <c r="I107">
        <v>1020.99</v>
      </c>
      <c r="J107">
        <v>144.1</v>
      </c>
      <c r="K107">
        <v>2.84</v>
      </c>
      <c r="L107">
        <v>1.3440000000000001</v>
      </c>
      <c r="M107" t="s">
        <v>44</v>
      </c>
      <c r="N107" t="s">
        <v>303</v>
      </c>
      <c r="O107">
        <v>14</v>
      </c>
      <c r="P107">
        <v>210</v>
      </c>
      <c r="Q107">
        <v>70</v>
      </c>
      <c r="R107" t="s">
        <v>58</v>
      </c>
      <c r="S107" t="s">
        <v>47</v>
      </c>
      <c r="T107">
        <v>48</v>
      </c>
      <c r="U107">
        <v>2022</v>
      </c>
      <c r="V107" t="s">
        <v>35</v>
      </c>
      <c r="W107" t="s">
        <v>639</v>
      </c>
      <c r="X107" t="s">
        <v>640</v>
      </c>
    </row>
    <row r="108" spans="1:24" x14ac:dyDescent="0.25">
      <c r="A108" t="s">
        <v>641</v>
      </c>
      <c r="B108" t="s">
        <v>642</v>
      </c>
      <c r="C108" t="s">
        <v>40</v>
      </c>
      <c r="D108" t="s">
        <v>27</v>
      </c>
      <c r="E108" t="s">
        <v>168</v>
      </c>
      <c r="F108" t="s">
        <v>643</v>
      </c>
      <c r="G108" t="s">
        <v>99</v>
      </c>
      <c r="H108">
        <v>72.84</v>
      </c>
      <c r="I108">
        <v>173.12</v>
      </c>
      <c r="J108">
        <v>137.69999999999999</v>
      </c>
      <c r="K108">
        <v>0.87</v>
      </c>
      <c r="L108">
        <v>0.57299999999999995</v>
      </c>
      <c r="M108" t="s">
        <v>114</v>
      </c>
      <c r="N108" t="s">
        <v>136</v>
      </c>
      <c r="O108">
        <v>8</v>
      </c>
      <c r="P108">
        <v>72</v>
      </c>
      <c r="Q108">
        <v>40</v>
      </c>
      <c r="R108" t="s">
        <v>33</v>
      </c>
      <c r="S108" t="s">
        <v>47</v>
      </c>
      <c r="T108">
        <v>12</v>
      </c>
      <c r="U108">
        <v>2025</v>
      </c>
      <c r="V108" t="s">
        <v>171</v>
      </c>
      <c r="W108" t="s">
        <v>644</v>
      </c>
      <c r="X108" t="s">
        <v>645</v>
      </c>
    </row>
    <row r="109" spans="1:24" x14ac:dyDescent="0.25">
      <c r="A109" t="s">
        <v>646</v>
      </c>
      <c r="B109" t="s">
        <v>647</v>
      </c>
      <c r="C109" t="s">
        <v>141</v>
      </c>
      <c r="D109" t="s">
        <v>27</v>
      </c>
      <c r="E109" t="s">
        <v>41</v>
      </c>
      <c r="F109" t="s">
        <v>648</v>
      </c>
      <c r="G109" t="s">
        <v>30</v>
      </c>
      <c r="H109">
        <v>178.44</v>
      </c>
      <c r="I109">
        <v>227.85</v>
      </c>
      <c r="J109">
        <v>27.7</v>
      </c>
      <c r="K109">
        <v>2.71</v>
      </c>
      <c r="L109">
        <v>2.0819999999999999</v>
      </c>
      <c r="M109" t="s">
        <v>114</v>
      </c>
      <c r="N109" t="s">
        <v>91</v>
      </c>
      <c r="O109">
        <v>28</v>
      </c>
      <c r="P109">
        <v>280</v>
      </c>
      <c r="Q109">
        <v>112</v>
      </c>
      <c r="R109" t="s">
        <v>58</v>
      </c>
      <c r="S109" t="s">
        <v>47</v>
      </c>
      <c r="T109">
        <v>12</v>
      </c>
      <c r="U109">
        <v>2024</v>
      </c>
      <c r="V109" t="s">
        <v>122</v>
      </c>
      <c r="W109" t="s">
        <v>649</v>
      </c>
      <c r="X109" t="s">
        <v>650</v>
      </c>
    </row>
    <row r="110" spans="1:24" x14ac:dyDescent="0.25">
      <c r="A110" t="s">
        <v>651</v>
      </c>
      <c r="B110" t="s">
        <v>652</v>
      </c>
      <c r="C110" t="s">
        <v>40</v>
      </c>
      <c r="D110" t="s">
        <v>27</v>
      </c>
      <c r="E110" t="s">
        <v>119</v>
      </c>
      <c r="F110" t="s">
        <v>653</v>
      </c>
      <c r="G110" t="s">
        <v>30</v>
      </c>
      <c r="H110">
        <v>178.05</v>
      </c>
      <c r="I110">
        <v>442.6</v>
      </c>
      <c r="J110">
        <v>148.6</v>
      </c>
      <c r="K110">
        <v>1.95</v>
      </c>
      <c r="L110">
        <v>0.85099999999999998</v>
      </c>
      <c r="M110" t="s">
        <v>81</v>
      </c>
      <c r="N110" t="s">
        <v>654</v>
      </c>
      <c r="O110">
        <v>32</v>
      </c>
      <c r="P110">
        <v>640</v>
      </c>
      <c r="Q110">
        <v>96</v>
      </c>
      <c r="R110" t="s">
        <v>33</v>
      </c>
      <c r="S110" t="s">
        <v>47</v>
      </c>
      <c r="T110">
        <v>24</v>
      </c>
      <c r="U110">
        <v>2026</v>
      </c>
      <c r="V110" t="s">
        <v>122</v>
      </c>
      <c r="W110" t="s">
        <v>655</v>
      </c>
      <c r="X110" t="s">
        <v>656</v>
      </c>
    </row>
    <row r="111" spans="1:24" x14ac:dyDescent="0.25">
      <c r="A111" t="s">
        <v>657</v>
      </c>
      <c r="B111" t="s">
        <v>658</v>
      </c>
      <c r="C111" t="s">
        <v>242</v>
      </c>
      <c r="D111" t="s">
        <v>27</v>
      </c>
      <c r="E111" t="s">
        <v>54</v>
      </c>
      <c r="F111" t="s">
        <v>659</v>
      </c>
      <c r="G111" t="s">
        <v>30</v>
      </c>
      <c r="H111">
        <v>405.85</v>
      </c>
      <c r="I111">
        <v>786.58</v>
      </c>
      <c r="J111">
        <v>93.8</v>
      </c>
      <c r="K111">
        <v>2.67</v>
      </c>
      <c r="L111">
        <v>1.905</v>
      </c>
      <c r="M111" t="s">
        <v>143</v>
      </c>
      <c r="N111" t="s">
        <v>387</v>
      </c>
      <c r="O111">
        <v>32</v>
      </c>
      <c r="P111">
        <v>512</v>
      </c>
      <c r="Q111">
        <v>128</v>
      </c>
      <c r="R111" t="s">
        <v>58</v>
      </c>
      <c r="S111" t="s">
        <v>47</v>
      </c>
      <c r="T111">
        <v>48</v>
      </c>
      <c r="U111">
        <v>2026</v>
      </c>
      <c r="V111" t="s">
        <v>84</v>
      </c>
      <c r="W111" t="s">
        <v>660</v>
      </c>
      <c r="X111" t="s">
        <v>661</v>
      </c>
    </row>
    <row r="112" spans="1:24" x14ac:dyDescent="0.25">
      <c r="A112" t="s">
        <v>662</v>
      </c>
      <c r="B112" t="s">
        <v>663</v>
      </c>
      <c r="C112" t="s">
        <v>141</v>
      </c>
      <c r="D112" t="s">
        <v>27</v>
      </c>
      <c r="E112" t="s">
        <v>260</v>
      </c>
      <c r="F112" t="s">
        <v>664</v>
      </c>
      <c r="G112" t="s">
        <v>30</v>
      </c>
      <c r="H112">
        <v>222.61</v>
      </c>
      <c r="I112">
        <v>396.41</v>
      </c>
      <c r="J112">
        <v>78.099999999999994</v>
      </c>
      <c r="K112">
        <v>1.01</v>
      </c>
      <c r="L112">
        <v>0.309</v>
      </c>
      <c r="M112" t="s">
        <v>56</v>
      </c>
      <c r="N112" t="s">
        <v>476</v>
      </c>
      <c r="O112">
        <v>23</v>
      </c>
      <c r="P112">
        <v>414</v>
      </c>
      <c r="Q112">
        <v>92</v>
      </c>
      <c r="R112" t="s">
        <v>58</v>
      </c>
      <c r="S112" t="s">
        <v>83</v>
      </c>
      <c r="T112">
        <v>24</v>
      </c>
      <c r="U112">
        <v>2021</v>
      </c>
      <c r="V112" t="s">
        <v>84</v>
      </c>
      <c r="W112" t="s">
        <v>665</v>
      </c>
      <c r="X112" t="s">
        <v>666</v>
      </c>
    </row>
    <row r="113" spans="1:24" x14ac:dyDescent="0.25">
      <c r="A113" t="s">
        <v>667</v>
      </c>
      <c r="B113" t="s">
        <v>668</v>
      </c>
      <c r="C113" t="s">
        <v>167</v>
      </c>
      <c r="D113" t="s">
        <v>27</v>
      </c>
      <c r="E113" t="s">
        <v>182</v>
      </c>
      <c r="F113" t="s">
        <v>669</v>
      </c>
      <c r="G113" t="s">
        <v>30</v>
      </c>
      <c r="H113">
        <v>360.63</v>
      </c>
      <c r="I113">
        <v>732.2</v>
      </c>
      <c r="J113">
        <v>103</v>
      </c>
      <c r="K113">
        <v>3.3</v>
      </c>
      <c r="L113">
        <v>1.7789999999999999</v>
      </c>
      <c r="M113" t="s">
        <v>56</v>
      </c>
      <c r="N113" t="s">
        <v>387</v>
      </c>
      <c r="O113">
        <v>12</v>
      </c>
      <c r="P113">
        <v>180</v>
      </c>
      <c r="Q113">
        <v>60</v>
      </c>
      <c r="R113" t="s">
        <v>33</v>
      </c>
      <c r="S113" t="s">
        <v>34</v>
      </c>
      <c r="T113">
        <v>36</v>
      </c>
      <c r="U113">
        <v>2024</v>
      </c>
      <c r="V113" t="s">
        <v>122</v>
      </c>
      <c r="W113" t="s">
        <v>670</v>
      </c>
      <c r="X113" t="s">
        <v>671</v>
      </c>
    </row>
    <row r="114" spans="1:24" x14ac:dyDescent="0.25">
      <c r="A114" t="s">
        <v>672</v>
      </c>
      <c r="B114" t="s">
        <v>673</v>
      </c>
      <c r="C114" t="s">
        <v>141</v>
      </c>
      <c r="D114" t="s">
        <v>27</v>
      </c>
      <c r="E114" t="s">
        <v>223</v>
      </c>
      <c r="F114" t="s">
        <v>674</v>
      </c>
      <c r="G114" t="s">
        <v>80</v>
      </c>
      <c r="H114">
        <v>287.68</v>
      </c>
      <c r="I114">
        <v>480.52</v>
      </c>
      <c r="J114">
        <v>67</v>
      </c>
      <c r="K114">
        <v>3.22</v>
      </c>
      <c r="L114">
        <v>1.2909999999999999</v>
      </c>
      <c r="M114" t="s">
        <v>31</v>
      </c>
      <c r="N114" t="s">
        <v>136</v>
      </c>
      <c r="O114">
        <v>31</v>
      </c>
      <c r="P114">
        <v>496</v>
      </c>
      <c r="Q114">
        <v>93</v>
      </c>
      <c r="R114" t="s">
        <v>33</v>
      </c>
      <c r="S114" t="s">
        <v>47</v>
      </c>
      <c r="T114">
        <v>36</v>
      </c>
      <c r="U114">
        <v>2025</v>
      </c>
      <c r="V114" t="s">
        <v>122</v>
      </c>
      <c r="W114" t="s">
        <v>675</v>
      </c>
      <c r="X114" t="s">
        <v>676</v>
      </c>
    </row>
    <row r="115" spans="1:24" x14ac:dyDescent="0.25">
      <c r="A115" t="s">
        <v>677</v>
      </c>
      <c r="B115" t="s">
        <v>678</v>
      </c>
      <c r="C115" t="s">
        <v>111</v>
      </c>
      <c r="D115" t="s">
        <v>27</v>
      </c>
      <c r="E115" t="s">
        <v>168</v>
      </c>
      <c r="F115" t="s">
        <v>679</v>
      </c>
      <c r="G115" t="s">
        <v>43</v>
      </c>
      <c r="H115">
        <v>254.04</v>
      </c>
      <c r="I115">
        <v>474.35</v>
      </c>
      <c r="J115">
        <v>86.7</v>
      </c>
      <c r="K115">
        <v>1.65</v>
      </c>
      <c r="L115">
        <v>0.749</v>
      </c>
      <c r="M115" t="s">
        <v>100</v>
      </c>
      <c r="N115" t="s">
        <v>287</v>
      </c>
      <c r="O115">
        <v>19</v>
      </c>
      <c r="P115">
        <v>152</v>
      </c>
      <c r="Q115">
        <v>76</v>
      </c>
      <c r="R115" t="s">
        <v>58</v>
      </c>
      <c r="S115" t="s">
        <v>47</v>
      </c>
      <c r="T115">
        <v>12</v>
      </c>
      <c r="U115">
        <v>2026</v>
      </c>
      <c r="V115" t="s">
        <v>35</v>
      </c>
      <c r="W115" t="s">
        <v>680</v>
      </c>
      <c r="X115" t="s">
        <v>681</v>
      </c>
    </row>
    <row r="116" spans="1:24" x14ac:dyDescent="0.25">
      <c r="A116" t="s">
        <v>682</v>
      </c>
      <c r="B116" t="s">
        <v>683</v>
      </c>
      <c r="C116" t="s">
        <v>167</v>
      </c>
      <c r="D116" t="s">
        <v>27</v>
      </c>
      <c r="E116" t="s">
        <v>154</v>
      </c>
      <c r="F116" t="s">
        <v>684</v>
      </c>
      <c r="G116" t="s">
        <v>43</v>
      </c>
      <c r="H116">
        <v>293.52</v>
      </c>
      <c r="I116">
        <v>375.22</v>
      </c>
      <c r="J116">
        <v>27.8</v>
      </c>
      <c r="K116">
        <v>3.14</v>
      </c>
      <c r="L116">
        <v>2.149</v>
      </c>
      <c r="M116" t="s">
        <v>81</v>
      </c>
      <c r="N116" t="s">
        <v>303</v>
      </c>
      <c r="O116">
        <v>14</v>
      </c>
      <c r="P116">
        <v>280</v>
      </c>
      <c r="Q116">
        <v>70</v>
      </c>
      <c r="R116" t="s">
        <v>33</v>
      </c>
      <c r="S116" t="s">
        <v>83</v>
      </c>
      <c r="T116">
        <v>48</v>
      </c>
      <c r="U116">
        <v>2023</v>
      </c>
      <c r="V116" t="s">
        <v>59</v>
      </c>
      <c r="W116" t="s">
        <v>685</v>
      </c>
      <c r="X116" t="s">
        <v>686</v>
      </c>
    </row>
    <row r="117" spans="1:24" x14ac:dyDescent="0.25">
      <c r="A117" t="s">
        <v>687</v>
      </c>
      <c r="B117" t="s">
        <v>688</v>
      </c>
      <c r="C117" t="s">
        <v>111</v>
      </c>
      <c r="D117" t="s">
        <v>27</v>
      </c>
      <c r="E117" t="s">
        <v>168</v>
      </c>
      <c r="F117" t="s">
        <v>689</v>
      </c>
      <c r="G117" t="s">
        <v>30</v>
      </c>
      <c r="H117">
        <v>103.38</v>
      </c>
      <c r="I117">
        <v>257.49</v>
      </c>
      <c r="J117">
        <v>149.1</v>
      </c>
      <c r="K117">
        <v>1.44</v>
      </c>
      <c r="L117">
        <v>0.44800000000000001</v>
      </c>
      <c r="M117" t="s">
        <v>143</v>
      </c>
      <c r="N117" t="s">
        <v>690</v>
      </c>
      <c r="O117">
        <v>31</v>
      </c>
      <c r="P117">
        <v>372</v>
      </c>
      <c r="Q117">
        <v>124</v>
      </c>
      <c r="R117" t="s">
        <v>33</v>
      </c>
      <c r="S117" t="s">
        <v>83</v>
      </c>
      <c r="T117">
        <v>60</v>
      </c>
      <c r="U117">
        <v>2024</v>
      </c>
      <c r="V117" t="s">
        <v>59</v>
      </c>
      <c r="W117" t="s">
        <v>691</v>
      </c>
      <c r="X117" t="s">
        <v>692</v>
      </c>
    </row>
    <row r="118" spans="1:24" x14ac:dyDescent="0.25">
      <c r="A118" t="s">
        <v>693</v>
      </c>
      <c r="B118" t="s">
        <v>694</v>
      </c>
      <c r="C118" t="s">
        <v>53</v>
      </c>
      <c r="D118" t="s">
        <v>27</v>
      </c>
      <c r="E118" t="s">
        <v>205</v>
      </c>
      <c r="F118" t="s">
        <v>695</v>
      </c>
      <c r="G118" t="s">
        <v>99</v>
      </c>
      <c r="H118">
        <v>174.04</v>
      </c>
      <c r="I118">
        <v>420.94</v>
      </c>
      <c r="J118">
        <v>141.9</v>
      </c>
      <c r="K118">
        <v>2.57</v>
      </c>
      <c r="L118">
        <v>1.5609999999999999</v>
      </c>
      <c r="M118" t="s">
        <v>31</v>
      </c>
      <c r="N118" t="s">
        <v>303</v>
      </c>
      <c r="O118">
        <v>30</v>
      </c>
      <c r="P118">
        <v>240</v>
      </c>
      <c r="Q118">
        <v>90</v>
      </c>
      <c r="R118" t="s">
        <v>58</v>
      </c>
      <c r="S118" t="s">
        <v>47</v>
      </c>
      <c r="T118">
        <v>12</v>
      </c>
      <c r="U118">
        <v>2021</v>
      </c>
      <c r="V118" t="s">
        <v>92</v>
      </c>
      <c r="W118" t="s">
        <v>696</v>
      </c>
      <c r="X118" t="s">
        <v>697</v>
      </c>
    </row>
    <row r="119" spans="1:24" x14ac:dyDescent="0.25">
      <c r="A119" t="s">
        <v>698</v>
      </c>
      <c r="B119" t="s">
        <v>699</v>
      </c>
      <c r="C119" t="s">
        <v>71</v>
      </c>
      <c r="D119" t="s">
        <v>27</v>
      </c>
      <c r="E119" t="s">
        <v>205</v>
      </c>
      <c r="F119" t="s">
        <v>700</v>
      </c>
      <c r="G119" t="s">
        <v>80</v>
      </c>
      <c r="H119">
        <v>155.44999999999999</v>
      </c>
      <c r="I119">
        <v>230.45</v>
      </c>
      <c r="J119">
        <v>48.2</v>
      </c>
      <c r="K119">
        <v>3.04</v>
      </c>
      <c r="L119">
        <v>2.1520000000000001</v>
      </c>
      <c r="M119" t="s">
        <v>100</v>
      </c>
      <c r="N119" t="s">
        <v>654</v>
      </c>
      <c r="O119">
        <v>21</v>
      </c>
      <c r="P119">
        <v>399</v>
      </c>
      <c r="Q119">
        <v>105</v>
      </c>
      <c r="R119" t="s">
        <v>33</v>
      </c>
      <c r="S119" t="s">
        <v>47</v>
      </c>
      <c r="T119">
        <v>60</v>
      </c>
      <c r="U119">
        <v>2025</v>
      </c>
      <c r="V119" t="s">
        <v>149</v>
      </c>
      <c r="W119" t="s">
        <v>701</v>
      </c>
      <c r="X119" t="s">
        <v>702</v>
      </c>
    </row>
    <row r="120" spans="1:24" x14ac:dyDescent="0.25">
      <c r="A120" t="s">
        <v>703</v>
      </c>
      <c r="B120" t="s">
        <v>704</v>
      </c>
      <c r="C120" t="s">
        <v>242</v>
      </c>
      <c r="D120" t="s">
        <v>27</v>
      </c>
      <c r="E120" t="s">
        <v>112</v>
      </c>
      <c r="F120" t="s">
        <v>705</v>
      </c>
      <c r="G120" t="s">
        <v>99</v>
      </c>
      <c r="H120">
        <v>236.1</v>
      </c>
      <c r="I120">
        <v>367.77</v>
      </c>
      <c r="J120">
        <v>55.8</v>
      </c>
      <c r="K120">
        <v>1.99</v>
      </c>
      <c r="L120">
        <v>1.5640000000000001</v>
      </c>
      <c r="M120" t="s">
        <v>143</v>
      </c>
      <c r="N120" t="s">
        <v>423</v>
      </c>
      <c r="O120">
        <v>22</v>
      </c>
      <c r="P120">
        <v>396</v>
      </c>
      <c r="Q120">
        <v>110</v>
      </c>
      <c r="R120" t="s">
        <v>33</v>
      </c>
      <c r="S120" t="s">
        <v>47</v>
      </c>
      <c r="T120">
        <v>60</v>
      </c>
      <c r="U120">
        <v>2023</v>
      </c>
      <c r="V120" t="s">
        <v>59</v>
      </c>
      <c r="W120" t="s">
        <v>706</v>
      </c>
      <c r="X120" t="s">
        <v>707</v>
      </c>
    </row>
    <row r="121" spans="1:24" x14ac:dyDescent="0.25">
      <c r="A121" t="s">
        <v>708</v>
      </c>
      <c r="B121" t="s">
        <v>709</v>
      </c>
      <c r="C121" t="s">
        <v>167</v>
      </c>
      <c r="D121" t="s">
        <v>27</v>
      </c>
      <c r="E121" t="s">
        <v>119</v>
      </c>
      <c r="F121" t="s">
        <v>710</v>
      </c>
      <c r="G121" t="s">
        <v>80</v>
      </c>
      <c r="H121">
        <v>158.44</v>
      </c>
      <c r="I121">
        <v>236.54</v>
      </c>
      <c r="J121">
        <v>49.3</v>
      </c>
      <c r="K121">
        <v>3.02</v>
      </c>
      <c r="L121">
        <v>1.5289999999999999</v>
      </c>
      <c r="M121" t="s">
        <v>143</v>
      </c>
      <c r="N121" t="s">
        <v>340</v>
      </c>
      <c r="O121">
        <v>34</v>
      </c>
      <c r="P121">
        <v>476</v>
      </c>
      <c r="Q121">
        <v>170</v>
      </c>
      <c r="R121" t="s">
        <v>33</v>
      </c>
      <c r="S121" t="s">
        <v>34</v>
      </c>
      <c r="T121">
        <v>24</v>
      </c>
      <c r="U121">
        <v>2024</v>
      </c>
      <c r="V121" t="s">
        <v>35</v>
      </c>
      <c r="W121" t="s">
        <v>711</v>
      </c>
      <c r="X121" t="s">
        <v>712</v>
      </c>
    </row>
    <row r="122" spans="1:24" x14ac:dyDescent="0.25">
      <c r="A122" t="s">
        <v>713</v>
      </c>
      <c r="B122" t="s">
        <v>714</v>
      </c>
      <c r="C122" t="s">
        <v>26</v>
      </c>
      <c r="D122" t="s">
        <v>27</v>
      </c>
      <c r="E122" t="s">
        <v>260</v>
      </c>
      <c r="F122" t="s">
        <v>715</v>
      </c>
      <c r="G122" t="s">
        <v>30</v>
      </c>
      <c r="H122">
        <v>91.61</v>
      </c>
      <c r="I122">
        <v>196.22</v>
      </c>
      <c r="J122">
        <v>114.2</v>
      </c>
      <c r="K122">
        <v>0.75</v>
      </c>
      <c r="L122">
        <v>0.24</v>
      </c>
      <c r="M122" t="s">
        <v>44</v>
      </c>
      <c r="N122" t="s">
        <v>231</v>
      </c>
      <c r="O122">
        <v>26</v>
      </c>
      <c r="P122">
        <v>234</v>
      </c>
      <c r="Q122">
        <v>78</v>
      </c>
      <c r="R122" t="s">
        <v>33</v>
      </c>
      <c r="S122" t="s">
        <v>34</v>
      </c>
      <c r="T122">
        <v>60</v>
      </c>
      <c r="U122">
        <v>2022</v>
      </c>
      <c r="V122" t="s">
        <v>122</v>
      </c>
      <c r="W122" t="s">
        <v>716</v>
      </c>
      <c r="X122" t="s">
        <v>717</v>
      </c>
    </row>
    <row r="123" spans="1:24" x14ac:dyDescent="0.25">
      <c r="A123" t="s">
        <v>718</v>
      </c>
      <c r="B123" t="s">
        <v>719</v>
      </c>
      <c r="C123" t="s">
        <v>71</v>
      </c>
      <c r="D123" t="s">
        <v>27</v>
      </c>
      <c r="E123" t="s">
        <v>119</v>
      </c>
      <c r="F123" t="s">
        <v>720</v>
      </c>
      <c r="G123" t="s">
        <v>99</v>
      </c>
      <c r="H123">
        <v>482.93</v>
      </c>
      <c r="I123">
        <v>653.16999999999996</v>
      </c>
      <c r="J123">
        <v>35.299999999999997</v>
      </c>
      <c r="K123">
        <v>3.5</v>
      </c>
      <c r="L123">
        <v>1.4079999999999999</v>
      </c>
      <c r="M123" t="s">
        <v>81</v>
      </c>
      <c r="N123" t="s">
        <v>225</v>
      </c>
      <c r="O123">
        <v>27</v>
      </c>
      <c r="P123">
        <v>297</v>
      </c>
      <c r="Q123">
        <v>135</v>
      </c>
      <c r="R123" t="s">
        <v>33</v>
      </c>
      <c r="S123" t="s">
        <v>47</v>
      </c>
      <c r="T123">
        <v>36</v>
      </c>
      <c r="U123">
        <v>2024</v>
      </c>
      <c r="V123" t="s">
        <v>122</v>
      </c>
      <c r="W123" t="s">
        <v>721</v>
      </c>
      <c r="X123" t="s">
        <v>722</v>
      </c>
    </row>
    <row r="124" spans="1:24" x14ac:dyDescent="0.25">
      <c r="A124" t="s">
        <v>723</v>
      </c>
      <c r="B124" t="s">
        <v>724</v>
      </c>
      <c r="C124" t="s">
        <v>64</v>
      </c>
      <c r="D124" t="s">
        <v>27</v>
      </c>
      <c r="E124" t="s">
        <v>119</v>
      </c>
      <c r="F124" t="s">
        <v>725</v>
      </c>
      <c r="G124" t="s">
        <v>80</v>
      </c>
      <c r="H124">
        <v>259.7</v>
      </c>
      <c r="I124">
        <v>582.67999999999995</v>
      </c>
      <c r="J124">
        <v>124.4</v>
      </c>
      <c r="K124">
        <v>2.56</v>
      </c>
      <c r="L124">
        <v>0.82699999999999996</v>
      </c>
      <c r="M124" t="s">
        <v>56</v>
      </c>
      <c r="N124" t="s">
        <v>74</v>
      </c>
      <c r="O124">
        <v>16</v>
      </c>
      <c r="P124">
        <v>176</v>
      </c>
      <c r="Q124">
        <v>80</v>
      </c>
      <c r="R124" t="s">
        <v>33</v>
      </c>
      <c r="S124" t="s">
        <v>47</v>
      </c>
      <c r="T124">
        <v>12</v>
      </c>
      <c r="U124">
        <v>2023</v>
      </c>
      <c r="V124" t="s">
        <v>59</v>
      </c>
      <c r="W124" t="s">
        <v>726</v>
      </c>
      <c r="X124" t="s">
        <v>727</v>
      </c>
    </row>
    <row r="125" spans="1:24" x14ac:dyDescent="0.25">
      <c r="A125" t="s">
        <v>728</v>
      </c>
      <c r="B125" t="s">
        <v>729</v>
      </c>
      <c r="C125" t="s">
        <v>64</v>
      </c>
      <c r="D125" t="s">
        <v>27</v>
      </c>
      <c r="E125" t="s">
        <v>205</v>
      </c>
      <c r="F125" t="s">
        <v>730</v>
      </c>
      <c r="G125" t="s">
        <v>80</v>
      </c>
      <c r="H125">
        <v>306.41000000000003</v>
      </c>
      <c r="I125">
        <v>465.57</v>
      </c>
      <c r="J125">
        <v>51.9</v>
      </c>
      <c r="K125">
        <v>1.97</v>
      </c>
      <c r="L125">
        <v>1.5429999999999999</v>
      </c>
      <c r="M125" t="s">
        <v>56</v>
      </c>
      <c r="N125" t="s">
        <v>731</v>
      </c>
      <c r="O125">
        <v>29</v>
      </c>
      <c r="P125">
        <v>522</v>
      </c>
      <c r="Q125">
        <v>145</v>
      </c>
      <c r="R125" t="s">
        <v>46</v>
      </c>
      <c r="S125" t="s">
        <v>47</v>
      </c>
      <c r="T125">
        <v>48</v>
      </c>
      <c r="U125">
        <v>2022</v>
      </c>
      <c r="V125" t="s">
        <v>149</v>
      </c>
      <c r="W125" t="s">
        <v>732</v>
      </c>
      <c r="X125" t="s">
        <v>733</v>
      </c>
    </row>
    <row r="126" spans="1:24" x14ac:dyDescent="0.25">
      <c r="A126" t="s">
        <v>734</v>
      </c>
      <c r="B126" t="s">
        <v>735</v>
      </c>
      <c r="C126" t="s">
        <v>111</v>
      </c>
      <c r="D126" t="s">
        <v>27</v>
      </c>
      <c r="E126" t="s">
        <v>54</v>
      </c>
      <c r="F126" t="s">
        <v>736</v>
      </c>
      <c r="G126" t="s">
        <v>99</v>
      </c>
      <c r="H126">
        <v>462.6</v>
      </c>
      <c r="I126">
        <v>881.15</v>
      </c>
      <c r="J126">
        <v>90.5</v>
      </c>
      <c r="K126">
        <v>2.2799999999999998</v>
      </c>
      <c r="L126">
        <v>0.76900000000000002</v>
      </c>
      <c r="M126" t="s">
        <v>100</v>
      </c>
      <c r="N126" t="s">
        <v>106</v>
      </c>
      <c r="O126">
        <v>6</v>
      </c>
      <c r="P126">
        <v>108</v>
      </c>
      <c r="Q126">
        <v>18</v>
      </c>
      <c r="R126" t="s">
        <v>46</v>
      </c>
      <c r="S126" t="s">
        <v>47</v>
      </c>
      <c r="T126">
        <v>48</v>
      </c>
      <c r="U126">
        <v>2022</v>
      </c>
      <c r="V126" t="s">
        <v>35</v>
      </c>
      <c r="W126" t="s">
        <v>737</v>
      </c>
      <c r="X126" t="s">
        <v>738</v>
      </c>
    </row>
    <row r="127" spans="1:24" x14ac:dyDescent="0.25">
      <c r="A127" t="s">
        <v>739</v>
      </c>
      <c r="B127" t="s">
        <v>740</v>
      </c>
      <c r="C127" t="s">
        <v>71</v>
      </c>
      <c r="D127" t="s">
        <v>27</v>
      </c>
      <c r="E127" t="s">
        <v>182</v>
      </c>
      <c r="F127" t="s">
        <v>741</v>
      </c>
      <c r="G127" t="s">
        <v>80</v>
      </c>
      <c r="H127">
        <v>217.94</v>
      </c>
      <c r="I127">
        <v>436.57</v>
      </c>
      <c r="J127">
        <v>100.3</v>
      </c>
      <c r="K127">
        <v>2.37</v>
      </c>
      <c r="L127">
        <v>1.365</v>
      </c>
      <c r="M127" t="s">
        <v>81</v>
      </c>
      <c r="N127" t="s">
        <v>212</v>
      </c>
      <c r="O127">
        <v>5</v>
      </c>
      <c r="P127">
        <v>40</v>
      </c>
      <c r="Q127">
        <v>15</v>
      </c>
      <c r="R127" t="s">
        <v>33</v>
      </c>
      <c r="S127" t="s">
        <v>34</v>
      </c>
      <c r="T127">
        <v>36</v>
      </c>
      <c r="U127">
        <v>2025</v>
      </c>
      <c r="V127" t="s">
        <v>48</v>
      </c>
      <c r="W127" t="s">
        <v>742</v>
      </c>
      <c r="X127" t="s">
        <v>743</v>
      </c>
    </row>
    <row r="128" spans="1:24" x14ac:dyDescent="0.25">
      <c r="A128" t="s">
        <v>744</v>
      </c>
      <c r="B128" t="s">
        <v>745</v>
      </c>
      <c r="C128" t="s">
        <v>167</v>
      </c>
      <c r="D128" t="s">
        <v>27</v>
      </c>
      <c r="E128" t="s">
        <v>72</v>
      </c>
      <c r="F128" t="s">
        <v>746</v>
      </c>
      <c r="G128" t="s">
        <v>43</v>
      </c>
      <c r="H128">
        <v>463.12</v>
      </c>
      <c r="I128">
        <v>871.45</v>
      </c>
      <c r="J128">
        <v>88.2</v>
      </c>
      <c r="K128">
        <v>0.92</v>
      </c>
      <c r="L128">
        <v>0.312</v>
      </c>
      <c r="M128" t="s">
        <v>44</v>
      </c>
      <c r="N128" t="s">
        <v>177</v>
      </c>
      <c r="O128">
        <v>13</v>
      </c>
      <c r="P128">
        <v>182</v>
      </c>
      <c r="Q128">
        <v>52</v>
      </c>
      <c r="R128" t="s">
        <v>46</v>
      </c>
      <c r="S128" t="s">
        <v>34</v>
      </c>
      <c r="T128">
        <v>24</v>
      </c>
      <c r="U128">
        <v>2026</v>
      </c>
      <c r="V128" t="s">
        <v>35</v>
      </c>
      <c r="W128" t="s">
        <v>747</v>
      </c>
      <c r="X128" t="s">
        <v>748</v>
      </c>
    </row>
    <row r="129" spans="1:24" x14ac:dyDescent="0.25">
      <c r="A129" t="s">
        <v>749</v>
      </c>
      <c r="B129" t="s">
        <v>750</v>
      </c>
      <c r="C129" t="s">
        <v>71</v>
      </c>
      <c r="D129" t="s">
        <v>27</v>
      </c>
      <c r="E129" t="s">
        <v>72</v>
      </c>
      <c r="F129" t="s">
        <v>751</v>
      </c>
      <c r="G129" t="s">
        <v>80</v>
      </c>
      <c r="H129">
        <v>220.67</v>
      </c>
      <c r="I129">
        <v>423.36</v>
      </c>
      <c r="J129">
        <v>91.9</v>
      </c>
      <c r="K129">
        <v>0.28999999999999998</v>
      </c>
      <c r="L129">
        <v>0.15</v>
      </c>
      <c r="M129" t="s">
        <v>100</v>
      </c>
      <c r="N129" t="s">
        <v>170</v>
      </c>
      <c r="O129">
        <v>7</v>
      </c>
      <c r="P129">
        <v>140</v>
      </c>
      <c r="Q129">
        <v>28</v>
      </c>
      <c r="R129" t="s">
        <v>33</v>
      </c>
      <c r="S129" t="s">
        <v>34</v>
      </c>
      <c r="T129">
        <v>12</v>
      </c>
      <c r="U129">
        <v>2025</v>
      </c>
      <c r="V129" t="s">
        <v>92</v>
      </c>
      <c r="W129" t="s">
        <v>752</v>
      </c>
      <c r="X129" t="s">
        <v>753</v>
      </c>
    </row>
    <row r="130" spans="1:24" x14ac:dyDescent="0.25">
      <c r="A130" t="s">
        <v>754</v>
      </c>
      <c r="B130" t="s">
        <v>755</v>
      </c>
      <c r="C130" t="s">
        <v>40</v>
      </c>
      <c r="D130" t="s">
        <v>27</v>
      </c>
      <c r="E130" t="s">
        <v>112</v>
      </c>
      <c r="F130" t="s">
        <v>756</v>
      </c>
      <c r="G130" t="s">
        <v>30</v>
      </c>
      <c r="H130">
        <v>70.95</v>
      </c>
      <c r="I130">
        <v>92</v>
      </c>
      <c r="J130">
        <v>29.7</v>
      </c>
      <c r="K130">
        <v>3.25</v>
      </c>
      <c r="L130">
        <v>1</v>
      </c>
      <c r="M130" t="s">
        <v>100</v>
      </c>
      <c r="N130" t="s">
        <v>376</v>
      </c>
      <c r="O130">
        <v>34</v>
      </c>
      <c r="P130">
        <v>374</v>
      </c>
      <c r="Q130">
        <v>170</v>
      </c>
      <c r="R130" t="s">
        <v>46</v>
      </c>
      <c r="S130" t="s">
        <v>47</v>
      </c>
      <c r="T130">
        <v>48</v>
      </c>
      <c r="U130">
        <v>2021</v>
      </c>
      <c r="V130" t="s">
        <v>48</v>
      </c>
      <c r="W130" t="s">
        <v>757</v>
      </c>
      <c r="X130" t="s">
        <v>758</v>
      </c>
    </row>
    <row r="131" spans="1:24" x14ac:dyDescent="0.25">
      <c r="A131" t="s">
        <v>759</v>
      </c>
      <c r="B131" t="s">
        <v>760</v>
      </c>
      <c r="C131" t="s">
        <v>242</v>
      </c>
      <c r="D131" t="s">
        <v>27</v>
      </c>
      <c r="E131" t="s">
        <v>223</v>
      </c>
      <c r="F131" t="s">
        <v>761</v>
      </c>
      <c r="G131" t="s">
        <v>30</v>
      </c>
      <c r="H131">
        <v>74.16</v>
      </c>
      <c r="I131">
        <v>131.13</v>
      </c>
      <c r="J131">
        <v>76.8</v>
      </c>
      <c r="K131">
        <v>2.95</v>
      </c>
      <c r="L131">
        <v>1.47</v>
      </c>
      <c r="M131" t="s">
        <v>56</v>
      </c>
      <c r="N131" t="s">
        <v>66</v>
      </c>
      <c r="O131">
        <v>29</v>
      </c>
      <c r="P131">
        <v>580</v>
      </c>
      <c r="Q131">
        <v>116</v>
      </c>
      <c r="R131" t="s">
        <v>33</v>
      </c>
      <c r="S131" t="s">
        <v>47</v>
      </c>
      <c r="T131">
        <v>36</v>
      </c>
      <c r="U131">
        <v>2024</v>
      </c>
      <c r="V131" t="s">
        <v>122</v>
      </c>
      <c r="W131" t="s">
        <v>762</v>
      </c>
      <c r="X131" t="s">
        <v>763</v>
      </c>
    </row>
    <row r="132" spans="1:24" x14ac:dyDescent="0.25">
      <c r="A132" t="s">
        <v>764</v>
      </c>
      <c r="B132" t="s">
        <v>765</v>
      </c>
      <c r="C132" t="s">
        <v>167</v>
      </c>
      <c r="D132" t="s">
        <v>27</v>
      </c>
      <c r="E132" t="s">
        <v>133</v>
      </c>
      <c r="F132" t="s">
        <v>766</v>
      </c>
      <c r="G132" t="s">
        <v>99</v>
      </c>
      <c r="H132">
        <v>355.86</v>
      </c>
      <c r="I132">
        <v>732.67</v>
      </c>
      <c r="J132">
        <v>105.9</v>
      </c>
      <c r="K132">
        <v>0.39</v>
      </c>
      <c r="L132">
        <v>0.16900000000000001</v>
      </c>
      <c r="M132" t="s">
        <v>44</v>
      </c>
      <c r="N132" t="s">
        <v>225</v>
      </c>
      <c r="O132">
        <v>27</v>
      </c>
      <c r="P132">
        <v>378</v>
      </c>
      <c r="Q132">
        <v>135</v>
      </c>
      <c r="R132" t="s">
        <v>33</v>
      </c>
      <c r="S132" t="s">
        <v>83</v>
      </c>
      <c r="T132">
        <v>24</v>
      </c>
      <c r="U132">
        <v>2026</v>
      </c>
      <c r="V132" t="s">
        <v>59</v>
      </c>
      <c r="W132" t="s">
        <v>767</v>
      </c>
      <c r="X132" t="s">
        <v>768</v>
      </c>
    </row>
    <row r="133" spans="1:24" x14ac:dyDescent="0.25">
      <c r="A133" t="s">
        <v>769</v>
      </c>
      <c r="B133" t="s">
        <v>770</v>
      </c>
      <c r="C133" t="s">
        <v>26</v>
      </c>
      <c r="D133" t="s">
        <v>27</v>
      </c>
      <c r="E133" t="s">
        <v>168</v>
      </c>
      <c r="F133" t="s">
        <v>771</v>
      </c>
      <c r="G133" t="s">
        <v>30</v>
      </c>
      <c r="H133">
        <v>250.13</v>
      </c>
      <c r="I133">
        <v>547.72</v>
      </c>
      <c r="J133">
        <v>119</v>
      </c>
      <c r="K133">
        <v>0.45</v>
      </c>
      <c r="L133">
        <v>0.26</v>
      </c>
      <c r="M133" t="s">
        <v>31</v>
      </c>
      <c r="N133" t="s">
        <v>376</v>
      </c>
      <c r="O133">
        <v>18</v>
      </c>
      <c r="P133">
        <v>252</v>
      </c>
      <c r="Q133">
        <v>54</v>
      </c>
      <c r="R133" t="s">
        <v>33</v>
      </c>
      <c r="S133" t="s">
        <v>47</v>
      </c>
      <c r="T133">
        <v>12</v>
      </c>
      <c r="U133">
        <v>2023</v>
      </c>
      <c r="V133" t="s">
        <v>84</v>
      </c>
      <c r="W133" t="s">
        <v>772</v>
      </c>
      <c r="X133" t="s">
        <v>773</v>
      </c>
    </row>
    <row r="134" spans="1:24" x14ac:dyDescent="0.25">
      <c r="A134" t="s">
        <v>774</v>
      </c>
      <c r="B134" t="s">
        <v>775</v>
      </c>
      <c r="C134" t="s">
        <v>167</v>
      </c>
      <c r="D134" t="s">
        <v>27</v>
      </c>
      <c r="E134" t="s">
        <v>72</v>
      </c>
      <c r="F134" t="s">
        <v>776</v>
      </c>
      <c r="G134" t="s">
        <v>30</v>
      </c>
      <c r="H134">
        <v>236.21</v>
      </c>
      <c r="I134">
        <v>522.71</v>
      </c>
      <c r="J134">
        <v>121.3</v>
      </c>
      <c r="K134">
        <v>2.56</v>
      </c>
      <c r="L134">
        <v>1.2549999999999999</v>
      </c>
      <c r="M134" t="s">
        <v>114</v>
      </c>
      <c r="N134" t="s">
        <v>57</v>
      </c>
      <c r="O134">
        <v>21</v>
      </c>
      <c r="P134">
        <v>210</v>
      </c>
      <c r="Q134">
        <v>84</v>
      </c>
      <c r="R134" t="s">
        <v>33</v>
      </c>
      <c r="S134" t="s">
        <v>47</v>
      </c>
      <c r="T134">
        <v>36</v>
      </c>
      <c r="U134">
        <v>2024</v>
      </c>
      <c r="V134" t="s">
        <v>171</v>
      </c>
      <c r="W134" t="s">
        <v>777</v>
      </c>
      <c r="X134" t="s">
        <v>778</v>
      </c>
    </row>
    <row r="135" spans="1:24" x14ac:dyDescent="0.25">
      <c r="A135" t="s">
        <v>779</v>
      </c>
      <c r="B135" t="s">
        <v>780</v>
      </c>
      <c r="C135" t="s">
        <v>97</v>
      </c>
      <c r="D135" t="s">
        <v>27</v>
      </c>
      <c r="E135" t="s">
        <v>243</v>
      </c>
      <c r="F135" t="s">
        <v>781</v>
      </c>
      <c r="G135" t="s">
        <v>30</v>
      </c>
      <c r="H135">
        <v>267.89999999999998</v>
      </c>
      <c r="I135">
        <v>348.27</v>
      </c>
      <c r="J135">
        <v>30</v>
      </c>
      <c r="K135">
        <v>0.96</v>
      </c>
      <c r="L135">
        <v>0.50800000000000001</v>
      </c>
      <c r="M135" t="s">
        <v>114</v>
      </c>
      <c r="N135" t="s">
        <v>212</v>
      </c>
      <c r="O135">
        <v>24</v>
      </c>
      <c r="P135">
        <v>240</v>
      </c>
      <c r="Q135">
        <v>96</v>
      </c>
      <c r="R135" t="s">
        <v>33</v>
      </c>
      <c r="S135" t="s">
        <v>47</v>
      </c>
      <c r="T135">
        <v>48</v>
      </c>
      <c r="U135">
        <v>2023</v>
      </c>
      <c r="V135" t="s">
        <v>59</v>
      </c>
      <c r="W135" t="s">
        <v>782</v>
      </c>
      <c r="X135" t="s">
        <v>783</v>
      </c>
    </row>
    <row r="136" spans="1:24" x14ac:dyDescent="0.25">
      <c r="A136" t="s">
        <v>784</v>
      </c>
      <c r="B136" t="s">
        <v>785</v>
      </c>
      <c r="C136" t="s">
        <v>167</v>
      </c>
      <c r="D136" t="s">
        <v>27</v>
      </c>
      <c r="E136" t="s">
        <v>260</v>
      </c>
      <c r="F136" t="s">
        <v>786</v>
      </c>
      <c r="G136" t="s">
        <v>30</v>
      </c>
      <c r="H136">
        <v>194.3</v>
      </c>
      <c r="I136">
        <v>472.43</v>
      </c>
      <c r="J136">
        <v>143.1</v>
      </c>
      <c r="K136">
        <v>0.78</v>
      </c>
      <c r="L136">
        <v>0.34799999999999998</v>
      </c>
      <c r="M136" t="s">
        <v>56</v>
      </c>
      <c r="N136" t="s">
        <v>376</v>
      </c>
      <c r="O136">
        <v>35</v>
      </c>
      <c r="P136">
        <v>665</v>
      </c>
      <c r="Q136">
        <v>175</v>
      </c>
      <c r="R136" t="s">
        <v>33</v>
      </c>
      <c r="S136" t="s">
        <v>47</v>
      </c>
      <c r="T136">
        <v>60</v>
      </c>
      <c r="U136">
        <v>2022</v>
      </c>
      <c r="V136" t="s">
        <v>149</v>
      </c>
      <c r="W136" t="s">
        <v>787</v>
      </c>
      <c r="X136" t="s">
        <v>788</v>
      </c>
    </row>
    <row r="137" spans="1:24" x14ac:dyDescent="0.25">
      <c r="A137" t="s">
        <v>789</v>
      </c>
      <c r="B137" t="s">
        <v>790</v>
      </c>
      <c r="C137" t="s">
        <v>167</v>
      </c>
      <c r="D137" t="s">
        <v>27</v>
      </c>
      <c r="E137" t="s">
        <v>72</v>
      </c>
      <c r="F137" t="s">
        <v>791</v>
      </c>
      <c r="G137" t="s">
        <v>43</v>
      </c>
      <c r="H137">
        <v>469.43</v>
      </c>
      <c r="I137">
        <v>685.25</v>
      </c>
      <c r="J137">
        <v>46</v>
      </c>
      <c r="K137">
        <v>3.49</v>
      </c>
      <c r="L137">
        <v>2.6920000000000002</v>
      </c>
      <c r="M137" t="s">
        <v>143</v>
      </c>
      <c r="N137" t="s">
        <v>287</v>
      </c>
      <c r="O137">
        <v>5</v>
      </c>
      <c r="P137">
        <v>55</v>
      </c>
      <c r="Q137">
        <v>20</v>
      </c>
      <c r="R137" t="s">
        <v>58</v>
      </c>
      <c r="S137" t="s">
        <v>47</v>
      </c>
      <c r="T137">
        <v>12</v>
      </c>
      <c r="U137">
        <v>2024</v>
      </c>
      <c r="V137" t="s">
        <v>122</v>
      </c>
      <c r="W137" t="s">
        <v>792</v>
      </c>
      <c r="X137" t="s">
        <v>793</v>
      </c>
    </row>
    <row r="138" spans="1:24" x14ac:dyDescent="0.25">
      <c r="A138" t="s">
        <v>794</v>
      </c>
      <c r="B138" t="s">
        <v>795</v>
      </c>
      <c r="C138" t="s">
        <v>242</v>
      </c>
      <c r="D138" t="s">
        <v>27</v>
      </c>
      <c r="E138" t="s">
        <v>119</v>
      </c>
      <c r="F138" t="s">
        <v>796</v>
      </c>
      <c r="G138" t="s">
        <v>80</v>
      </c>
      <c r="H138">
        <v>83.28</v>
      </c>
      <c r="I138">
        <v>207.19</v>
      </c>
      <c r="J138">
        <v>148.80000000000001</v>
      </c>
      <c r="K138">
        <v>1.73</v>
      </c>
      <c r="L138">
        <v>0.88100000000000001</v>
      </c>
      <c r="M138" t="s">
        <v>135</v>
      </c>
      <c r="N138" t="s">
        <v>91</v>
      </c>
      <c r="O138">
        <v>21</v>
      </c>
      <c r="P138">
        <v>168</v>
      </c>
      <c r="Q138">
        <v>84</v>
      </c>
      <c r="R138" t="s">
        <v>46</v>
      </c>
      <c r="S138" t="s">
        <v>83</v>
      </c>
      <c r="T138">
        <v>60</v>
      </c>
      <c r="U138">
        <v>2025</v>
      </c>
      <c r="V138" t="s">
        <v>84</v>
      </c>
      <c r="W138" t="s">
        <v>797</v>
      </c>
      <c r="X138" t="s">
        <v>798</v>
      </c>
    </row>
    <row r="139" spans="1:24" x14ac:dyDescent="0.25">
      <c r="A139" t="s">
        <v>799</v>
      </c>
      <c r="B139" t="s">
        <v>800</v>
      </c>
      <c r="C139" t="s">
        <v>40</v>
      </c>
      <c r="D139" t="s">
        <v>27</v>
      </c>
      <c r="E139" t="s">
        <v>182</v>
      </c>
      <c r="F139" t="s">
        <v>801</v>
      </c>
      <c r="G139" t="s">
        <v>80</v>
      </c>
      <c r="H139">
        <v>485.07</v>
      </c>
      <c r="I139">
        <v>791.19</v>
      </c>
      <c r="J139">
        <v>63.1</v>
      </c>
      <c r="K139">
        <v>2.81</v>
      </c>
      <c r="L139">
        <v>1.5609999999999999</v>
      </c>
      <c r="M139" t="s">
        <v>31</v>
      </c>
      <c r="N139" t="s">
        <v>195</v>
      </c>
      <c r="O139">
        <v>8</v>
      </c>
      <c r="P139">
        <v>128</v>
      </c>
      <c r="Q139">
        <v>40</v>
      </c>
      <c r="R139" t="s">
        <v>33</v>
      </c>
      <c r="S139" t="s">
        <v>34</v>
      </c>
      <c r="T139">
        <v>60</v>
      </c>
      <c r="U139">
        <v>2022</v>
      </c>
      <c r="V139" t="s">
        <v>122</v>
      </c>
      <c r="W139" t="s">
        <v>802</v>
      </c>
      <c r="X139" t="s">
        <v>803</v>
      </c>
    </row>
    <row r="140" spans="1:24" x14ac:dyDescent="0.25">
      <c r="A140" t="s">
        <v>804</v>
      </c>
      <c r="B140" t="s">
        <v>805</v>
      </c>
      <c r="C140" t="s">
        <v>40</v>
      </c>
      <c r="D140" t="s">
        <v>27</v>
      </c>
      <c r="E140" t="s">
        <v>41</v>
      </c>
      <c r="F140" t="s">
        <v>806</v>
      </c>
      <c r="G140" t="s">
        <v>99</v>
      </c>
      <c r="H140">
        <v>205.24</v>
      </c>
      <c r="I140">
        <v>252.84</v>
      </c>
      <c r="J140">
        <v>23.2</v>
      </c>
      <c r="K140">
        <v>0.46</v>
      </c>
      <c r="L140">
        <v>0.17100000000000001</v>
      </c>
      <c r="M140" t="s">
        <v>135</v>
      </c>
      <c r="N140" t="s">
        <v>82</v>
      </c>
      <c r="O140">
        <v>8</v>
      </c>
      <c r="P140">
        <v>96</v>
      </c>
      <c r="Q140">
        <v>32</v>
      </c>
      <c r="R140" t="s">
        <v>46</v>
      </c>
      <c r="S140" t="s">
        <v>47</v>
      </c>
      <c r="T140">
        <v>24</v>
      </c>
      <c r="U140">
        <v>2025</v>
      </c>
      <c r="V140" t="s">
        <v>122</v>
      </c>
      <c r="W140" t="s">
        <v>807</v>
      </c>
      <c r="X140" t="s">
        <v>808</v>
      </c>
    </row>
    <row r="141" spans="1:24" x14ac:dyDescent="0.25">
      <c r="A141" t="s">
        <v>809</v>
      </c>
      <c r="B141" t="s">
        <v>810</v>
      </c>
      <c r="C141" t="s">
        <v>53</v>
      </c>
      <c r="D141" t="s">
        <v>27</v>
      </c>
      <c r="E141" t="s">
        <v>168</v>
      </c>
      <c r="F141" t="s">
        <v>811</v>
      </c>
      <c r="G141" t="s">
        <v>30</v>
      </c>
      <c r="H141">
        <v>80.23</v>
      </c>
      <c r="I141">
        <v>100.94</v>
      </c>
      <c r="J141">
        <v>25.8</v>
      </c>
      <c r="K141">
        <v>2.52</v>
      </c>
      <c r="L141">
        <v>1.764</v>
      </c>
      <c r="M141" t="s">
        <v>100</v>
      </c>
      <c r="N141" t="s">
        <v>245</v>
      </c>
      <c r="O141">
        <v>25</v>
      </c>
      <c r="P141">
        <v>475</v>
      </c>
      <c r="Q141">
        <v>75</v>
      </c>
      <c r="R141" t="s">
        <v>33</v>
      </c>
      <c r="S141" t="s">
        <v>34</v>
      </c>
      <c r="T141">
        <v>24</v>
      </c>
      <c r="U141">
        <v>2025</v>
      </c>
      <c r="V141" t="s">
        <v>171</v>
      </c>
      <c r="W141" t="s">
        <v>812</v>
      </c>
      <c r="X141" t="s">
        <v>813</v>
      </c>
    </row>
    <row r="142" spans="1:24" x14ac:dyDescent="0.25">
      <c r="A142" t="s">
        <v>814</v>
      </c>
      <c r="B142" t="s">
        <v>815</v>
      </c>
      <c r="C142" t="s">
        <v>167</v>
      </c>
      <c r="D142" t="s">
        <v>27</v>
      </c>
      <c r="E142" t="s">
        <v>223</v>
      </c>
      <c r="F142" t="s">
        <v>816</v>
      </c>
      <c r="G142" t="s">
        <v>99</v>
      </c>
      <c r="H142">
        <v>338.22</v>
      </c>
      <c r="I142">
        <v>595.87</v>
      </c>
      <c r="J142">
        <v>76.2</v>
      </c>
      <c r="K142">
        <v>0.2</v>
      </c>
      <c r="L142">
        <v>0.06</v>
      </c>
      <c r="M142" t="s">
        <v>114</v>
      </c>
      <c r="N142" t="s">
        <v>218</v>
      </c>
      <c r="O142">
        <v>23</v>
      </c>
      <c r="P142">
        <v>253</v>
      </c>
      <c r="Q142">
        <v>69</v>
      </c>
      <c r="R142" t="s">
        <v>33</v>
      </c>
      <c r="S142" t="s">
        <v>47</v>
      </c>
      <c r="T142">
        <v>12</v>
      </c>
      <c r="U142">
        <v>2025</v>
      </c>
      <c r="V142" t="s">
        <v>84</v>
      </c>
      <c r="W142" t="s">
        <v>817</v>
      </c>
      <c r="X142" t="s">
        <v>818</v>
      </c>
    </row>
    <row r="143" spans="1:24" x14ac:dyDescent="0.25">
      <c r="A143" t="s">
        <v>819</v>
      </c>
      <c r="B143" t="s">
        <v>820</v>
      </c>
      <c r="C143" t="s">
        <v>64</v>
      </c>
      <c r="D143" t="s">
        <v>27</v>
      </c>
      <c r="E143" t="s">
        <v>260</v>
      </c>
      <c r="F143" t="s">
        <v>821</v>
      </c>
      <c r="G143" t="s">
        <v>80</v>
      </c>
      <c r="H143">
        <v>101.28</v>
      </c>
      <c r="I143">
        <v>209.84</v>
      </c>
      <c r="J143">
        <v>107.2</v>
      </c>
      <c r="K143">
        <v>1.76</v>
      </c>
      <c r="L143">
        <v>1.0449999999999999</v>
      </c>
      <c r="M143" t="s">
        <v>56</v>
      </c>
      <c r="N143" t="s">
        <v>66</v>
      </c>
      <c r="O143">
        <v>17</v>
      </c>
      <c r="P143">
        <v>221</v>
      </c>
      <c r="Q143">
        <v>68</v>
      </c>
      <c r="R143" t="s">
        <v>33</v>
      </c>
      <c r="S143" t="s">
        <v>47</v>
      </c>
      <c r="T143">
        <v>60</v>
      </c>
      <c r="U143">
        <v>2022</v>
      </c>
      <c r="V143" t="s">
        <v>48</v>
      </c>
      <c r="W143" t="s">
        <v>822</v>
      </c>
      <c r="X143" t="s">
        <v>823</v>
      </c>
    </row>
    <row r="144" spans="1:24" x14ac:dyDescent="0.25">
      <c r="A144" t="s">
        <v>824</v>
      </c>
      <c r="B144" t="s">
        <v>825</v>
      </c>
      <c r="C144" t="s">
        <v>242</v>
      </c>
      <c r="D144" t="s">
        <v>27</v>
      </c>
      <c r="E144" t="s">
        <v>28</v>
      </c>
      <c r="F144" t="s">
        <v>826</v>
      </c>
      <c r="G144" t="s">
        <v>43</v>
      </c>
      <c r="H144">
        <v>157.36000000000001</v>
      </c>
      <c r="I144">
        <v>212.76</v>
      </c>
      <c r="J144">
        <v>35.200000000000003</v>
      </c>
      <c r="K144">
        <v>1.37</v>
      </c>
      <c r="L144">
        <v>0.505</v>
      </c>
      <c r="M144" t="s">
        <v>143</v>
      </c>
      <c r="N144" t="s">
        <v>324</v>
      </c>
      <c r="O144">
        <v>17</v>
      </c>
      <c r="P144">
        <v>238</v>
      </c>
      <c r="Q144">
        <v>68</v>
      </c>
      <c r="R144" t="s">
        <v>33</v>
      </c>
      <c r="S144" t="s">
        <v>47</v>
      </c>
      <c r="T144">
        <v>48</v>
      </c>
      <c r="U144">
        <v>2026</v>
      </c>
      <c r="V144" t="s">
        <v>171</v>
      </c>
      <c r="W144" t="s">
        <v>827</v>
      </c>
      <c r="X144" t="s">
        <v>828</v>
      </c>
    </row>
    <row r="145" spans="1:24" x14ac:dyDescent="0.25">
      <c r="A145" t="s">
        <v>829</v>
      </c>
      <c r="B145" t="s">
        <v>830</v>
      </c>
      <c r="C145" t="s">
        <v>97</v>
      </c>
      <c r="D145" t="s">
        <v>27</v>
      </c>
      <c r="E145" t="s">
        <v>41</v>
      </c>
      <c r="F145" t="s">
        <v>831</v>
      </c>
      <c r="G145" t="s">
        <v>99</v>
      </c>
      <c r="H145">
        <v>191.56</v>
      </c>
      <c r="I145">
        <v>342.18</v>
      </c>
      <c r="J145">
        <v>78.599999999999994</v>
      </c>
      <c r="K145">
        <v>0.28000000000000003</v>
      </c>
      <c r="L145">
        <v>0.19800000000000001</v>
      </c>
      <c r="M145" t="s">
        <v>56</v>
      </c>
      <c r="N145" t="s">
        <v>195</v>
      </c>
      <c r="O145">
        <v>20</v>
      </c>
      <c r="P145">
        <v>320</v>
      </c>
      <c r="Q145">
        <v>100</v>
      </c>
      <c r="R145" t="s">
        <v>33</v>
      </c>
      <c r="S145" t="s">
        <v>83</v>
      </c>
      <c r="T145">
        <v>48</v>
      </c>
      <c r="U145">
        <v>2024</v>
      </c>
      <c r="V145" t="s">
        <v>122</v>
      </c>
      <c r="W145" t="s">
        <v>832</v>
      </c>
      <c r="X145" t="s">
        <v>833</v>
      </c>
    </row>
    <row r="146" spans="1:24" x14ac:dyDescent="0.25">
      <c r="A146" t="s">
        <v>834</v>
      </c>
      <c r="B146" t="s">
        <v>835</v>
      </c>
      <c r="C146" t="s">
        <v>242</v>
      </c>
      <c r="D146" t="s">
        <v>27</v>
      </c>
      <c r="E146" t="s">
        <v>41</v>
      </c>
      <c r="F146" t="s">
        <v>836</v>
      </c>
      <c r="G146" t="s">
        <v>43</v>
      </c>
      <c r="H146">
        <v>408.15</v>
      </c>
      <c r="I146">
        <v>606.79</v>
      </c>
      <c r="J146">
        <v>48.7</v>
      </c>
      <c r="K146">
        <v>0.21</v>
      </c>
      <c r="L146">
        <v>0.111</v>
      </c>
      <c r="M146" t="s">
        <v>114</v>
      </c>
      <c r="N146" t="s">
        <v>91</v>
      </c>
      <c r="O146">
        <v>14</v>
      </c>
      <c r="P146">
        <v>266</v>
      </c>
      <c r="Q146">
        <v>56</v>
      </c>
      <c r="R146" t="s">
        <v>33</v>
      </c>
      <c r="S146" t="s">
        <v>34</v>
      </c>
      <c r="T146">
        <v>60</v>
      </c>
      <c r="U146">
        <v>2021</v>
      </c>
      <c r="V146" t="s">
        <v>84</v>
      </c>
      <c r="W146" t="s">
        <v>837</v>
      </c>
      <c r="X146" t="s">
        <v>838</v>
      </c>
    </row>
    <row r="147" spans="1:24" x14ac:dyDescent="0.25">
      <c r="A147" t="s">
        <v>839</v>
      </c>
      <c r="B147" t="s">
        <v>840</v>
      </c>
      <c r="C147" t="s">
        <v>71</v>
      </c>
      <c r="D147" t="s">
        <v>27</v>
      </c>
      <c r="E147" t="s">
        <v>133</v>
      </c>
      <c r="F147" t="s">
        <v>841</v>
      </c>
      <c r="G147" t="s">
        <v>99</v>
      </c>
      <c r="H147">
        <v>495.4</v>
      </c>
      <c r="I147">
        <v>660.44</v>
      </c>
      <c r="J147">
        <v>33.299999999999997</v>
      </c>
      <c r="K147">
        <v>2.92</v>
      </c>
      <c r="L147">
        <v>1.26</v>
      </c>
      <c r="M147" t="s">
        <v>114</v>
      </c>
      <c r="N147" t="s">
        <v>476</v>
      </c>
      <c r="O147">
        <v>32</v>
      </c>
      <c r="P147">
        <v>288</v>
      </c>
      <c r="Q147">
        <v>128</v>
      </c>
      <c r="R147" t="s">
        <v>33</v>
      </c>
      <c r="S147" t="s">
        <v>47</v>
      </c>
      <c r="T147">
        <v>24</v>
      </c>
      <c r="U147">
        <v>2022</v>
      </c>
      <c r="V147" t="s">
        <v>149</v>
      </c>
      <c r="W147" t="s">
        <v>842</v>
      </c>
      <c r="X147" t="s">
        <v>843</v>
      </c>
    </row>
    <row r="148" spans="1:24" x14ac:dyDescent="0.25">
      <c r="A148" t="s">
        <v>844</v>
      </c>
      <c r="B148" t="s">
        <v>845</v>
      </c>
      <c r="C148" t="s">
        <v>242</v>
      </c>
      <c r="D148" t="s">
        <v>27</v>
      </c>
      <c r="E148" t="s">
        <v>89</v>
      </c>
      <c r="F148" t="s">
        <v>846</v>
      </c>
      <c r="G148" t="s">
        <v>99</v>
      </c>
      <c r="H148">
        <v>412.45</v>
      </c>
      <c r="I148">
        <v>800.61</v>
      </c>
      <c r="J148">
        <v>94.1</v>
      </c>
      <c r="K148">
        <v>1.91</v>
      </c>
      <c r="L148">
        <v>1.1200000000000001</v>
      </c>
      <c r="M148" t="s">
        <v>143</v>
      </c>
      <c r="N148" t="s">
        <v>847</v>
      </c>
      <c r="O148">
        <v>27</v>
      </c>
      <c r="P148">
        <v>432</v>
      </c>
      <c r="Q148">
        <v>135</v>
      </c>
      <c r="R148" t="s">
        <v>33</v>
      </c>
      <c r="S148" t="s">
        <v>47</v>
      </c>
      <c r="T148">
        <v>24</v>
      </c>
      <c r="U148">
        <v>2024</v>
      </c>
      <c r="V148" t="s">
        <v>92</v>
      </c>
      <c r="W148" t="s">
        <v>848</v>
      </c>
      <c r="X148" t="s">
        <v>849</v>
      </c>
    </row>
    <row r="149" spans="1:24" x14ac:dyDescent="0.25">
      <c r="A149" t="s">
        <v>850</v>
      </c>
      <c r="B149" t="s">
        <v>851</v>
      </c>
      <c r="C149" t="s">
        <v>242</v>
      </c>
      <c r="D149" t="s">
        <v>27</v>
      </c>
      <c r="E149" t="s">
        <v>72</v>
      </c>
      <c r="F149" t="s">
        <v>852</v>
      </c>
      <c r="G149" t="s">
        <v>99</v>
      </c>
      <c r="H149">
        <v>115.81</v>
      </c>
      <c r="I149">
        <v>187.46</v>
      </c>
      <c r="J149">
        <v>61.9</v>
      </c>
      <c r="K149">
        <v>0.94</v>
      </c>
      <c r="L149">
        <v>0.40799999999999997</v>
      </c>
      <c r="M149" t="s">
        <v>135</v>
      </c>
      <c r="N149" t="s">
        <v>212</v>
      </c>
      <c r="O149">
        <v>9</v>
      </c>
      <c r="P149">
        <v>126</v>
      </c>
      <c r="Q149">
        <v>36</v>
      </c>
      <c r="R149" t="s">
        <v>33</v>
      </c>
      <c r="S149" t="s">
        <v>47</v>
      </c>
      <c r="T149">
        <v>12</v>
      </c>
      <c r="U149">
        <v>2026</v>
      </c>
      <c r="V149" t="s">
        <v>84</v>
      </c>
      <c r="W149" t="s">
        <v>853</v>
      </c>
      <c r="X149" t="s">
        <v>854</v>
      </c>
    </row>
    <row r="150" spans="1:24" x14ac:dyDescent="0.25">
      <c r="A150" t="s">
        <v>855</v>
      </c>
      <c r="B150" t="s">
        <v>856</v>
      </c>
      <c r="C150" t="s">
        <v>64</v>
      </c>
      <c r="D150" t="s">
        <v>27</v>
      </c>
      <c r="E150" t="s">
        <v>54</v>
      </c>
      <c r="F150" t="s">
        <v>857</v>
      </c>
      <c r="G150" t="s">
        <v>80</v>
      </c>
      <c r="H150">
        <v>197.28</v>
      </c>
      <c r="I150">
        <v>237.37</v>
      </c>
      <c r="J150">
        <v>20.3</v>
      </c>
      <c r="K150">
        <v>2.73</v>
      </c>
      <c r="L150">
        <v>1.3080000000000001</v>
      </c>
      <c r="M150" t="s">
        <v>31</v>
      </c>
      <c r="N150" t="s">
        <v>340</v>
      </c>
      <c r="O150">
        <v>25</v>
      </c>
      <c r="P150">
        <v>225</v>
      </c>
      <c r="Q150">
        <v>125</v>
      </c>
      <c r="R150" t="s">
        <v>58</v>
      </c>
      <c r="S150" t="s">
        <v>47</v>
      </c>
      <c r="T150">
        <v>24</v>
      </c>
      <c r="U150">
        <v>2024</v>
      </c>
      <c r="V150" t="s">
        <v>35</v>
      </c>
      <c r="W150" t="s">
        <v>858</v>
      </c>
      <c r="X150" t="s">
        <v>859</v>
      </c>
    </row>
    <row r="151" spans="1:24" x14ac:dyDescent="0.25">
      <c r="A151" t="s">
        <v>860</v>
      </c>
      <c r="B151" t="s">
        <v>861</v>
      </c>
      <c r="C151" t="s">
        <v>97</v>
      </c>
      <c r="D151" t="s">
        <v>27</v>
      </c>
      <c r="E151" t="s">
        <v>260</v>
      </c>
      <c r="F151" t="s">
        <v>862</v>
      </c>
      <c r="G151" t="s">
        <v>99</v>
      </c>
      <c r="H151">
        <v>304.76</v>
      </c>
      <c r="I151">
        <v>558</v>
      </c>
      <c r="J151">
        <v>83.1</v>
      </c>
      <c r="K151">
        <v>1.27</v>
      </c>
      <c r="L151">
        <v>0.91200000000000003</v>
      </c>
      <c r="M151" t="s">
        <v>100</v>
      </c>
      <c r="N151" t="s">
        <v>303</v>
      </c>
      <c r="O151">
        <v>8</v>
      </c>
      <c r="P151">
        <v>64</v>
      </c>
      <c r="Q151">
        <v>24</v>
      </c>
      <c r="R151" t="s">
        <v>58</v>
      </c>
      <c r="S151" t="s">
        <v>47</v>
      </c>
      <c r="T151">
        <v>48</v>
      </c>
      <c r="U151">
        <v>2024</v>
      </c>
      <c r="V151" t="s">
        <v>92</v>
      </c>
      <c r="W151" t="s">
        <v>863</v>
      </c>
      <c r="X151" t="s">
        <v>864</v>
      </c>
    </row>
    <row r="152" spans="1:24" x14ac:dyDescent="0.25">
      <c r="A152" t="s">
        <v>865</v>
      </c>
      <c r="B152" t="s">
        <v>866</v>
      </c>
      <c r="C152" t="s">
        <v>242</v>
      </c>
      <c r="D152" t="s">
        <v>27</v>
      </c>
      <c r="E152" t="s">
        <v>54</v>
      </c>
      <c r="F152" t="s">
        <v>867</v>
      </c>
      <c r="G152" t="s">
        <v>99</v>
      </c>
      <c r="H152">
        <v>443.49</v>
      </c>
      <c r="I152">
        <v>1037.58</v>
      </c>
      <c r="J152">
        <v>134</v>
      </c>
      <c r="K152">
        <v>0.42</v>
      </c>
      <c r="L152">
        <v>0.316</v>
      </c>
      <c r="M152" t="s">
        <v>56</v>
      </c>
      <c r="N152" t="s">
        <v>731</v>
      </c>
      <c r="O152">
        <v>7</v>
      </c>
      <c r="P152">
        <v>70</v>
      </c>
      <c r="Q152">
        <v>21</v>
      </c>
      <c r="R152" t="s">
        <v>33</v>
      </c>
      <c r="S152" t="s">
        <v>47</v>
      </c>
      <c r="T152">
        <v>36</v>
      </c>
      <c r="U152">
        <v>2026</v>
      </c>
      <c r="V152" t="s">
        <v>35</v>
      </c>
      <c r="W152" t="s">
        <v>868</v>
      </c>
      <c r="X152" t="s">
        <v>869</v>
      </c>
    </row>
    <row r="153" spans="1:24" x14ac:dyDescent="0.25">
      <c r="A153" t="s">
        <v>870</v>
      </c>
      <c r="B153" t="s">
        <v>871</v>
      </c>
      <c r="C153" t="s">
        <v>71</v>
      </c>
      <c r="D153" t="s">
        <v>27</v>
      </c>
      <c r="E153" t="s">
        <v>168</v>
      </c>
      <c r="F153" t="s">
        <v>872</v>
      </c>
      <c r="G153" t="s">
        <v>80</v>
      </c>
      <c r="H153">
        <v>85.07</v>
      </c>
      <c r="I153">
        <v>167.74</v>
      </c>
      <c r="J153">
        <v>97.2</v>
      </c>
      <c r="K153">
        <v>1.87</v>
      </c>
      <c r="L153">
        <v>1.325</v>
      </c>
      <c r="M153" t="s">
        <v>81</v>
      </c>
      <c r="N153" t="s">
        <v>195</v>
      </c>
      <c r="O153">
        <v>5</v>
      </c>
      <c r="P153">
        <v>70</v>
      </c>
      <c r="Q153">
        <v>25</v>
      </c>
      <c r="R153" t="s">
        <v>58</v>
      </c>
      <c r="S153" t="s">
        <v>47</v>
      </c>
      <c r="T153">
        <v>48</v>
      </c>
      <c r="U153">
        <v>2021</v>
      </c>
      <c r="V153" t="s">
        <v>35</v>
      </c>
      <c r="W153" t="s">
        <v>873</v>
      </c>
      <c r="X153" t="s">
        <v>874</v>
      </c>
    </row>
    <row r="154" spans="1:24" x14ac:dyDescent="0.25">
      <c r="A154" t="s">
        <v>875</v>
      </c>
      <c r="B154" t="s">
        <v>876</v>
      </c>
      <c r="C154" t="s">
        <v>26</v>
      </c>
      <c r="D154" t="s">
        <v>27</v>
      </c>
      <c r="E154" t="s">
        <v>54</v>
      </c>
      <c r="F154" t="s">
        <v>877</v>
      </c>
      <c r="G154" t="s">
        <v>30</v>
      </c>
      <c r="H154">
        <v>215.4</v>
      </c>
      <c r="I154">
        <v>342.28</v>
      </c>
      <c r="J154">
        <v>58.9</v>
      </c>
      <c r="K154">
        <v>1.4</v>
      </c>
      <c r="L154">
        <v>0.42599999999999999</v>
      </c>
      <c r="M154" t="s">
        <v>143</v>
      </c>
      <c r="N154" t="s">
        <v>45</v>
      </c>
      <c r="O154">
        <v>7</v>
      </c>
      <c r="P154">
        <v>126</v>
      </c>
      <c r="Q154">
        <v>21</v>
      </c>
      <c r="R154" t="s">
        <v>33</v>
      </c>
      <c r="S154" t="s">
        <v>47</v>
      </c>
      <c r="T154">
        <v>36</v>
      </c>
      <c r="U154">
        <v>2026</v>
      </c>
      <c r="V154" t="s">
        <v>35</v>
      </c>
      <c r="W154" t="s">
        <v>878</v>
      </c>
      <c r="X154" t="s">
        <v>879</v>
      </c>
    </row>
    <row r="155" spans="1:24" x14ac:dyDescent="0.25">
      <c r="A155" t="s">
        <v>880</v>
      </c>
      <c r="B155" t="s">
        <v>881</v>
      </c>
      <c r="C155" t="s">
        <v>141</v>
      </c>
      <c r="D155" t="s">
        <v>27</v>
      </c>
      <c r="E155" t="s">
        <v>72</v>
      </c>
      <c r="F155" t="s">
        <v>882</v>
      </c>
      <c r="G155" t="s">
        <v>43</v>
      </c>
      <c r="H155">
        <v>113.01</v>
      </c>
      <c r="I155">
        <v>153.71</v>
      </c>
      <c r="J155">
        <v>36</v>
      </c>
      <c r="K155">
        <v>2.58</v>
      </c>
      <c r="L155">
        <v>1.0940000000000001</v>
      </c>
      <c r="M155" t="s">
        <v>56</v>
      </c>
      <c r="N155" t="s">
        <v>423</v>
      </c>
      <c r="O155">
        <v>15</v>
      </c>
      <c r="P155">
        <v>270</v>
      </c>
      <c r="Q155">
        <v>45</v>
      </c>
      <c r="R155" t="s">
        <v>46</v>
      </c>
      <c r="S155" t="s">
        <v>47</v>
      </c>
      <c r="T155">
        <v>60</v>
      </c>
      <c r="U155">
        <v>2025</v>
      </c>
      <c r="V155" t="s">
        <v>48</v>
      </c>
      <c r="W155" t="s">
        <v>883</v>
      </c>
      <c r="X155" t="s">
        <v>884</v>
      </c>
    </row>
    <row r="156" spans="1:24" x14ac:dyDescent="0.25">
      <c r="A156" t="s">
        <v>885</v>
      </c>
      <c r="B156" t="s">
        <v>886</v>
      </c>
      <c r="C156" t="s">
        <v>97</v>
      </c>
      <c r="D156" t="s">
        <v>27</v>
      </c>
      <c r="E156" t="s">
        <v>72</v>
      </c>
      <c r="F156" t="s">
        <v>887</v>
      </c>
      <c r="G156" t="s">
        <v>99</v>
      </c>
      <c r="H156">
        <v>386.53</v>
      </c>
      <c r="I156">
        <v>612.34</v>
      </c>
      <c r="J156">
        <v>58.4</v>
      </c>
      <c r="K156">
        <v>0.28999999999999998</v>
      </c>
      <c r="L156">
        <v>0.159</v>
      </c>
      <c r="M156" t="s">
        <v>114</v>
      </c>
      <c r="N156" t="s">
        <v>212</v>
      </c>
      <c r="O156">
        <v>17</v>
      </c>
      <c r="P156">
        <v>289</v>
      </c>
      <c r="Q156">
        <v>51</v>
      </c>
      <c r="R156" t="s">
        <v>33</v>
      </c>
      <c r="S156" t="s">
        <v>34</v>
      </c>
      <c r="T156">
        <v>12</v>
      </c>
      <c r="U156">
        <v>2023</v>
      </c>
      <c r="V156" t="s">
        <v>149</v>
      </c>
      <c r="W156" t="s">
        <v>888</v>
      </c>
      <c r="X156" t="s">
        <v>889</v>
      </c>
    </row>
    <row r="157" spans="1:24" x14ac:dyDescent="0.25">
      <c r="A157" t="s">
        <v>890</v>
      </c>
      <c r="B157" t="s">
        <v>891</v>
      </c>
      <c r="C157" t="s">
        <v>40</v>
      </c>
      <c r="D157" t="s">
        <v>27</v>
      </c>
      <c r="E157" t="s">
        <v>72</v>
      </c>
      <c r="F157" t="s">
        <v>892</v>
      </c>
      <c r="G157" t="s">
        <v>30</v>
      </c>
      <c r="H157">
        <v>295.86</v>
      </c>
      <c r="I157">
        <v>421.48</v>
      </c>
      <c r="J157">
        <v>42.5</v>
      </c>
      <c r="K157">
        <v>1.7</v>
      </c>
      <c r="L157">
        <v>0.73299999999999998</v>
      </c>
      <c r="M157" t="s">
        <v>31</v>
      </c>
      <c r="N157" t="s">
        <v>189</v>
      </c>
      <c r="O157">
        <v>23</v>
      </c>
      <c r="P157">
        <v>184</v>
      </c>
      <c r="Q157">
        <v>69</v>
      </c>
      <c r="R157" t="s">
        <v>33</v>
      </c>
      <c r="S157" t="s">
        <v>47</v>
      </c>
      <c r="T157">
        <v>60</v>
      </c>
      <c r="U157">
        <v>2023</v>
      </c>
      <c r="V157" t="s">
        <v>59</v>
      </c>
      <c r="W157" t="s">
        <v>893</v>
      </c>
      <c r="X157" t="s">
        <v>894</v>
      </c>
    </row>
    <row r="158" spans="1:24" x14ac:dyDescent="0.25">
      <c r="A158" t="s">
        <v>895</v>
      </c>
      <c r="B158" t="s">
        <v>896</v>
      </c>
      <c r="C158" t="s">
        <v>111</v>
      </c>
      <c r="D158" t="s">
        <v>27</v>
      </c>
      <c r="E158" t="s">
        <v>28</v>
      </c>
      <c r="F158" t="s">
        <v>897</v>
      </c>
      <c r="G158" t="s">
        <v>99</v>
      </c>
      <c r="H158">
        <v>174.86</v>
      </c>
      <c r="I158">
        <v>280.27999999999997</v>
      </c>
      <c r="J158">
        <v>60.3</v>
      </c>
      <c r="K158">
        <v>1.84</v>
      </c>
      <c r="L158">
        <v>1.0920000000000001</v>
      </c>
      <c r="M158" t="s">
        <v>114</v>
      </c>
      <c r="N158" t="s">
        <v>45</v>
      </c>
      <c r="O158">
        <v>22</v>
      </c>
      <c r="P158">
        <v>440</v>
      </c>
      <c r="Q158">
        <v>110</v>
      </c>
      <c r="R158" t="s">
        <v>33</v>
      </c>
      <c r="S158" t="s">
        <v>83</v>
      </c>
      <c r="T158">
        <v>12</v>
      </c>
      <c r="U158">
        <v>2023</v>
      </c>
      <c r="V158" t="s">
        <v>59</v>
      </c>
      <c r="W158" t="s">
        <v>898</v>
      </c>
      <c r="X158" t="s">
        <v>899</v>
      </c>
    </row>
    <row r="159" spans="1:24" x14ac:dyDescent="0.25">
      <c r="A159" t="s">
        <v>900</v>
      </c>
      <c r="B159" t="s">
        <v>901</v>
      </c>
      <c r="C159" t="s">
        <v>141</v>
      </c>
      <c r="D159" t="s">
        <v>27</v>
      </c>
      <c r="E159" t="s">
        <v>154</v>
      </c>
      <c r="F159" t="s">
        <v>902</v>
      </c>
      <c r="G159" t="s">
        <v>80</v>
      </c>
      <c r="H159">
        <v>102.19</v>
      </c>
      <c r="I159">
        <v>203.97</v>
      </c>
      <c r="J159">
        <v>99.6</v>
      </c>
      <c r="K159">
        <v>0.28999999999999998</v>
      </c>
      <c r="L159">
        <v>0.189</v>
      </c>
      <c r="M159" t="s">
        <v>143</v>
      </c>
      <c r="N159" t="s">
        <v>435</v>
      </c>
      <c r="O159">
        <v>5</v>
      </c>
      <c r="P159">
        <v>50</v>
      </c>
      <c r="Q159">
        <v>20</v>
      </c>
      <c r="R159" t="s">
        <v>58</v>
      </c>
      <c r="S159" t="s">
        <v>47</v>
      </c>
      <c r="T159">
        <v>60</v>
      </c>
      <c r="U159">
        <v>2025</v>
      </c>
      <c r="V159" t="s">
        <v>48</v>
      </c>
      <c r="W159" t="s">
        <v>903</v>
      </c>
      <c r="X159" t="s">
        <v>904</v>
      </c>
    </row>
    <row r="160" spans="1:24" x14ac:dyDescent="0.25">
      <c r="A160" t="s">
        <v>905</v>
      </c>
      <c r="B160" t="s">
        <v>906</v>
      </c>
      <c r="C160" t="s">
        <v>97</v>
      </c>
      <c r="D160" t="s">
        <v>27</v>
      </c>
      <c r="E160" t="s">
        <v>182</v>
      </c>
      <c r="F160" t="s">
        <v>907</v>
      </c>
      <c r="G160" t="s">
        <v>43</v>
      </c>
      <c r="H160">
        <v>200.75</v>
      </c>
      <c r="I160">
        <v>352.94</v>
      </c>
      <c r="J160">
        <v>75.8</v>
      </c>
      <c r="K160">
        <v>1.88</v>
      </c>
      <c r="L160">
        <v>0.99199999999999999</v>
      </c>
      <c r="M160" t="s">
        <v>44</v>
      </c>
      <c r="N160" t="s">
        <v>57</v>
      </c>
      <c r="O160">
        <v>25</v>
      </c>
      <c r="P160">
        <v>325</v>
      </c>
      <c r="Q160">
        <v>75</v>
      </c>
      <c r="R160" t="s">
        <v>33</v>
      </c>
      <c r="S160" t="s">
        <v>47</v>
      </c>
      <c r="T160">
        <v>60</v>
      </c>
      <c r="U160">
        <v>2022</v>
      </c>
      <c r="V160" t="s">
        <v>149</v>
      </c>
      <c r="W160" t="s">
        <v>908</v>
      </c>
      <c r="X160" t="s">
        <v>909</v>
      </c>
    </row>
    <row r="161" spans="1:24" x14ac:dyDescent="0.25">
      <c r="A161" t="s">
        <v>910</v>
      </c>
      <c r="B161" t="s">
        <v>911</v>
      </c>
      <c r="C161" t="s">
        <v>26</v>
      </c>
      <c r="D161" t="s">
        <v>27</v>
      </c>
      <c r="E161" t="s">
        <v>223</v>
      </c>
      <c r="F161" t="s">
        <v>912</v>
      </c>
      <c r="G161" t="s">
        <v>99</v>
      </c>
      <c r="H161">
        <v>383.35</v>
      </c>
      <c r="I161">
        <v>461.3</v>
      </c>
      <c r="J161">
        <v>20.3</v>
      </c>
      <c r="K161">
        <v>3.02</v>
      </c>
      <c r="L161">
        <v>1.484</v>
      </c>
      <c r="M161" t="s">
        <v>100</v>
      </c>
      <c r="N161" t="s">
        <v>225</v>
      </c>
      <c r="O161">
        <v>6</v>
      </c>
      <c r="P161">
        <v>60</v>
      </c>
      <c r="Q161">
        <v>18</v>
      </c>
      <c r="R161" t="s">
        <v>33</v>
      </c>
      <c r="S161" t="s">
        <v>47</v>
      </c>
      <c r="T161">
        <v>60</v>
      </c>
      <c r="U161">
        <v>2026</v>
      </c>
      <c r="V161" t="s">
        <v>59</v>
      </c>
      <c r="W161" t="s">
        <v>913</v>
      </c>
      <c r="X161" t="s">
        <v>914</v>
      </c>
    </row>
    <row r="162" spans="1:24" x14ac:dyDescent="0.25">
      <c r="A162" t="s">
        <v>915</v>
      </c>
      <c r="B162" t="s">
        <v>916</v>
      </c>
      <c r="C162" t="s">
        <v>167</v>
      </c>
      <c r="D162" t="s">
        <v>27</v>
      </c>
      <c r="E162" t="s">
        <v>205</v>
      </c>
      <c r="F162" t="s">
        <v>917</v>
      </c>
      <c r="G162" t="s">
        <v>30</v>
      </c>
      <c r="H162">
        <v>421.7</v>
      </c>
      <c r="I162">
        <v>819.36</v>
      </c>
      <c r="J162">
        <v>94.3</v>
      </c>
      <c r="K162">
        <v>0.51</v>
      </c>
      <c r="L162">
        <v>0.40300000000000002</v>
      </c>
      <c r="M162" t="s">
        <v>100</v>
      </c>
      <c r="N162" t="s">
        <v>376</v>
      </c>
      <c r="O162">
        <v>12</v>
      </c>
      <c r="P162">
        <v>168</v>
      </c>
      <c r="Q162">
        <v>36</v>
      </c>
      <c r="R162" t="s">
        <v>46</v>
      </c>
      <c r="S162" t="s">
        <v>47</v>
      </c>
      <c r="T162">
        <v>36</v>
      </c>
      <c r="U162">
        <v>2023</v>
      </c>
      <c r="V162" t="s">
        <v>149</v>
      </c>
      <c r="W162" t="s">
        <v>918</v>
      </c>
      <c r="X162" t="s">
        <v>919</v>
      </c>
    </row>
    <row r="163" spans="1:24" x14ac:dyDescent="0.25">
      <c r="A163" t="s">
        <v>920</v>
      </c>
      <c r="B163" t="s">
        <v>921</v>
      </c>
      <c r="C163" t="s">
        <v>71</v>
      </c>
      <c r="D163" t="s">
        <v>27</v>
      </c>
      <c r="E163" t="s">
        <v>41</v>
      </c>
      <c r="F163" t="s">
        <v>922</v>
      </c>
      <c r="G163" t="s">
        <v>99</v>
      </c>
      <c r="H163">
        <v>181.22</v>
      </c>
      <c r="I163">
        <v>402.28</v>
      </c>
      <c r="J163">
        <v>122</v>
      </c>
      <c r="K163">
        <v>2.61</v>
      </c>
      <c r="L163">
        <v>2.085</v>
      </c>
      <c r="M163" t="s">
        <v>114</v>
      </c>
      <c r="N163" t="s">
        <v>340</v>
      </c>
      <c r="O163">
        <v>16</v>
      </c>
      <c r="P163">
        <v>320</v>
      </c>
      <c r="Q163">
        <v>48</v>
      </c>
      <c r="R163" t="s">
        <v>33</v>
      </c>
      <c r="S163" t="s">
        <v>83</v>
      </c>
      <c r="T163">
        <v>60</v>
      </c>
      <c r="U163">
        <v>2022</v>
      </c>
      <c r="V163" t="s">
        <v>171</v>
      </c>
      <c r="W163" t="s">
        <v>923</v>
      </c>
      <c r="X163" t="s">
        <v>924</v>
      </c>
    </row>
    <row r="164" spans="1:24" x14ac:dyDescent="0.25">
      <c r="A164" t="s">
        <v>925</v>
      </c>
      <c r="B164" t="s">
        <v>926</v>
      </c>
      <c r="C164" t="s">
        <v>111</v>
      </c>
      <c r="D164" t="s">
        <v>27</v>
      </c>
      <c r="E164" t="s">
        <v>205</v>
      </c>
      <c r="F164" t="s">
        <v>927</v>
      </c>
      <c r="G164" t="s">
        <v>43</v>
      </c>
      <c r="H164">
        <v>477.95</v>
      </c>
      <c r="I164">
        <v>574.45000000000005</v>
      </c>
      <c r="J164">
        <v>20.2</v>
      </c>
      <c r="K164">
        <v>2.33</v>
      </c>
      <c r="L164">
        <v>1.1879999999999999</v>
      </c>
      <c r="M164" t="s">
        <v>44</v>
      </c>
      <c r="N164" t="s">
        <v>482</v>
      </c>
      <c r="O164">
        <v>11</v>
      </c>
      <c r="P164">
        <v>88</v>
      </c>
      <c r="Q164">
        <v>33</v>
      </c>
      <c r="R164" t="s">
        <v>33</v>
      </c>
      <c r="S164" t="s">
        <v>83</v>
      </c>
      <c r="T164">
        <v>36</v>
      </c>
      <c r="U164">
        <v>2021</v>
      </c>
      <c r="V164" t="s">
        <v>92</v>
      </c>
      <c r="W164" t="s">
        <v>928</v>
      </c>
      <c r="X164" t="s">
        <v>929</v>
      </c>
    </row>
    <row r="165" spans="1:24" x14ac:dyDescent="0.25">
      <c r="A165" t="s">
        <v>930</v>
      </c>
      <c r="B165" t="s">
        <v>931</v>
      </c>
      <c r="C165" t="s">
        <v>111</v>
      </c>
      <c r="D165" t="s">
        <v>27</v>
      </c>
      <c r="E165" t="s">
        <v>112</v>
      </c>
      <c r="F165" t="s">
        <v>932</v>
      </c>
      <c r="G165" t="s">
        <v>30</v>
      </c>
      <c r="H165">
        <v>256.31</v>
      </c>
      <c r="I165">
        <v>556.77</v>
      </c>
      <c r="J165">
        <v>117.2</v>
      </c>
      <c r="K165">
        <v>2.0699999999999998</v>
      </c>
      <c r="L165">
        <v>0.68500000000000005</v>
      </c>
      <c r="M165" t="s">
        <v>143</v>
      </c>
      <c r="N165" t="s">
        <v>237</v>
      </c>
      <c r="O165">
        <v>7</v>
      </c>
      <c r="P165">
        <v>126</v>
      </c>
      <c r="Q165">
        <v>21</v>
      </c>
      <c r="R165" t="s">
        <v>33</v>
      </c>
      <c r="S165" t="s">
        <v>47</v>
      </c>
      <c r="T165">
        <v>36</v>
      </c>
      <c r="U165">
        <v>2023</v>
      </c>
      <c r="V165" t="s">
        <v>149</v>
      </c>
      <c r="W165" t="s">
        <v>933</v>
      </c>
      <c r="X165" t="s">
        <v>934</v>
      </c>
    </row>
    <row r="166" spans="1:24" x14ac:dyDescent="0.25">
      <c r="A166" t="s">
        <v>935</v>
      </c>
      <c r="B166" t="s">
        <v>936</v>
      </c>
      <c r="C166" t="s">
        <v>97</v>
      </c>
      <c r="D166" t="s">
        <v>27</v>
      </c>
      <c r="E166" t="s">
        <v>41</v>
      </c>
      <c r="F166" t="s">
        <v>937</v>
      </c>
      <c r="G166" t="s">
        <v>43</v>
      </c>
      <c r="H166">
        <v>474.6</v>
      </c>
      <c r="I166">
        <v>653.5</v>
      </c>
      <c r="J166">
        <v>37.700000000000003</v>
      </c>
      <c r="K166">
        <v>2.72</v>
      </c>
      <c r="L166">
        <v>1.45</v>
      </c>
      <c r="M166" t="s">
        <v>31</v>
      </c>
      <c r="N166" t="s">
        <v>45</v>
      </c>
      <c r="O166">
        <v>8</v>
      </c>
      <c r="P166">
        <v>112</v>
      </c>
      <c r="Q166">
        <v>24</v>
      </c>
      <c r="R166" t="s">
        <v>33</v>
      </c>
      <c r="S166" t="s">
        <v>34</v>
      </c>
      <c r="T166">
        <v>36</v>
      </c>
      <c r="U166">
        <v>2022</v>
      </c>
      <c r="V166" t="s">
        <v>122</v>
      </c>
      <c r="W166" t="s">
        <v>938</v>
      </c>
      <c r="X166" t="s">
        <v>939</v>
      </c>
    </row>
    <row r="167" spans="1:24" x14ac:dyDescent="0.25">
      <c r="A167" t="s">
        <v>940</v>
      </c>
      <c r="B167" t="s">
        <v>941</v>
      </c>
      <c r="C167" t="s">
        <v>26</v>
      </c>
      <c r="D167" t="s">
        <v>27</v>
      </c>
      <c r="E167" t="s">
        <v>119</v>
      </c>
      <c r="F167" t="s">
        <v>942</v>
      </c>
      <c r="G167" t="s">
        <v>99</v>
      </c>
      <c r="H167">
        <v>413.42</v>
      </c>
      <c r="I167">
        <v>659.6</v>
      </c>
      <c r="J167">
        <v>59.5</v>
      </c>
      <c r="K167">
        <v>2.5</v>
      </c>
      <c r="L167">
        <v>0.93500000000000005</v>
      </c>
      <c r="M167" t="s">
        <v>100</v>
      </c>
      <c r="N167" t="s">
        <v>74</v>
      </c>
      <c r="O167">
        <v>31</v>
      </c>
      <c r="P167">
        <v>589</v>
      </c>
      <c r="Q167">
        <v>93</v>
      </c>
      <c r="R167" t="s">
        <v>46</v>
      </c>
      <c r="S167" t="s">
        <v>47</v>
      </c>
      <c r="T167">
        <v>48</v>
      </c>
      <c r="U167">
        <v>2025</v>
      </c>
      <c r="V167" t="s">
        <v>92</v>
      </c>
      <c r="W167" t="s">
        <v>943</v>
      </c>
      <c r="X167" t="s">
        <v>944</v>
      </c>
    </row>
    <row r="168" spans="1:24" x14ac:dyDescent="0.25">
      <c r="A168" t="s">
        <v>945</v>
      </c>
      <c r="B168" t="s">
        <v>946</v>
      </c>
      <c r="C168" t="s">
        <v>242</v>
      </c>
      <c r="D168" t="s">
        <v>27</v>
      </c>
      <c r="E168" t="s">
        <v>119</v>
      </c>
      <c r="F168" t="s">
        <v>947</v>
      </c>
      <c r="G168" t="s">
        <v>80</v>
      </c>
      <c r="H168">
        <v>434.57</v>
      </c>
      <c r="I168">
        <v>835.57</v>
      </c>
      <c r="J168">
        <v>92.3</v>
      </c>
      <c r="K168">
        <v>1.97</v>
      </c>
      <c r="L168">
        <v>0.72899999999999998</v>
      </c>
      <c r="M168" t="s">
        <v>31</v>
      </c>
      <c r="N168" t="s">
        <v>340</v>
      </c>
      <c r="O168">
        <v>8</v>
      </c>
      <c r="P168">
        <v>64</v>
      </c>
      <c r="Q168">
        <v>24</v>
      </c>
      <c r="R168" t="s">
        <v>46</v>
      </c>
      <c r="S168" t="s">
        <v>47</v>
      </c>
      <c r="T168">
        <v>24</v>
      </c>
      <c r="U168">
        <v>2022</v>
      </c>
      <c r="V168" t="s">
        <v>59</v>
      </c>
      <c r="W168" t="s">
        <v>948</v>
      </c>
      <c r="X168" t="s">
        <v>949</v>
      </c>
    </row>
    <row r="169" spans="1:24" x14ac:dyDescent="0.25">
      <c r="A169" t="s">
        <v>950</v>
      </c>
      <c r="B169" t="s">
        <v>951</v>
      </c>
      <c r="C169" t="s">
        <v>40</v>
      </c>
      <c r="D169" t="s">
        <v>27</v>
      </c>
      <c r="E169" t="s">
        <v>89</v>
      </c>
      <c r="F169" t="s">
        <v>952</v>
      </c>
      <c r="G169" t="s">
        <v>43</v>
      </c>
      <c r="H169">
        <v>59.81</v>
      </c>
      <c r="I169">
        <v>76.78</v>
      </c>
      <c r="J169">
        <v>28.4</v>
      </c>
      <c r="K169">
        <v>3.17</v>
      </c>
      <c r="L169">
        <v>2.2330000000000001</v>
      </c>
      <c r="M169" t="s">
        <v>81</v>
      </c>
      <c r="N169" t="s">
        <v>654</v>
      </c>
      <c r="O169">
        <v>7</v>
      </c>
      <c r="P169">
        <v>63</v>
      </c>
      <c r="Q169">
        <v>21</v>
      </c>
      <c r="R169" t="s">
        <v>46</v>
      </c>
      <c r="S169" t="s">
        <v>47</v>
      </c>
      <c r="T169">
        <v>12</v>
      </c>
      <c r="U169">
        <v>2022</v>
      </c>
      <c r="V169" t="s">
        <v>59</v>
      </c>
      <c r="W169" t="s">
        <v>953</v>
      </c>
      <c r="X169" t="s">
        <v>954</v>
      </c>
    </row>
    <row r="170" spans="1:24" x14ac:dyDescent="0.25">
      <c r="A170" t="s">
        <v>955</v>
      </c>
      <c r="B170" t="s">
        <v>956</v>
      </c>
      <c r="C170" t="s">
        <v>167</v>
      </c>
      <c r="D170" t="s">
        <v>27</v>
      </c>
      <c r="E170" t="s">
        <v>154</v>
      </c>
      <c r="F170" t="s">
        <v>957</v>
      </c>
      <c r="G170" t="s">
        <v>99</v>
      </c>
      <c r="H170">
        <v>209.27</v>
      </c>
      <c r="I170">
        <v>498.23</v>
      </c>
      <c r="J170">
        <v>138.1</v>
      </c>
      <c r="K170">
        <v>1.03</v>
      </c>
      <c r="L170">
        <v>0.627</v>
      </c>
      <c r="M170" t="s">
        <v>81</v>
      </c>
      <c r="N170" t="s">
        <v>45</v>
      </c>
      <c r="O170">
        <v>6</v>
      </c>
      <c r="P170">
        <v>108</v>
      </c>
      <c r="Q170">
        <v>24</v>
      </c>
      <c r="R170" t="s">
        <v>33</v>
      </c>
      <c r="S170" t="s">
        <v>47</v>
      </c>
      <c r="T170">
        <v>48</v>
      </c>
      <c r="U170">
        <v>2025</v>
      </c>
      <c r="V170" t="s">
        <v>122</v>
      </c>
      <c r="W170" t="s">
        <v>958</v>
      </c>
      <c r="X170" t="s">
        <v>959</v>
      </c>
    </row>
    <row r="171" spans="1:24" x14ac:dyDescent="0.25">
      <c r="A171" t="s">
        <v>960</v>
      </c>
      <c r="B171" t="s">
        <v>961</v>
      </c>
      <c r="C171" t="s">
        <v>167</v>
      </c>
      <c r="D171" t="s">
        <v>27</v>
      </c>
      <c r="E171" t="s">
        <v>119</v>
      </c>
      <c r="F171" t="s">
        <v>962</v>
      </c>
      <c r="G171" t="s">
        <v>80</v>
      </c>
      <c r="H171">
        <v>139.76</v>
      </c>
      <c r="I171">
        <v>328.44</v>
      </c>
      <c r="J171">
        <v>135</v>
      </c>
      <c r="K171">
        <v>1.89</v>
      </c>
      <c r="L171">
        <v>1.02</v>
      </c>
      <c r="M171" t="s">
        <v>100</v>
      </c>
      <c r="N171" t="s">
        <v>231</v>
      </c>
      <c r="O171">
        <v>30</v>
      </c>
      <c r="P171">
        <v>600</v>
      </c>
      <c r="Q171">
        <v>120</v>
      </c>
      <c r="R171" t="s">
        <v>58</v>
      </c>
      <c r="S171" t="s">
        <v>47</v>
      </c>
      <c r="T171">
        <v>60</v>
      </c>
      <c r="U171">
        <v>2025</v>
      </c>
      <c r="V171" t="s">
        <v>149</v>
      </c>
      <c r="W171" t="s">
        <v>963</v>
      </c>
      <c r="X171" t="s">
        <v>964</v>
      </c>
    </row>
    <row r="172" spans="1:24" x14ac:dyDescent="0.25">
      <c r="A172" t="s">
        <v>965</v>
      </c>
      <c r="B172" t="s">
        <v>966</v>
      </c>
      <c r="C172" t="s">
        <v>71</v>
      </c>
      <c r="D172" t="s">
        <v>27</v>
      </c>
      <c r="E172" t="s">
        <v>182</v>
      </c>
      <c r="F172" t="s">
        <v>967</v>
      </c>
      <c r="G172" t="s">
        <v>99</v>
      </c>
      <c r="H172">
        <v>63.19</v>
      </c>
      <c r="I172">
        <v>142.41999999999999</v>
      </c>
      <c r="J172">
        <v>125.4</v>
      </c>
      <c r="K172">
        <v>1.06</v>
      </c>
      <c r="L172">
        <v>0.84799999999999998</v>
      </c>
      <c r="M172" t="s">
        <v>81</v>
      </c>
      <c r="N172" t="s">
        <v>106</v>
      </c>
      <c r="O172">
        <v>16</v>
      </c>
      <c r="P172">
        <v>160</v>
      </c>
      <c r="Q172">
        <v>48</v>
      </c>
      <c r="R172" t="s">
        <v>46</v>
      </c>
      <c r="S172" t="s">
        <v>47</v>
      </c>
      <c r="T172">
        <v>24</v>
      </c>
      <c r="U172">
        <v>2023</v>
      </c>
      <c r="V172" t="s">
        <v>92</v>
      </c>
      <c r="W172" t="s">
        <v>968</v>
      </c>
      <c r="X172" t="s">
        <v>969</v>
      </c>
    </row>
    <row r="173" spans="1:24" x14ac:dyDescent="0.25">
      <c r="A173" t="s">
        <v>970</v>
      </c>
      <c r="B173" t="s">
        <v>971</v>
      </c>
      <c r="C173" t="s">
        <v>167</v>
      </c>
      <c r="D173" t="s">
        <v>27</v>
      </c>
      <c r="E173" t="s">
        <v>89</v>
      </c>
      <c r="F173" t="s">
        <v>972</v>
      </c>
      <c r="G173" t="s">
        <v>99</v>
      </c>
      <c r="H173">
        <v>129.25</v>
      </c>
      <c r="I173">
        <v>254.66</v>
      </c>
      <c r="J173">
        <v>97</v>
      </c>
      <c r="K173">
        <v>2.84</v>
      </c>
      <c r="L173">
        <v>1.351</v>
      </c>
      <c r="M173" t="s">
        <v>56</v>
      </c>
      <c r="N173" t="s">
        <v>32</v>
      </c>
      <c r="O173">
        <v>5</v>
      </c>
      <c r="P173">
        <v>85</v>
      </c>
      <c r="Q173">
        <v>25</v>
      </c>
      <c r="R173" t="s">
        <v>58</v>
      </c>
      <c r="S173" t="s">
        <v>47</v>
      </c>
      <c r="T173">
        <v>60</v>
      </c>
      <c r="U173">
        <v>2022</v>
      </c>
      <c r="V173" t="s">
        <v>122</v>
      </c>
      <c r="W173" t="s">
        <v>973</v>
      </c>
      <c r="X173" t="s">
        <v>974</v>
      </c>
    </row>
    <row r="174" spans="1:24" x14ac:dyDescent="0.25">
      <c r="A174" t="s">
        <v>975</v>
      </c>
      <c r="B174" t="s">
        <v>976</v>
      </c>
      <c r="C174" t="s">
        <v>53</v>
      </c>
      <c r="D174" t="s">
        <v>27</v>
      </c>
      <c r="E174" t="s">
        <v>182</v>
      </c>
      <c r="F174" t="s">
        <v>977</v>
      </c>
      <c r="G174" t="s">
        <v>43</v>
      </c>
      <c r="H174">
        <v>75.28</v>
      </c>
      <c r="I174">
        <v>149.22</v>
      </c>
      <c r="J174">
        <v>98.2</v>
      </c>
      <c r="K174">
        <v>0.17</v>
      </c>
      <c r="L174">
        <v>0.12</v>
      </c>
      <c r="M174" t="s">
        <v>81</v>
      </c>
      <c r="N174" t="s">
        <v>195</v>
      </c>
      <c r="O174">
        <v>15</v>
      </c>
      <c r="P174">
        <v>195</v>
      </c>
      <c r="Q174">
        <v>75</v>
      </c>
      <c r="R174" t="s">
        <v>33</v>
      </c>
      <c r="S174" t="s">
        <v>47</v>
      </c>
      <c r="T174">
        <v>36</v>
      </c>
      <c r="U174">
        <v>2021</v>
      </c>
      <c r="V174" t="s">
        <v>92</v>
      </c>
      <c r="W174" t="s">
        <v>978</v>
      </c>
      <c r="X174" t="s">
        <v>979</v>
      </c>
    </row>
    <row r="175" spans="1:24" x14ac:dyDescent="0.25">
      <c r="A175" t="s">
        <v>980</v>
      </c>
      <c r="B175" t="s">
        <v>981</v>
      </c>
      <c r="C175" t="s">
        <v>167</v>
      </c>
      <c r="D175" t="s">
        <v>27</v>
      </c>
      <c r="E175" t="s">
        <v>54</v>
      </c>
      <c r="F175" t="s">
        <v>982</v>
      </c>
      <c r="G175" t="s">
        <v>30</v>
      </c>
      <c r="H175">
        <v>185.79</v>
      </c>
      <c r="I175">
        <v>255.9</v>
      </c>
      <c r="J175">
        <v>37.700000000000003</v>
      </c>
      <c r="K175">
        <v>0.64</v>
      </c>
      <c r="L175">
        <v>0.41799999999999998</v>
      </c>
      <c r="M175" t="s">
        <v>135</v>
      </c>
      <c r="N175" t="s">
        <v>212</v>
      </c>
      <c r="O175">
        <v>25</v>
      </c>
      <c r="P175">
        <v>400</v>
      </c>
      <c r="Q175">
        <v>125</v>
      </c>
      <c r="R175" t="s">
        <v>33</v>
      </c>
      <c r="S175" t="s">
        <v>34</v>
      </c>
      <c r="T175">
        <v>36</v>
      </c>
      <c r="U175">
        <v>2022</v>
      </c>
      <c r="V175" t="s">
        <v>171</v>
      </c>
      <c r="W175" t="s">
        <v>983</v>
      </c>
      <c r="X175" t="s">
        <v>984</v>
      </c>
    </row>
    <row r="176" spans="1:24" x14ac:dyDescent="0.25">
      <c r="A176" t="s">
        <v>985</v>
      </c>
      <c r="B176" t="s">
        <v>986</v>
      </c>
      <c r="C176" t="s">
        <v>97</v>
      </c>
      <c r="D176" t="s">
        <v>27</v>
      </c>
      <c r="E176" t="s">
        <v>54</v>
      </c>
      <c r="F176" t="s">
        <v>987</v>
      </c>
      <c r="G176" t="s">
        <v>99</v>
      </c>
      <c r="H176">
        <v>377.97</v>
      </c>
      <c r="I176">
        <v>919.76</v>
      </c>
      <c r="J176">
        <v>143.30000000000001</v>
      </c>
      <c r="K176">
        <v>3.33</v>
      </c>
      <c r="L176">
        <v>1.5289999999999999</v>
      </c>
      <c r="M176" t="s">
        <v>135</v>
      </c>
      <c r="N176" t="s">
        <v>57</v>
      </c>
      <c r="O176">
        <v>6</v>
      </c>
      <c r="P176">
        <v>120</v>
      </c>
      <c r="Q176">
        <v>30</v>
      </c>
      <c r="R176" t="s">
        <v>33</v>
      </c>
      <c r="S176" t="s">
        <v>47</v>
      </c>
      <c r="T176">
        <v>60</v>
      </c>
      <c r="U176">
        <v>2021</v>
      </c>
      <c r="V176" t="s">
        <v>122</v>
      </c>
      <c r="W176" t="s">
        <v>988</v>
      </c>
      <c r="X176" t="s">
        <v>989</v>
      </c>
    </row>
    <row r="177" spans="1:24" x14ac:dyDescent="0.25">
      <c r="A177" t="s">
        <v>990</v>
      </c>
      <c r="B177" t="s">
        <v>991</v>
      </c>
      <c r="C177" t="s">
        <v>26</v>
      </c>
      <c r="D177" t="s">
        <v>27</v>
      </c>
      <c r="E177" t="s">
        <v>54</v>
      </c>
      <c r="F177" t="s">
        <v>992</v>
      </c>
      <c r="G177" t="s">
        <v>30</v>
      </c>
      <c r="H177">
        <v>492.07</v>
      </c>
      <c r="I177">
        <v>697.88</v>
      </c>
      <c r="J177">
        <v>41.8</v>
      </c>
      <c r="K177">
        <v>3.11</v>
      </c>
      <c r="L177">
        <v>1.2589999999999999</v>
      </c>
      <c r="M177" t="s">
        <v>31</v>
      </c>
      <c r="N177" t="s">
        <v>245</v>
      </c>
      <c r="O177">
        <v>19</v>
      </c>
      <c r="P177">
        <v>361</v>
      </c>
      <c r="Q177">
        <v>57</v>
      </c>
      <c r="R177" t="s">
        <v>33</v>
      </c>
      <c r="S177" t="s">
        <v>47</v>
      </c>
      <c r="T177">
        <v>36</v>
      </c>
      <c r="U177">
        <v>2021</v>
      </c>
      <c r="V177" t="s">
        <v>92</v>
      </c>
      <c r="W177" t="s">
        <v>993</v>
      </c>
      <c r="X177" t="s">
        <v>994</v>
      </c>
    </row>
    <row r="178" spans="1:24" x14ac:dyDescent="0.25">
      <c r="A178" t="s">
        <v>995</v>
      </c>
      <c r="B178" t="s">
        <v>996</v>
      </c>
      <c r="C178" t="s">
        <v>167</v>
      </c>
      <c r="D178" t="s">
        <v>27</v>
      </c>
      <c r="E178" t="s">
        <v>41</v>
      </c>
      <c r="F178" t="s">
        <v>997</v>
      </c>
      <c r="G178" t="s">
        <v>80</v>
      </c>
      <c r="H178">
        <v>271.89</v>
      </c>
      <c r="I178">
        <v>460.13</v>
      </c>
      <c r="J178">
        <v>69.2</v>
      </c>
      <c r="K178">
        <v>1.96</v>
      </c>
      <c r="L178">
        <v>1.226</v>
      </c>
      <c r="M178" t="s">
        <v>31</v>
      </c>
      <c r="N178" t="s">
        <v>121</v>
      </c>
      <c r="O178">
        <v>30</v>
      </c>
      <c r="P178">
        <v>540</v>
      </c>
      <c r="Q178">
        <v>90</v>
      </c>
      <c r="R178" t="s">
        <v>46</v>
      </c>
      <c r="S178" t="s">
        <v>47</v>
      </c>
      <c r="T178">
        <v>48</v>
      </c>
      <c r="U178">
        <v>2021</v>
      </c>
      <c r="V178" t="s">
        <v>92</v>
      </c>
      <c r="W178" t="s">
        <v>998</v>
      </c>
      <c r="X178" t="s">
        <v>999</v>
      </c>
    </row>
    <row r="179" spans="1:24" x14ac:dyDescent="0.25">
      <c r="A179" t="s">
        <v>1000</v>
      </c>
      <c r="B179" t="s">
        <v>1001</v>
      </c>
      <c r="C179" t="s">
        <v>97</v>
      </c>
      <c r="D179" t="s">
        <v>27</v>
      </c>
      <c r="E179" t="s">
        <v>260</v>
      </c>
      <c r="F179" t="s">
        <v>1002</v>
      </c>
      <c r="G179" t="s">
        <v>43</v>
      </c>
      <c r="H179">
        <v>203.81</v>
      </c>
      <c r="I179">
        <v>479.83</v>
      </c>
      <c r="J179">
        <v>135.4</v>
      </c>
      <c r="K179">
        <v>0.65</v>
      </c>
      <c r="L179">
        <v>0.38800000000000001</v>
      </c>
      <c r="M179" t="s">
        <v>31</v>
      </c>
      <c r="N179" t="s">
        <v>287</v>
      </c>
      <c r="O179">
        <v>35</v>
      </c>
      <c r="P179">
        <v>595</v>
      </c>
      <c r="Q179">
        <v>140</v>
      </c>
      <c r="R179" t="s">
        <v>33</v>
      </c>
      <c r="S179" t="s">
        <v>83</v>
      </c>
      <c r="T179">
        <v>12</v>
      </c>
      <c r="U179">
        <v>2024</v>
      </c>
      <c r="V179" t="s">
        <v>171</v>
      </c>
      <c r="W179" t="s">
        <v>1003</v>
      </c>
      <c r="X179" t="s">
        <v>1004</v>
      </c>
    </row>
    <row r="180" spans="1:24" x14ac:dyDescent="0.25">
      <c r="A180" t="s">
        <v>1005</v>
      </c>
      <c r="B180" t="s">
        <v>1006</v>
      </c>
      <c r="C180" t="s">
        <v>26</v>
      </c>
      <c r="D180" t="s">
        <v>27</v>
      </c>
      <c r="E180" t="s">
        <v>154</v>
      </c>
      <c r="F180" t="s">
        <v>1007</v>
      </c>
      <c r="G180" t="s">
        <v>99</v>
      </c>
      <c r="H180">
        <v>488.48</v>
      </c>
      <c r="I180">
        <v>846.08</v>
      </c>
      <c r="J180">
        <v>73.2</v>
      </c>
      <c r="K180">
        <v>1.98</v>
      </c>
      <c r="L180">
        <v>0.64300000000000002</v>
      </c>
      <c r="M180" t="s">
        <v>44</v>
      </c>
      <c r="N180" t="s">
        <v>162</v>
      </c>
      <c r="O180">
        <v>14</v>
      </c>
      <c r="P180">
        <v>238</v>
      </c>
      <c r="Q180">
        <v>70</v>
      </c>
      <c r="R180" t="s">
        <v>33</v>
      </c>
      <c r="S180" t="s">
        <v>47</v>
      </c>
      <c r="T180">
        <v>24</v>
      </c>
      <c r="U180">
        <v>2021</v>
      </c>
      <c r="V180" t="s">
        <v>149</v>
      </c>
      <c r="W180" t="s">
        <v>1008</v>
      </c>
      <c r="X180" t="s">
        <v>1009</v>
      </c>
    </row>
    <row r="181" spans="1:24" x14ac:dyDescent="0.25">
      <c r="A181" t="s">
        <v>1010</v>
      </c>
      <c r="B181" t="s">
        <v>1011</v>
      </c>
      <c r="C181" t="s">
        <v>97</v>
      </c>
      <c r="D181" t="s">
        <v>27</v>
      </c>
      <c r="E181" t="s">
        <v>168</v>
      </c>
      <c r="F181" t="s">
        <v>1012</v>
      </c>
      <c r="G181" t="s">
        <v>99</v>
      </c>
      <c r="H181">
        <v>93.64</v>
      </c>
      <c r="I181">
        <v>137.56</v>
      </c>
      <c r="J181">
        <v>46.9</v>
      </c>
      <c r="K181">
        <v>2.27</v>
      </c>
      <c r="L181">
        <v>1.5720000000000001</v>
      </c>
      <c r="M181" t="s">
        <v>31</v>
      </c>
      <c r="N181" t="s">
        <v>121</v>
      </c>
      <c r="O181">
        <v>32</v>
      </c>
      <c r="P181">
        <v>480</v>
      </c>
      <c r="Q181">
        <v>128</v>
      </c>
      <c r="R181" t="s">
        <v>33</v>
      </c>
      <c r="S181" t="s">
        <v>83</v>
      </c>
      <c r="T181">
        <v>36</v>
      </c>
      <c r="U181">
        <v>2021</v>
      </c>
      <c r="V181" t="s">
        <v>59</v>
      </c>
      <c r="W181" t="s">
        <v>1013</v>
      </c>
      <c r="X181" t="s">
        <v>1014</v>
      </c>
    </row>
    <row r="182" spans="1:24" x14ac:dyDescent="0.25">
      <c r="A182" t="s">
        <v>1015</v>
      </c>
      <c r="B182" t="s">
        <v>1016</v>
      </c>
      <c r="C182" t="s">
        <v>167</v>
      </c>
      <c r="D182" t="s">
        <v>27</v>
      </c>
      <c r="E182" t="s">
        <v>112</v>
      </c>
      <c r="F182" t="s">
        <v>1017</v>
      </c>
      <c r="G182" t="s">
        <v>99</v>
      </c>
      <c r="H182">
        <v>250.6</v>
      </c>
      <c r="I182">
        <v>386.5</v>
      </c>
      <c r="J182">
        <v>54.2</v>
      </c>
      <c r="K182">
        <v>1.68</v>
      </c>
      <c r="L182">
        <v>1.1359999999999999</v>
      </c>
      <c r="M182" t="s">
        <v>114</v>
      </c>
      <c r="N182" t="s">
        <v>1018</v>
      </c>
      <c r="O182">
        <v>23</v>
      </c>
      <c r="P182">
        <v>414</v>
      </c>
      <c r="Q182">
        <v>69</v>
      </c>
      <c r="R182" t="s">
        <v>33</v>
      </c>
      <c r="S182" t="s">
        <v>47</v>
      </c>
      <c r="T182">
        <v>36</v>
      </c>
      <c r="U182">
        <v>2025</v>
      </c>
      <c r="V182" t="s">
        <v>59</v>
      </c>
      <c r="W182" t="s">
        <v>1019</v>
      </c>
      <c r="X182" t="s">
        <v>1020</v>
      </c>
    </row>
    <row r="183" spans="1:24" x14ac:dyDescent="0.25">
      <c r="A183" t="s">
        <v>1021</v>
      </c>
      <c r="B183" t="s">
        <v>1022</v>
      </c>
      <c r="C183" t="s">
        <v>71</v>
      </c>
      <c r="D183" t="s">
        <v>27</v>
      </c>
      <c r="E183" t="s">
        <v>133</v>
      </c>
      <c r="F183" t="s">
        <v>1023</v>
      </c>
      <c r="G183" t="s">
        <v>80</v>
      </c>
      <c r="H183">
        <v>484.53</v>
      </c>
      <c r="I183">
        <v>1014.21</v>
      </c>
      <c r="J183">
        <v>109.3</v>
      </c>
      <c r="K183">
        <v>3.28</v>
      </c>
      <c r="L183">
        <v>2.4649999999999999</v>
      </c>
      <c r="M183" t="s">
        <v>114</v>
      </c>
      <c r="N183" t="s">
        <v>121</v>
      </c>
      <c r="O183">
        <v>14</v>
      </c>
      <c r="P183">
        <v>266</v>
      </c>
      <c r="Q183">
        <v>42</v>
      </c>
      <c r="R183" t="s">
        <v>33</v>
      </c>
      <c r="S183" t="s">
        <v>34</v>
      </c>
      <c r="T183">
        <v>60</v>
      </c>
      <c r="U183">
        <v>2025</v>
      </c>
      <c r="V183" t="s">
        <v>171</v>
      </c>
      <c r="W183" t="s">
        <v>1024</v>
      </c>
      <c r="X183" t="s">
        <v>1025</v>
      </c>
    </row>
    <row r="184" spans="1:24" x14ac:dyDescent="0.25">
      <c r="A184" t="s">
        <v>1026</v>
      </c>
      <c r="B184" t="s">
        <v>1027</v>
      </c>
      <c r="C184" t="s">
        <v>242</v>
      </c>
      <c r="D184" t="s">
        <v>27</v>
      </c>
      <c r="E184" t="s">
        <v>182</v>
      </c>
      <c r="F184" t="s">
        <v>1028</v>
      </c>
      <c r="G184" t="s">
        <v>99</v>
      </c>
      <c r="H184">
        <v>106.78</v>
      </c>
      <c r="I184">
        <v>186.91</v>
      </c>
      <c r="J184">
        <v>75</v>
      </c>
      <c r="K184">
        <v>3.46</v>
      </c>
      <c r="L184">
        <v>2.4809999999999999</v>
      </c>
      <c r="M184" t="s">
        <v>135</v>
      </c>
      <c r="N184" t="s">
        <v>128</v>
      </c>
      <c r="O184">
        <v>31</v>
      </c>
      <c r="P184">
        <v>372</v>
      </c>
      <c r="Q184">
        <v>124</v>
      </c>
      <c r="R184" t="s">
        <v>58</v>
      </c>
      <c r="S184" t="s">
        <v>83</v>
      </c>
      <c r="T184">
        <v>12</v>
      </c>
      <c r="U184">
        <v>2021</v>
      </c>
      <c r="V184" t="s">
        <v>59</v>
      </c>
      <c r="W184" t="s">
        <v>1029</v>
      </c>
      <c r="X184" t="s">
        <v>1030</v>
      </c>
    </row>
    <row r="185" spans="1:24" x14ac:dyDescent="0.25">
      <c r="A185" t="s">
        <v>1031</v>
      </c>
      <c r="B185" t="s">
        <v>1032</v>
      </c>
      <c r="C185" t="s">
        <v>64</v>
      </c>
      <c r="D185" t="s">
        <v>27</v>
      </c>
      <c r="E185" t="s">
        <v>133</v>
      </c>
      <c r="F185" t="s">
        <v>1033</v>
      </c>
      <c r="G185" t="s">
        <v>80</v>
      </c>
      <c r="H185">
        <v>462.72</v>
      </c>
      <c r="I185">
        <v>562.70000000000005</v>
      </c>
      <c r="J185">
        <v>21.6</v>
      </c>
      <c r="K185">
        <v>2.48</v>
      </c>
      <c r="L185">
        <v>1.4470000000000001</v>
      </c>
      <c r="M185" t="s">
        <v>135</v>
      </c>
      <c r="N185" t="s">
        <v>435</v>
      </c>
      <c r="O185">
        <v>18</v>
      </c>
      <c r="P185">
        <v>306</v>
      </c>
      <c r="Q185">
        <v>54</v>
      </c>
      <c r="R185" t="s">
        <v>33</v>
      </c>
      <c r="S185" t="s">
        <v>47</v>
      </c>
      <c r="T185">
        <v>60</v>
      </c>
      <c r="U185">
        <v>2021</v>
      </c>
      <c r="V185" t="s">
        <v>48</v>
      </c>
      <c r="W185" t="s">
        <v>1034</v>
      </c>
      <c r="X185" t="s">
        <v>1035</v>
      </c>
    </row>
    <row r="186" spans="1:24" x14ac:dyDescent="0.25">
      <c r="A186" t="s">
        <v>1036</v>
      </c>
      <c r="B186" t="s">
        <v>1037</v>
      </c>
      <c r="C186" t="s">
        <v>167</v>
      </c>
      <c r="D186" t="s">
        <v>27</v>
      </c>
      <c r="E186" t="s">
        <v>112</v>
      </c>
      <c r="F186" t="s">
        <v>1038</v>
      </c>
      <c r="G186" t="s">
        <v>80</v>
      </c>
      <c r="H186">
        <v>344.65</v>
      </c>
      <c r="I186">
        <v>669.87</v>
      </c>
      <c r="J186">
        <v>94.4</v>
      </c>
      <c r="K186">
        <v>1.71</v>
      </c>
      <c r="L186">
        <v>1.0329999999999999</v>
      </c>
      <c r="M186" t="s">
        <v>143</v>
      </c>
      <c r="N186" t="s">
        <v>1018</v>
      </c>
      <c r="O186">
        <v>17</v>
      </c>
      <c r="P186">
        <v>323</v>
      </c>
      <c r="Q186">
        <v>68</v>
      </c>
      <c r="R186" t="s">
        <v>33</v>
      </c>
      <c r="S186" t="s">
        <v>47</v>
      </c>
      <c r="T186">
        <v>48</v>
      </c>
      <c r="U186">
        <v>2023</v>
      </c>
      <c r="V186" t="s">
        <v>35</v>
      </c>
      <c r="W186" t="s">
        <v>1039</v>
      </c>
      <c r="X186" t="s">
        <v>1040</v>
      </c>
    </row>
    <row r="187" spans="1:24" x14ac:dyDescent="0.25">
      <c r="A187" t="s">
        <v>1041</v>
      </c>
      <c r="B187" t="s">
        <v>1042</v>
      </c>
      <c r="C187" t="s">
        <v>97</v>
      </c>
      <c r="D187" t="s">
        <v>27</v>
      </c>
      <c r="E187" t="s">
        <v>41</v>
      </c>
      <c r="F187" t="s">
        <v>1043</v>
      </c>
      <c r="G187" t="s">
        <v>43</v>
      </c>
      <c r="H187">
        <v>202.04</v>
      </c>
      <c r="I187">
        <v>450.9</v>
      </c>
      <c r="J187">
        <v>123.2</v>
      </c>
      <c r="K187">
        <v>1.1599999999999999</v>
      </c>
      <c r="L187">
        <v>0.52200000000000002</v>
      </c>
      <c r="M187" t="s">
        <v>81</v>
      </c>
      <c r="N187" t="s">
        <v>482</v>
      </c>
      <c r="O187">
        <v>32</v>
      </c>
      <c r="P187">
        <v>608</v>
      </c>
      <c r="Q187">
        <v>128</v>
      </c>
      <c r="R187" t="s">
        <v>33</v>
      </c>
      <c r="S187" t="s">
        <v>47</v>
      </c>
      <c r="T187">
        <v>36</v>
      </c>
      <c r="U187">
        <v>2026</v>
      </c>
      <c r="V187" t="s">
        <v>59</v>
      </c>
      <c r="W187" t="s">
        <v>1044</v>
      </c>
      <c r="X187" t="s">
        <v>1045</v>
      </c>
    </row>
    <row r="188" spans="1:24" x14ac:dyDescent="0.25">
      <c r="A188" t="s">
        <v>1046</v>
      </c>
      <c r="B188" t="s">
        <v>1047</v>
      </c>
      <c r="C188" t="s">
        <v>141</v>
      </c>
      <c r="D188" t="s">
        <v>27</v>
      </c>
      <c r="E188" t="s">
        <v>41</v>
      </c>
      <c r="F188" t="s">
        <v>1048</v>
      </c>
      <c r="G188" t="s">
        <v>80</v>
      </c>
      <c r="H188">
        <v>391.77</v>
      </c>
      <c r="I188">
        <v>911.78</v>
      </c>
      <c r="J188">
        <v>132.69999999999999</v>
      </c>
      <c r="K188">
        <v>2.89</v>
      </c>
      <c r="L188">
        <v>1.45</v>
      </c>
      <c r="M188" t="s">
        <v>143</v>
      </c>
      <c r="N188" t="s">
        <v>156</v>
      </c>
      <c r="O188">
        <v>14</v>
      </c>
      <c r="P188">
        <v>280</v>
      </c>
      <c r="Q188">
        <v>70</v>
      </c>
      <c r="R188" t="s">
        <v>58</v>
      </c>
      <c r="S188" t="s">
        <v>34</v>
      </c>
      <c r="T188">
        <v>12</v>
      </c>
      <c r="U188">
        <v>2022</v>
      </c>
      <c r="V188" t="s">
        <v>35</v>
      </c>
      <c r="W188" t="s">
        <v>1049</v>
      </c>
      <c r="X188" t="s">
        <v>1050</v>
      </c>
    </row>
    <row r="189" spans="1:24" x14ac:dyDescent="0.25">
      <c r="A189" t="s">
        <v>1051</v>
      </c>
      <c r="B189" t="s">
        <v>1052</v>
      </c>
      <c r="C189" t="s">
        <v>53</v>
      </c>
      <c r="D189" t="s">
        <v>27</v>
      </c>
      <c r="E189" t="s">
        <v>154</v>
      </c>
      <c r="F189" t="s">
        <v>1053</v>
      </c>
      <c r="G189" t="s">
        <v>30</v>
      </c>
      <c r="H189">
        <v>367.09</v>
      </c>
      <c r="I189">
        <v>571.25</v>
      </c>
      <c r="J189">
        <v>55.6</v>
      </c>
      <c r="K189">
        <v>2.9</v>
      </c>
      <c r="L189">
        <v>1.41</v>
      </c>
      <c r="M189" t="s">
        <v>135</v>
      </c>
      <c r="N189" t="s">
        <v>435</v>
      </c>
      <c r="O189">
        <v>26</v>
      </c>
      <c r="P189">
        <v>442</v>
      </c>
      <c r="Q189">
        <v>104</v>
      </c>
      <c r="R189" t="s">
        <v>33</v>
      </c>
      <c r="S189" t="s">
        <v>47</v>
      </c>
      <c r="T189">
        <v>48</v>
      </c>
      <c r="U189">
        <v>2025</v>
      </c>
      <c r="V189" t="s">
        <v>149</v>
      </c>
      <c r="W189" t="s">
        <v>1054</v>
      </c>
      <c r="X189" t="s">
        <v>1055</v>
      </c>
    </row>
    <row r="190" spans="1:24" x14ac:dyDescent="0.25">
      <c r="A190" t="s">
        <v>1056</v>
      </c>
      <c r="B190" t="s">
        <v>1057</v>
      </c>
      <c r="C190" t="s">
        <v>97</v>
      </c>
      <c r="D190" t="s">
        <v>27</v>
      </c>
      <c r="E190" t="s">
        <v>72</v>
      </c>
      <c r="F190" t="s">
        <v>1058</v>
      </c>
      <c r="G190" t="s">
        <v>30</v>
      </c>
      <c r="H190">
        <v>62.35</v>
      </c>
      <c r="I190">
        <v>78.84</v>
      </c>
      <c r="J190">
        <v>26.4</v>
      </c>
      <c r="K190">
        <v>3</v>
      </c>
      <c r="L190">
        <v>1.21</v>
      </c>
      <c r="M190" t="s">
        <v>114</v>
      </c>
      <c r="N190" t="s">
        <v>690</v>
      </c>
      <c r="O190">
        <v>25</v>
      </c>
      <c r="P190">
        <v>450</v>
      </c>
      <c r="Q190">
        <v>100</v>
      </c>
      <c r="R190" t="s">
        <v>33</v>
      </c>
      <c r="S190" t="s">
        <v>34</v>
      </c>
      <c r="T190">
        <v>12</v>
      </c>
      <c r="U190">
        <v>2026</v>
      </c>
      <c r="V190" t="s">
        <v>92</v>
      </c>
      <c r="W190" t="s">
        <v>1059</v>
      </c>
      <c r="X190" t="s">
        <v>1060</v>
      </c>
    </row>
    <row r="191" spans="1:24" x14ac:dyDescent="0.25">
      <c r="A191" t="s">
        <v>1061</v>
      </c>
      <c r="B191" t="s">
        <v>1062</v>
      </c>
      <c r="C191" t="s">
        <v>97</v>
      </c>
      <c r="D191" t="s">
        <v>27</v>
      </c>
      <c r="E191" t="s">
        <v>205</v>
      </c>
      <c r="F191" t="s">
        <v>1063</v>
      </c>
      <c r="G191" t="s">
        <v>30</v>
      </c>
      <c r="H191">
        <v>240.71</v>
      </c>
      <c r="I191">
        <v>406.66</v>
      </c>
      <c r="J191">
        <v>68.900000000000006</v>
      </c>
      <c r="K191">
        <v>1.29</v>
      </c>
      <c r="L191">
        <v>0.72299999999999998</v>
      </c>
      <c r="M191" t="s">
        <v>44</v>
      </c>
      <c r="N191" t="s">
        <v>74</v>
      </c>
      <c r="O191">
        <v>19</v>
      </c>
      <c r="P191">
        <v>323</v>
      </c>
      <c r="Q191">
        <v>76</v>
      </c>
      <c r="R191" t="s">
        <v>33</v>
      </c>
      <c r="S191" t="s">
        <v>34</v>
      </c>
      <c r="T191">
        <v>12</v>
      </c>
      <c r="U191">
        <v>2021</v>
      </c>
      <c r="V191" t="s">
        <v>149</v>
      </c>
      <c r="W191" t="s">
        <v>1064</v>
      </c>
      <c r="X191" t="s">
        <v>1065</v>
      </c>
    </row>
    <row r="192" spans="1:24" x14ac:dyDescent="0.25">
      <c r="A192" t="s">
        <v>1066</v>
      </c>
      <c r="B192" t="s">
        <v>1067</v>
      </c>
      <c r="C192" t="s">
        <v>26</v>
      </c>
      <c r="D192" t="s">
        <v>27</v>
      </c>
      <c r="E192" t="s">
        <v>28</v>
      </c>
      <c r="F192" t="s">
        <v>1068</v>
      </c>
      <c r="G192" t="s">
        <v>43</v>
      </c>
      <c r="H192">
        <v>201.33</v>
      </c>
      <c r="I192">
        <v>313.95999999999998</v>
      </c>
      <c r="J192">
        <v>55.9</v>
      </c>
      <c r="K192">
        <v>1.21</v>
      </c>
      <c r="L192">
        <v>0.54400000000000004</v>
      </c>
      <c r="M192" t="s">
        <v>44</v>
      </c>
      <c r="N192" t="s">
        <v>731</v>
      </c>
      <c r="O192">
        <v>25</v>
      </c>
      <c r="P192">
        <v>250</v>
      </c>
      <c r="Q192">
        <v>125</v>
      </c>
      <c r="R192" t="s">
        <v>58</v>
      </c>
      <c r="S192" t="s">
        <v>47</v>
      </c>
      <c r="T192">
        <v>12</v>
      </c>
      <c r="U192">
        <v>2025</v>
      </c>
      <c r="V192" t="s">
        <v>59</v>
      </c>
      <c r="W192" t="s">
        <v>1069</v>
      </c>
      <c r="X192" t="s">
        <v>1070</v>
      </c>
    </row>
    <row r="193" spans="1:24" x14ac:dyDescent="0.25">
      <c r="A193" t="s">
        <v>1071</v>
      </c>
      <c r="B193" t="s">
        <v>1072</v>
      </c>
      <c r="C193" t="s">
        <v>242</v>
      </c>
      <c r="D193" t="s">
        <v>27</v>
      </c>
      <c r="E193" t="s">
        <v>28</v>
      </c>
      <c r="F193" t="s">
        <v>1073</v>
      </c>
      <c r="G193" t="s">
        <v>80</v>
      </c>
      <c r="H193">
        <v>498.86</v>
      </c>
      <c r="I193">
        <v>766.87</v>
      </c>
      <c r="J193">
        <v>53.7</v>
      </c>
      <c r="K193">
        <v>1.52</v>
      </c>
      <c r="L193">
        <v>1.0760000000000001</v>
      </c>
      <c r="M193" t="s">
        <v>135</v>
      </c>
      <c r="N193" t="s">
        <v>303</v>
      </c>
      <c r="O193">
        <v>23</v>
      </c>
      <c r="P193">
        <v>299</v>
      </c>
      <c r="Q193">
        <v>115</v>
      </c>
      <c r="R193" t="s">
        <v>58</v>
      </c>
      <c r="S193" t="s">
        <v>83</v>
      </c>
      <c r="T193">
        <v>24</v>
      </c>
      <c r="U193">
        <v>2026</v>
      </c>
      <c r="V193" t="s">
        <v>122</v>
      </c>
      <c r="W193" t="s">
        <v>1074</v>
      </c>
      <c r="X193" t="s">
        <v>1075</v>
      </c>
    </row>
    <row r="194" spans="1:24" x14ac:dyDescent="0.25">
      <c r="A194" t="s">
        <v>1076</v>
      </c>
      <c r="B194" t="s">
        <v>1077</v>
      </c>
      <c r="C194" t="s">
        <v>97</v>
      </c>
      <c r="D194" t="s">
        <v>27</v>
      </c>
      <c r="E194" t="s">
        <v>133</v>
      </c>
      <c r="F194" t="s">
        <v>1078</v>
      </c>
      <c r="G194" t="s">
        <v>99</v>
      </c>
      <c r="H194">
        <v>182.2</v>
      </c>
      <c r="I194">
        <v>330.15</v>
      </c>
      <c r="J194">
        <v>81.2</v>
      </c>
      <c r="K194">
        <v>2.62</v>
      </c>
      <c r="L194">
        <v>1.2509999999999999</v>
      </c>
      <c r="M194" t="s">
        <v>143</v>
      </c>
      <c r="N194" t="s">
        <v>245</v>
      </c>
      <c r="O194">
        <v>25</v>
      </c>
      <c r="P194">
        <v>475</v>
      </c>
      <c r="Q194">
        <v>100</v>
      </c>
      <c r="R194" t="s">
        <v>33</v>
      </c>
      <c r="S194" t="s">
        <v>47</v>
      </c>
      <c r="T194">
        <v>36</v>
      </c>
      <c r="U194">
        <v>2023</v>
      </c>
      <c r="V194" t="s">
        <v>48</v>
      </c>
      <c r="W194" t="s">
        <v>1079</v>
      </c>
      <c r="X194" t="s">
        <v>1080</v>
      </c>
    </row>
    <row r="195" spans="1:24" x14ac:dyDescent="0.25">
      <c r="A195" t="s">
        <v>1081</v>
      </c>
      <c r="B195" t="s">
        <v>1082</v>
      </c>
      <c r="C195" t="s">
        <v>26</v>
      </c>
      <c r="D195" t="s">
        <v>27</v>
      </c>
      <c r="E195" t="s">
        <v>41</v>
      </c>
      <c r="F195" t="s">
        <v>1083</v>
      </c>
      <c r="G195" t="s">
        <v>43</v>
      </c>
      <c r="H195">
        <v>439.88</v>
      </c>
      <c r="I195">
        <v>861.57</v>
      </c>
      <c r="J195">
        <v>95.9</v>
      </c>
      <c r="K195">
        <v>3.31</v>
      </c>
      <c r="L195">
        <v>1.1910000000000001</v>
      </c>
      <c r="M195" t="s">
        <v>31</v>
      </c>
      <c r="N195" t="s">
        <v>121</v>
      </c>
      <c r="O195">
        <v>33</v>
      </c>
      <c r="P195">
        <v>594</v>
      </c>
      <c r="Q195">
        <v>132</v>
      </c>
      <c r="R195" t="s">
        <v>33</v>
      </c>
      <c r="S195" t="s">
        <v>34</v>
      </c>
      <c r="T195">
        <v>36</v>
      </c>
      <c r="U195">
        <v>2024</v>
      </c>
      <c r="V195" t="s">
        <v>92</v>
      </c>
      <c r="W195" t="s">
        <v>1084</v>
      </c>
      <c r="X195" t="s">
        <v>1085</v>
      </c>
    </row>
    <row r="196" spans="1:24" x14ac:dyDescent="0.25">
      <c r="A196" t="s">
        <v>1086</v>
      </c>
      <c r="B196" t="s">
        <v>1087</v>
      </c>
      <c r="C196" t="s">
        <v>64</v>
      </c>
      <c r="D196" t="s">
        <v>27</v>
      </c>
      <c r="E196" t="s">
        <v>205</v>
      </c>
      <c r="F196" t="s">
        <v>1088</v>
      </c>
      <c r="G196" t="s">
        <v>80</v>
      </c>
      <c r="H196">
        <v>114.45</v>
      </c>
      <c r="I196">
        <v>265.64999999999998</v>
      </c>
      <c r="J196">
        <v>132.1</v>
      </c>
      <c r="K196">
        <v>0.71</v>
      </c>
      <c r="L196">
        <v>0.32400000000000001</v>
      </c>
      <c r="M196" t="s">
        <v>31</v>
      </c>
      <c r="N196" t="s">
        <v>212</v>
      </c>
      <c r="O196">
        <v>15</v>
      </c>
      <c r="P196">
        <v>120</v>
      </c>
      <c r="Q196">
        <v>45</v>
      </c>
      <c r="R196" t="s">
        <v>58</v>
      </c>
      <c r="S196" t="s">
        <v>47</v>
      </c>
      <c r="T196">
        <v>36</v>
      </c>
      <c r="U196">
        <v>2022</v>
      </c>
      <c r="V196" t="s">
        <v>171</v>
      </c>
      <c r="W196" t="s">
        <v>1089</v>
      </c>
      <c r="X196" t="s">
        <v>1090</v>
      </c>
    </row>
    <row r="197" spans="1:24" x14ac:dyDescent="0.25">
      <c r="A197" t="s">
        <v>1091</v>
      </c>
      <c r="B197" t="s">
        <v>1092</v>
      </c>
      <c r="C197" t="s">
        <v>26</v>
      </c>
      <c r="D197" t="s">
        <v>27</v>
      </c>
      <c r="E197" t="s">
        <v>223</v>
      </c>
      <c r="F197" t="s">
        <v>1093</v>
      </c>
      <c r="G197" t="s">
        <v>80</v>
      </c>
      <c r="H197">
        <v>335.07</v>
      </c>
      <c r="I197">
        <v>577.79999999999995</v>
      </c>
      <c r="J197">
        <v>72.400000000000006</v>
      </c>
      <c r="K197">
        <v>3.38</v>
      </c>
      <c r="L197">
        <v>2.2490000000000001</v>
      </c>
      <c r="M197" t="s">
        <v>135</v>
      </c>
      <c r="N197" t="s">
        <v>195</v>
      </c>
      <c r="O197">
        <v>6</v>
      </c>
      <c r="P197">
        <v>48</v>
      </c>
      <c r="Q197">
        <v>24</v>
      </c>
      <c r="R197" t="s">
        <v>33</v>
      </c>
      <c r="S197" t="s">
        <v>34</v>
      </c>
      <c r="T197">
        <v>24</v>
      </c>
      <c r="U197">
        <v>2021</v>
      </c>
      <c r="V197" t="s">
        <v>92</v>
      </c>
      <c r="W197" t="s">
        <v>1094</v>
      </c>
      <c r="X197" t="s">
        <v>1095</v>
      </c>
    </row>
    <row r="198" spans="1:24" x14ac:dyDescent="0.25">
      <c r="A198" t="s">
        <v>1096</v>
      </c>
      <c r="B198" t="s">
        <v>1097</v>
      </c>
      <c r="C198" t="s">
        <v>64</v>
      </c>
      <c r="D198" t="s">
        <v>27</v>
      </c>
      <c r="E198" t="s">
        <v>54</v>
      </c>
      <c r="F198" t="s">
        <v>1098</v>
      </c>
      <c r="G198" t="s">
        <v>99</v>
      </c>
      <c r="H198">
        <v>96.22</v>
      </c>
      <c r="I198">
        <v>178.42</v>
      </c>
      <c r="J198">
        <v>85.4</v>
      </c>
      <c r="K198">
        <v>1.1399999999999999</v>
      </c>
      <c r="L198">
        <v>0.75700000000000001</v>
      </c>
      <c r="M198" t="s">
        <v>31</v>
      </c>
      <c r="N198" t="s">
        <v>303</v>
      </c>
      <c r="O198">
        <v>14</v>
      </c>
      <c r="P198">
        <v>238</v>
      </c>
      <c r="Q198">
        <v>70</v>
      </c>
      <c r="R198" t="s">
        <v>33</v>
      </c>
      <c r="S198" t="s">
        <v>47</v>
      </c>
      <c r="T198">
        <v>48</v>
      </c>
      <c r="U198">
        <v>2026</v>
      </c>
      <c r="V198" t="s">
        <v>171</v>
      </c>
      <c r="W198" t="s">
        <v>1099</v>
      </c>
      <c r="X198" t="s">
        <v>1100</v>
      </c>
    </row>
    <row r="199" spans="1:24" x14ac:dyDescent="0.25">
      <c r="A199" t="s">
        <v>1101</v>
      </c>
      <c r="B199" t="s">
        <v>1102</v>
      </c>
      <c r="C199" t="s">
        <v>141</v>
      </c>
      <c r="D199" t="s">
        <v>27</v>
      </c>
      <c r="E199" t="s">
        <v>260</v>
      </c>
      <c r="F199" t="s">
        <v>1103</v>
      </c>
      <c r="G199" t="s">
        <v>80</v>
      </c>
      <c r="H199">
        <v>58.61</v>
      </c>
      <c r="I199">
        <v>87.42</v>
      </c>
      <c r="J199">
        <v>49.2</v>
      </c>
      <c r="K199">
        <v>3.45</v>
      </c>
      <c r="L199">
        <v>1.2470000000000001</v>
      </c>
      <c r="M199" t="s">
        <v>114</v>
      </c>
      <c r="N199" t="s">
        <v>189</v>
      </c>
      <c r="O199">
        <v>23</v>
      </c>
      <c r="P199">
        <v>437</v>
      </c>
      <c r="Q199">
        <v>115</v>
      </c>
      <c r="R199" t="s">
        <v>33</v>
      </c>
      <c r="S199" t="s">
        <v>47</v>
      </c>
      <c r="T199">
        <v>48</v>
      </c>
      <c r="U199">
        <v>2026</v>
      </c>
      <c r="V199" t="s">
        <v>48</v>
      </c>
      <c r="W199" t="s">
        <v>1104</v>
      </c>
      <c r="X199" t="s">
        <v>1105</v>
      </c>
    </row>
    <row r="200" spans="1:24" x14ac:dyDescent="0.25">
      <c r="A200" t="s">
        <v>1106</v>
      </c>
      <c r="B200" t="s">
        <v>1107</v>
      </c>
      <c r="C200" t="s">
        <v>71</v>
      </c>
      <c r="D200" t="s">
        <v>27</v>
      </c>
      <c r="E200" t="s">
        <v>89</v>
      </c>
      <c r="F200" t="s">
        <v>1108</v>
      </c>
      <c r="G200" t="s">
        <v>43</v>
      </c>
      <c r="H200">
        <v>71.709999999999994</v>
      </c>
      <c r="I200">
        <v>96.85</v>
      </c>
      <c r="J200">
        <v>35.1</v>
      </c>
      <c r="K200">
        <v>1.61</v>
      </c>
      <c r="L200">
        <v>0.60599999999999998</v>
      </c>
      <c r="M200" t="s">
        <v>31</v>
      </c>
      <c r="N200" t="s">
        <v>287</v>
      </c>
      <c r="O200">
        <v>13</v>
      </c>
      <c r="P200">
        <v>247</v>
      </c>
      <c r="Q200">
        <v>65</v>
      </c>
      <c r="R200" t="s">
        <v>33</v>
      </c>
      <c r="S200" t="s">
        <v>83</v>
      </c>
      <c r="T200">
        <v>12</v>
      </c>
      <c r="U200">
        <v>2023</v>
      </c>
      <c r="V200" t="s">
        <v>59</v>
      </c>
      <c r="W200" t="s">
        <v>1109</v>
      </c>
      <c r="X200" t="s">
        <v>1110</v>
      </c>
    </row>
    <row r="201" spans="1:24" x14ac:dyDescent="0.25">
      <c r="A201" t="s">
        <v>1111</v>
      </c>
      <c r="B201" t="s">
        <v>1112</v>
      </c>
      <c r="C201" t="s">
        <v>111</v>
      </c>
      <c r="D201" t="s">
        <v>27</v>
      </c>
      <c r="E201" t="s">
        <v>28</v>
      </c>
      <c r="F201" t="s">
        <v>1113</v>
      </c>
      <c r="G201" t="s">
        <v>99</v>
      </c>
      <c r="H201">
        <v>238.47</v>
      </c>
      <c r="I201">
        <v>564.75</v>
      </c>
      <c r="J201">
        <v>136.80000000000001</v>
      </c>
      <c r="K201">
        <v>1.84</v>
      </c>
      <c r="L201">
        <v>1.01</v>
      </c>
      <c r="M201" t="s">
        <v>31</v>
      </c>
      <c r="N201" t="s">
        <v>162</v>
      </c>
      <c r="O201">
        <v>8</v>
      </c>
      <c r="P201">
        <v>136</v>
      </c>
      <c r="Q201">
        <v>24</v>
      </c>
      <c r="R201" t="s">
        <v>46</v>
      </c>
      <c r="S201" t="s">
        <v>47</v>
      </c>
      <c r="T201">
        <v>60</v>
      </c>
      <c r="U201">
        <v>2022</v>
      </c>
      <c r="V201" t="s">
        <v>149</v>
      </c>
      <c r="W201" t="s">
        <v>1114</v>
      </c>
      <c r="X201" t="s">
        <v>1115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1"/>
  <sheetViews>
    <sheetView workbookViewId="0">
      <selection activeCell="L8" sqref="L8"/>
    </sheetView>
  </sheetViews>
  <sheetFormatPr baseColWidth="10" defaultColWidth="9.140625" defaultRowHeight="15" x14ac:dyDescent="0.25"/>
  <sheetData>
    <row r="1" spans="1:18" x14ac:dyDescent="0.25">
      <c r="A1" s="1" t="s">
        <v>1116</v>
      </c>
      <c r="B1" s="1" t="s">
        <v>1</v>
      </c>
      <c r="C1" s="1" t="s">
        <v>1117</v>
      </c>
      <c r="D1" s="1" t="s">
        <v>1118</v>
      </c>
      <c r="E1" s="1" t="s">
        <v>1119</v>
      </c>
      <c r="F1" s="1" t="s">
        <v>1120</v>
      </c>
      <c r="G1" s="1" t="s">
        <v>1121</v>
      </c>
      <c r="H1" s="1" t="s">
        <v>1122</v>
      </c>
      <c r="I1" s="1" t="s">
        <v>1123</v>
      </c>
      <c r="J1" s="1" t="s">
        <v>1124</v>
      </c>
      <c r="K1" s="1" t="s">
        <v>1125</v>
      </c>
      <c r="L1" s="1" t="s">
        <v>1126</v>
      </c>
      <c r="M1" s="1" t="s">
        <v>1127</v>
      </c>
      <c r="N1" s="1" t="s">
        <v>1128</v>
      </c>
      <c r="O1" s="1" t="s">
        <v>1129</v>
      </c>
      <c r="P1" s="1" t="s">
        <v>1130</v>
      </c>
      <c r="Q1" s="1" t="s">
        <v>17</v>
      </c>
      <c r="R1" s="1" t="s">
        <v>1131</v>
      </c>
    </row>
    <row r="2" spans="1:18" x14ac:dyDescent="0.25">
      <c r="A2" t="s">
        <v>195</v>
      </c>
      <c r="B2" t="s">
        <v>1132</v>
      </c>
      <c r="C2" t="s">
        <v>81</v>
      </c>
      <c r="D2" t="s">
        <v>1133</v>
      </c>
      <c r="E2" t="s">
        <v>1134</v>
      </c>
      <c r="F2" t="s">
        <v>1135</v>
      </c>
      <c r="G2" t="s">
        <v>1136</v>
      </c>
      <c r="H2" t="s">
        <v>1137</v>
      </c>
      <c r="I2" t="s">
        <v>1138</v>
      </c>
      <c r="J2">
        <v>29</v>
      </c>
      <c r="K2">
        <v>200</v>
      </c>
      <c r="L2" t="s">
        <v>1139</v>
      </c>
      <c r="M2" t="s">
        <v>1140</v>
      </c>
      <c r="N2" t="s">
        <v>1141</v>
      </c>
      <c r="O2">
        <v>4.4000000000000004</v>
      </c>
      <c r="P2">
        <v>2</v>
      </c>
      <c r="Q2" t="s">
        <v>1142</v>
      </c>
      <c r="R2" t="s">
        <v>1143</v>
      </c>
    </row>
    <row r="3" spans="1:18" x14ac:dyDescent="0.25">
      <c r="A3" t="s">
        <v>189</v>
      </c>
      <c r="B3" t="s">
        <v>1144</v>
      </c>
      <c r="C3" t="s">
        <v>44</v>
      </c>
      <c r="D3" t="s">
        <v>1145</v>
      </c>
      <c r="E3" t="s">
        <v>1146</v>
      </c>
      <c r="F3" t="s">
        <v>1147</v>
      </c>
      <c r="G3" t="s">
        <v>1148</v>
      </c>
      <c r="H3" t="s">
        <v>1149</v>
      </c>
      <c r="I3" t="s">
        <v>1150</v>
      </c>
      <c r="J3">
        <v>30</v>
      </c>
      <c r="K3">
        <v>10</v>
      </c>
      <c r="L3" t="s">
        <v>1151</v>
      </c>
      <c r="M3" t="s">
        <v>1152</v>
      </c>
      <c r="N3" t="s">
        <v>1153</v>
      </c>
      <c r="O3">
        <v>3.6</v>
      </c>
      <c r="P3">
        <v>2</v>
      </c>
      <c r="Q3" t="s">
        <v>33</v>
      </c>
      <c r="R3" t="s">
        <v>1143</v>
      </c>
    </row>
    <row r="4" spans="1:18" x14ac:dyDescent="0.25">
      <c r="A4" t="s">
        <v>303</v>
      </c>
      <c r="B4" t="s">
        <v>1154</v>
      </c>
      <c r="C4" t="s">
        <v>31</v>
      </c>
      <c r="D4" t="s">
        <v>1155</v>
      </c>
      <c r="E4" t="s">
        <v>1156</v>
      </c>
      <c r="F4" t="s">
        <v>1157</v>
      </c>
      <c r="G4" t="s">
        <v>1158</v>
      </c>
      <c r="H4" t="s">
        <v>1159</v>
      </c>
      <c r="I4" t="s">
        <v>1160</v>
      </c>
      <c r="J4">
        <v>11</v>
      </c>
      <c r="K4">
        <v>500</v>
      </c>
      <c r="L4" t="s">
        <v>1161</v>
      </c>
      <c r="M4" t="s">
        <v>1152</v>
      </c>
      <c r="N4" t="s">
        <v>1153</v>
      </c>
      <c r="O4">
        <v>3</v>
      </c>
      <c r="P4">
        <v>7</v>
      </c>
      <c r="Q4" t="s">
        <v>33</v>
      </c>
      <c r="R4" t="s">
        <v>1162</v>
      </c>
    </row>
    <row r="5" spans="1:18" x14ac:dyDescent="0.25">
      <c r="A5" t="s">
        <v>136</v>
      </c>
      <c r="B5" t="s">
        <v>1163</v>
      </c>
      <c r="C5" t="s">
        <v>44</v>
      </c>
      <c r="D5" t="s">
        <v>1145</v>
      </c>
      <c r="E5" t="s">
        <v>1164</v>
      </c>
      <c r="F5" t="s">
        <v>1165</v>
      </c>
      <c r="G5" t="s">
        <v>1166</v>
      </c>
      <c r="H5" t="s">
        <v>1167</v>
      </c>
      <c r="I5" t="s">
        <v>1168</v>
      </c>
      <c r="J5">
        <v>30</v>
      </c>
      <c r="K5">
        <v>25</v>
      </c>
      <c r="L5" t="s">
        <v>1161</v>
      </c>
      <c r="M5" t="s">
        <v>1169</v>
      </c>
      <c r="N5" t="s">
        <v>1170</v>
      </c>
      <c r="O5">
        <v>3.7</v>
      </c>
      <c r="P5">
        <v>10</v>
      </c>
      <c r="Q5" t="s">
        <v>1142</v>
      </c>
      <c r="R5" t="s">
        <v>1162</v>
      </c>
    </row>
    <row r="6" spans="1:18" x14ac:dyDescent="0.25">
      <c r="A6" t="s">
        <v>156</v>
      </c>
      <c r="B6" t="s">
        <v>1171</v>
      </c>
      <c r="C6" t="s">
        <v>100</v>
      </c>
      <c r="D6" t="s">
        <v>1172</v>
      </c>
      <c r="E6" t="s">
        <v>1173</v>
      </c>
      <c r="F6" t="s">
        <v>1174</v>
      </c>
      <c r="G6" t="s">
        <v>1175</v>
      </c>
      <c r="H6" t="s">
        <v>1176</v>
      </c>
      <c r="I6" t="s">
        <v>1177</v>
      </c>
      <c r="J6">
        <v>16</v>
      </c>
      <c r="K6">
        <v>100</v>
      </c>
      <c r="L6" t="s">
        <v>1178</v>
      </c>
      <c r="M6" t="s">
        <v>1179</v>
      </c>
      <c r="N6" t="s">
        <v>1153</v>
      </c>
      <c r="O6">
        <v>4.0999999999999996</v>
      </c>
      <c r="P6">
        <v>1</v>
      </c>
      <c r="Q6" t="s">
        <v>1142</v>
      </c>
      <c r="R6" t="s">
        <v>1180</v>
      </c>
    </row>
    <row r="7" spans="1:18" x14ac:dyDescent="0.25">
      <c r="A7" t="s">
        <v>82</v>
      </c>
      <c r="B7" t="s">
        <v>1181</v>
      </c>
      <c r="C7" t="s">
        <v>1182</v>
      </c>
      <c r="D7" t="s">
        <v>1183</v>
      </c>
      <c r="E7" t="s">
        <v>1184</v>
      </c>
      <c r="F7" t="s">
        <v>1185</v>
      </c>
      <c r="G7" t="s">
        <v>1186</v>
      </c>
      <c r="H7" t="s">
        <v>1187</v>
      </c>
      <c r="I7" t="s">
        <v>1188</v>
      </c>
      <c r="J7">
        <v>6</v>
      </c>
      <c r="K7">
        <v>100</v>
      </c>
      <c r="L7" t="s">
        <v>1189</v>
      </c>
      <c r="M7" t="s">
        <v>1169</v>
      </c>
      <c r="N7" t="s">
        <v>1153</v>
      </c>
      <c r="O7">
        <v>4.2</v>
      </c>
      <c r="P7">
        <v>11</v>
      </c>
      <c r="Q7" t="s">
        <v>33</v>
      </c>
      <c r="R7" t="s">
        <v>1190</v>
      </c>
    </row>
    <row r="8" spans="1:18" x14ac:dyDescent="0.25">
      <c r="A8" t="s">
        <v>482</v>
      </c>
      <c r="B8" t="s">
        <v>1191</v>
      </c>
      <c r="C8" t="s">
        <v>1192</v>
      </c>
      <c r="D8" t="s">
        <v>1193</v>
      </c>
      <c r="E8" t="s">
        <v>1194</v>
      </c>
      <c r="F8" t="s">
        <v>1195</v>
      </c>
      <c r="G8" t="s">
        <v>1196</v>
      </c>
      <c r="H8" t="s">
        <v>1197</v>
      </c>
      <c r="I8" t="s">
        <v>1198</v>
      </c>
      <c r="J8">
        <v>30</v>
      </c>
      <c r="K8">
        <v>25</v>
      </c>
      <c r="L8" t="s">
        <v>1161</v>
      </c>
      <c r="M8" t="s">
        <v>1169</v>
      </c>
      <c r="N8" t="s">
        <v>1153</v>
      </c>
      <c r="O8">
        <v>3.1</v>
      </c>
      <c r="P8">
        <v>5</v>
      </c>
      <c r="Q8" t="s">
        <v>33</v>
      </c>
      <c r="R8" t="s">
        <v>1180</v>
      </c>
    </row>
    <row r="9" spans="1:18" x14ac:dyDescent="0.25">
      <c r="A9" t="s">
        <v>435</v>
      </c>
      <c r="B9" t="s">
        <v>1199</v>
      </c>
      <c r="C9" t="s">
        <v>114</v>
      </c>
      <c r="D9" t="s">
        <v>1200</v>
      </c>
      <c r="E9" t="s">
        <v>1201</v>
      </c>
      <c r="F9" t="s">
        <v>1202</v>
      </c>
      <c r="G9" t="s">
        <v>1203</v>
      </c>
      <c r="H9" t="s">
        <v>1204</v>
      </c>
      <c r="I9" t="s">
        <v>1205</v>
      </c>
      <c r="J9">
        <v>5</v>
      </c>
      <c r="K9">
        <v>100</v>
      </c>
      <c r="L9" t="s">
        <v>1139</v>
      </c>
      <c r="M9" t="s">
        <v>1152</v>
      </c>
      <c r="N9" t="s">
        <v>1141</v>
      </c>
      <c r="O9">
        <v>5</v>
      </c>
      <c r="P9">
        <v>12</v>
      </c>
      <c r="Q9" t="s">
        <v>1142</v>
      </c>
      <c r="R9" t="s">
        <v>1143</v>
      </c>
    </row>
    <row r="10" spans="1:18" x14ac:dyDescent="0.25">
      <c r="A10" t="s">
        <v>654</v>
      </c>
      <c r="B10" t="s">
        <v>1206</v>
      </c>
      <c r="C10" t="s">
        <v>143</v>
      </c>
      <c r="D10" t="s">
        <v>1207</v>
      </c>
      <c r="E10" t="s">
        <v>1208</v>
      </c>
      <c r="F10" t="s">
        <v>1209</v>
      </c>
      <c r="G10" t="s">
        <v>1210</v>
      </c>
      <c r="H10" t="s">
        <v>1211</v>
      </c>
      <c r="I10" t="s">
        <v>1212</v>
      </c>
      <c r="J10">
        <v>22</v>
      </c>
      <c r="K10">
        <v>500</v>
      </c>
      <c r="L10" t="s">
        <v>1151</v>
      </c>
      <c r="M10" t="s">
        <v>1213</v>
      </c>
      <c r="N10" t="s">
        <v>1170</v>
      </c>
      <c r="O10">
        <v>3</v>
      </c>
      <c r="P10">
        <v>11</v>
      </c>
      <c r="Q10" t="s">
        <v>33</v>
      </c>
      <c r="R10" t="s">
        <v>1214</v>
      </c>
    </row>
    <row r="11" spans="1:18" x14ac:dyDescent="0.25">
      <c r="A11" t="s">
        <v>45</v>
      </c>
      <c r="B11" t="s">
        <v>1215</v>
      </c>
      <c r="C11" t="s">
        <v>56</v>
      </c>
      <c r="D11" t="s">
        <v>1216</v>
      </c>
      <c r="E11" t="s">
        <v>1217</v>
      </c>
      <c r="F11" t="s">
        <v>1218</v>
      </c>
      <c r="G11" t="s">
        <v>1219</v>
      </c>
      <c r="H11" t="s">
        <v>1220</v>
      </c>
      <c r="I11" t="s">
        <v>1221</v>
      </c>
      <c r="J11">
        <v>6</v>
      </c>
      <c r="K11">
        <v>10</v>
      </c>
      <c r="L11" t="s">
        <v>1189</v>
      </c>
      <c r="M11" t="s">
        <v>1179</v>
      </c>
      <c r="N11" t="s">
        <v>1153</v>
      </c>
      <c r="O11">
        <v>3.4</v>
      </c>
      <c r="P11">
        <v>11</v>
      </c>
      <c r="Q11" t="s">
        <v>1222</v>
      </c>
      <c r="R11" t="s">
        <v>1214</v>
      </c>
    </row>
    <row r="12" spans="1:18" x14ac:dyDescent="0.25">
      <c r="A12" t="s">
        <v>170</v>
      </c>
      <c r="B12" t="s">
        <v>1223</v>
      </c>
      <c r="C12" t="s">
        <v>1192</v>
      </c>
      <c r="D12" t="s">
        <v>1193</v>
      </c>
      <c r="E12" t="s">
        <v>1224</v>
      </c>
      <c r="F12" t="s">
        <v>1225</v>
      </c>
      <c r="G12" t="s">
        <v>1226</v>
      </c>
      <c r="H12" t="s">
        <v>1227</v>
      </c>
      <c r="I12" t="s">
        <v>1228</v>
      </c>
      <c r="J12">
        <v>11</v>
      </c>
      <c r="K12">
        <v>200</v>
      </c>
      <c r="L12" t="s">
        <v>1189</v>
      </c>
      <c r="M12" t="s">
        <v>1140</v>
      </c>
      <c r="N12" t="s">
        <v>1141</v>
      </c>
      <c r="O12">
        <v>4.8</v>
      </c>
      <c r="P12">
        <v>7</v>
      </c>
      <c r="Q12" t="s">
        <v>33</v>
      </c>
      <c r="R12" t="s">
        <v>1162</v>
      </c>
    </row>
    <row r="13" spans="1:18" x14ac:dyDescent="0.25">
      <c r="A13" t="s">
        <v>376</v>
      </c>
      <c r="B13" t="s">
        <v>1229</v>
      </c>
      <c r="C13" t="s">
        <v>114</v>
      </c>
      <c r="D13" t="s">
        <v>1200</v>
      </c>
      <c r="E13" t="s">
        <v>1230</v>
      </c>
      <c r="F13" t="s">
        <v>1231</v>
      </c>
      <c r="G13" t="s">
        <v>1232</v>
      </c>
      <c r="H13" t="s">
        <v>1233</v>
      </c>
      <c r="I13" t="s">
        <v>1234</v>
      </c>
      <c r="J13">
        <v>27</v>
      </c>
      <c r="K13">
        <v>100</v>
      </c>
      <c r="L13" t="s">
        <v>1139</v>
      </c>
      <c r="M13" t="s">
        <v>1213</v>
      </c>
      <c r="N13" t="s">
        <v>1170</v>
      </c>
      <c r="O13">
        <v>2.8</v>
      </c>
      <c r="P13">
        <v>8</v>
      </c>
      <c r="Q13" t="s">
        <v>33</v>
      </c>
      <c r="R13" t="s">
        <v>1180</v>
      </c>
    </row>
    <row r="14" spans="1:18" x14ac:dyDescent="0.25">
      <c r="A14" t="s">
        <v>128</v>
      </c>
      <c r="B14" t="s">
        <v>1235</v>
      </c>
      <c r="C14" t="s">
        <v>31</v>
      </c>
      <c r="D14" t="s">
        <v>1155</v>
      </c>
      <c r="E14" t="s">
        <v>1236</v>
      </c>
      <c r="F14" t="s">
        <v>1237</v>
      </c>
      <c r="G14" t="s">
        <v>1238</v>
      </c>
      <c r="H14" t="s">
        <v>1239</v>
      </c>
      <c r="I14" t="s">
        <v>1240</v>
      </c>
      <c r="J14">
        <v>26</v>
      </c>
      <c r="K14">
        <v>25</v>
      </c>
      <c r="L14" t="s">
        <v>1161</v>
      </c>
      <c r="M14" t="s">
        <v>1169</v>
      </c>
      <c r="N14" t="s">
        <v>1170</v>
      </c>
      <c r="O14">
        <v>4</v>
      </c>
      <c r="P14">
        <v>6</v>
      </c>
      <c r="Q14" t="s">
        <v>1241</v>
      </c>
      <c r="R14" t="s">
        <v>1162</v>
      </c>
    </row>
    <row r="15" spans="1:18" x14ac:dyDescent="0.25">
      <c r="A15" t="s">
        <v>74</v>
      </c>
      <c r="B15" t="s">
        <v>1242</v>
      </c>
      <c r="C15" t="s">
        <v>135</v>
      </c>
      <c r="D15" t="s">
        <v>1243</v>
      </c>
      <c r="E15" t="s">
        <v>1244</v>
      </c>
      <c r="F15" t="s">
        <v>1245</v>
      </c>
      <c r="G15" t="s">
        <v>1246</v>
      </c>
      <c r="H15" t="s">
        <v>1247</v>
      </c>
      <c r="I15" t="s">
        <v>1248</v>
      </c>
      <c r="J15">
        <v>16</v>
      </c>
      <c r="K15">
        <v>200</v>
      </c>
      <c r="L15" t="s">
        <v>1249</v>
      </c>
      <c r="M15" t="s">
        <v>1152</v>
      </c>
      <c r="N15" t="s">
        <v>1170</v>
      </c>
      <c r="O15">
        <v>4.7</v>
      </c>
      <c r="P15">
        <v>12</v>
      </c>
      <c r="Q15" t="s">
        <v>1142</v>
      </c>
      <c r="R15" t="s">
        <v>1180</v>
      </c>
    </row>
    <row r="16" spans="1:18" x14ac:dyDescent="0.25">
      <c r="A16" t="s">
        <v>690</v>
      </c>
      <c r="B16" t="s">
        <v>1250</v>
      </c>
      <c r="C16" t="s">
        <v>114</v>
      </c>
      <c r="D16" t="s">
        <v>1200</v>
      </c>
      <c r="E16" t="s">
        <v>1251</v>
      </c>
      <c r="F16" t="s">
        <v>1252</v>
      </c>
      <c r="G16" t="s">
        <v>1253</v>
      </c>
      <c r="H16" t="s">
        <v>1254</v>
      </c>
      <c r="I16" t="s">
        <v>1248</v>
      </c>
      <c r="J16">
        <v>19</v>
      </c>
      <c r="K16">
        <v>200</v>
      </c>
      <c r="L16" t="s">
        <v>1255</v>
      </c>
      <c r="M16" t="s">
        <v>1179</v>
      </c>
      <c r="N16" t="s">
        <v>1153</v>
      </c>
      <c r="O16">
        <v>3.9</v>
      </c>
      <c r="P16">
        <v>10</v>
      </c>
      <c r="Q16" t="s">
        <v>1241</v>
      </c>
      <c r="R16" t="s">
        <v>1162</v>
      </c>
    </row>
    <row r="17" spans="1:18" x14ac:dyDescent="0.25">
      <c r="A17" t="s">
        <v>225</v>
      </c>
      <c r="B17" t="s">
        <v>1256</v>
      </c>
      <c r="C17" t="s">
        <v>1192</v>
      </c>
      <c r="D17" t="s">
        <v>1193</v>
      </c>
      <c r="E17" t="s">
        <v>1257</v>
      </c>
      <c r="F17" t="s">
        <v>1258</v>
      </c>
      <c r="G17" t="s">
        <v>1259</v>
      </c>
      <c r="H17" t="s">
        <v>1260</v>
      </c>
      <c r="I17" t="s">
        <v>1168</v>
      </c>
      <c r="J17">
        <v>24</v>
      </c>
      <c r="K17">
        <v>10</v>
      </c>
      <c r="L17" t="s">
        <v>1189</v>
      </c>
      <c r="M17" t="s">
        <v>1152</v>
      </c>
      <c r="N17" t="s">
        <v>1261</v>
      </c>
      <c r="O17">
        <v>5</v>
      </c>
      <c r="P17">
        <v>11</v>
      </c>
      <c r="Q17" t="s">
        <v>33</v>
      </c>
      <c r="R17" t="s">
        <v>1190</v>
      </c>
    </row>
    <row r="18" spans="1:18" x14ac:dyDescent="0.25">
      <c r="A18" t="s">
        <v>731</v>
      </c>
      <c r="B18" t="s">
        <v>1262</v>
      </c>
      <c r="C18" t="s">
        <v>31</v>
      </c>
      <c r="D18" t="s">
        <v>1155</v>
      </c>
      <c r="E18" t="s">
        <v>1263</v>
      </c>
      <c r="F18" t="s">
        <v>1264</v>
      </c>
      <c r="G18" t="s">
        <v>1265</v>
      </c>
      <c r="H18" t="s">
        <v>1266</v>
      </c>
      <c r="I18" t="s">
        <v>1177</v>
      </c>
      <c r="J18">
        <v>22</v>
      </c>
      <c r="K18">
        <v>500</v>
      </c>
      <c r="L18" t="s">
        <v>1249</v>
      </c>
      <c r="M18" t="s">
        <v>1140</v>
      </c>
      <c r="N18" t="s">
        <v>1170</v>
      </c>
      <c r="O18">
        <v>3.5</v>
      </c>
      <c r="P18">
        <v>9</v>
      </c>
      <c r="Q18" t="s">
        <v>1222</v>
      </c>
      <c r="R18" t="s">
        <v>1214</v>
      </c>
    </row>
    <row r="19" spans="1:18" x14ac:dyDescent="0.25">
      <c r="A19" t="s">
        <v>1018</v>
      </c>
      <c r="B19" t="s">
        <v>1267</v>
      </c>
      <c r="C19" t="s">
        <v>31</v>
      </c>
      <c r="D19" t="s">
        <v>1155</v>
      </c>
      <c r="E19" t="s">
        <v>1268</v>
      </c>
      <c r="F19" t="s">
        <v>1269</v>
      </c>
      <c r="G19" t="s">
        <v>1270</v>
      </c>
      <c r="H19" t="s">
        <v>1271</v>
      </c>
      <c r="I19" t="s">
        <v>1272</v>
      </c>
      <c r="J19">
        <v>3</v>
      </c>
      <c r="K19">
        <v>500</v>
      </c>
      <c r="L19" t="s">
        <v>1151</v>
      </c>
      <c r="M19" t="s">
        <v>1140</v>
      </c>
      <c r="N19" t="s">
        <v>1170</v>
      </c>
      <c r="O19">
        <v>4.7</v>
      </c>
      <c r="P19">
        <v>14</v>
      </c>
      <c r="Q19" t="s">
        <v>1222</v>
      </c>
      <c r="R19" t="s">
        <v>1162</v>
      </c>
    </row>
    <row r="20" spans="1:18" x14ac:dyDescent="0.25">
      <c r="A20" t="s">
        <v>162</v>
      </c>
      <c r="B20" t="s">
        <v>1273</v>
      </c>
      <c r="C20" t="s">
        <v>114</v>
      </c>
      <c r="D20" t="s">
        <v>1200</v>
      </c>
      <c r="E20" t="s">
        <v>1274</v>
      </c>
      <c r="F20" t="s">
        <v>1275</v>
      </c>
      <c r="G20" t="s">
        <v>1276</v>
      </c>
      <c r="H20" t="s">
        <v>1277</v>
      </c>
      <c r="I20" t="s">
        <v>1278</v>
      </c>
      <c r="J20">
        <v>17</v>
      </c>
      <c r="K20">
        <v>25</v>
      </c>
      <c r="L20" t="s">
        <v>1161</v>
      </c>
      <c r="M20" t="s">
        <v>1140</v>
      </c>
      <c r="N20" t="s">
        <v>1261</v>
      </c>
      <c r="O20">
        <v>4.3</v>
      </c>
      <c r="P20">
        <v>2</v>
      </c>
      <c r="Q20" t="s">
        <v>33</v>
      </c>
      <c r="R20" t="s">
        <v>1143</v>
      </c>
    </row>
    <row r="21" spans="1:18" x14ac:dyDescent="0.25">
      <c r="A21" t="s">
        <v>476</v>
      </c>
      <c r="B21" t="s">
        <v>1279</v>
      </c>
      <c r="C21" t="s">
        <v>135</v>
      </c>
      <c r="D21" t="s">
        <v>1243</v>
      </c>
      <c r="E21" t="s">
        <v>1280</v>
      </c>
      <c r="F21" t="s">
        <v>1281</v>
      </c>
      <c r="G21" t="s">
        <v>1282</v>
      </c>
      <c r="H21" t="s">
        <v>1283</v>
      </c>
      <c r="I21" t="s">
        <v>1221</v>
      </c>
      <c r="J21">
        <v>25</v>
      </c>
      <c r="K21">
        <v>25</v>
      </c>
      <c r="L21" t="s">
        <v>1178</v>
      </c>
      <c r="M21" t="s">
        <v>1140</v>
      </c>
      <c r="N21" t="s">
        <v>1153</v>
      </c>
      <c r="O21">
        <v>4</v>
      </c>
      <c r="P21">
        <v>13</v>
      </c>
      <c r="Q21" t="s">
        <v>1142</v>
      </c>
      <c r="R21" t="s">
        <v>1180</v>
      </c>
    </row>
    <row r="22" spans="1:18" x14ac:dyDescent="0.25">
      <c r="A22" t="s">
        <v>847</v>
      </c>
      <c r="B22" t="s">
        <v>1284</v>
      </c>
      <c r="C22" t="s">
        <v>44</v>
      </c>
      <c r="D22" t="s">
        <v>1145</v>
      </c>
      <c r="E22" t="s">
        <v>1285</v>
      </c>
      <c r="F22" t="s">
        <v>1286</v>
      </c>
      <c r="G22" t="s">
        <v>1287</v>
      </c>
      <c r="H22" t="s">
        <v>1288</v>
      </c>
      <c r="I22" t="s">
        <v>1289</v>
      </c>
      <c r="J22">
        <v>19</v>
      </c>
      <c r="K22">
        <v>10</v>
      </c>
      <c r="L22" t="s">
        <v>1249</v>
      </c>
      <c r="M22" t="s">
        <v>1140</v>
      </c>
      <c r="N22" t="s">
        <v>1290</v>
      </c>
      <c r="O22">
        <v>3.9</v>
      </c>
      <c r="P22">
        <v>7</v>
      </c>
      <c r="Q22" t="s">
        <v>33</v>
      </c>
      <c r="R22" t="s">
        <v>1214</v>
      </c>
    </row>
    <row r="23" spans="1:18" x14ac:dyDescent="0.25">
      <c r="A23" t="s">
        <v>245</v>
      </c>
      <c r="B23" t="s">
        <v>1291</v>
      </c>
      <c r="C23" t="s">
        <v>114</v>
      </c>
      <c r="D23" t="s">
        <v>1200</v>
      </c>
      <c r="E23" t="s">
        <v>1292</v>
      </c>
      <c r="F23" t="s">
        <v>1293</v>
      </c>
      <c r="G23" t="s">
        <v>1294</v>
      </c>
      <c r="H23" t="s">
        <v>1295</v>
      </c>
      <c r="I23" t="s">
        <v>1296</v>
      </c>
      <c r="J23">
        <v>19</v>
      </c>
      <c r="K23">
        <v>100</v>
      </c>
      <c r="L23" t="s">
        <v>1249</v>
      </c>
      <c r="M23" t="s">
        <v>1179</v>
      </c>
      <c r="N23" t="s">
        <v>1141</v>
      </c>
      <c r="O23">
        <v>4.2</v>
      </c>
      <c r="P23">
        <v>8</v>
      </c>
      <c r="Q23" t="s">
        <v>33</v>
      </c>
      <c r="R23" t="s">
        <v>1180</v>
      </c>
    </row>
    <row r="24" spans="1:18" x14ac:dyDescent="0.25">
      <c r="A24" t="s">
        <v>177</v>
      </c>
      <c r="B24" t="s">
        <v>1297</v>
      </c>
      <c r="C24" t="s">
        <v>1182</v>
      </c>
      <c r="D24" t="s">
        <v>1183</v>
      </c>
      <c r="E24" t="s">
        <v>1298</v>
      </c>
      <c r="F24" t="s">
        <v>1299</v>
      </c>
      <c r="G24" t="s">
        <v>1300</v>
      </c>
      <c r="H24" t="s">
        <v>1301</v>
      </c>
      <c r="I24" t="s">
        <v>1302</v>
      </c>
      <c r="J24">
        <v>26</v>
      </c>
      <c r="K24">
        <v>50</v>
      </c>
      <c r="L24" t="s">
        <v>1178</v>
      </c>
      <c r="M24" t="s">
        <v>1213</v>
      </c>
      <c r="N24" t="s">
        <v>1153</v>
      </c>
      <c r="O24">
        <v>3.8</v>
      </c>
      <c r="P24">
        <v>9</v>
      </c>
      <c r="Q24" t="s">
        <v>33</v>
      </c>
      <c r="R24" t="s">
        <v>1162</v>
      </c>
    </row>
    <row r="25" spans="1:18" x14ac:dyDescent="0.25">
      <c r="A25" t="s">
        <v>558</v>
      </c>
      <c r="B25" t="s">
        <v>1303</v>
      </c>
      <c r="C25" t="s">
        <v>31</v>
      </c>
      <c r="D25" t="s">
        <v>1155</v>
      </c>
      <c r="E25" t="s">
        <v>1304</v>
      </c>
      <c r="F25" t="s">
        <v>1305</v>
      </c>
      <c r="G25" t="s">
        <v>1306</v>
      </c>
      <c r="H25" t="s">
        <v>1307</v>
      </c>
      <c r="I25" t="s">
        <v>1308</v>
      </c>
      <c r="J25">
        <v>3</v>
      </c>
      <c r="K25">
        <v>500</v>
      </c>
      <c r="L25" t="s">
        <v>1161</v>
      </c>
      <c r="M25" t="s">
        <v>1140</v>
      </c>
      <c r="N25" t="s">
        <v>1261</v>
      </c>
      <c r="O25">
        <v>4.7</v>
      </c>
      <c r="P25">
        <v>7</v>
      </c>
      <c r="Q25" t="s">
        <v>1222</v>
      </c>
      <c r="R25" t="s">
        <v>1143</v>
      </c>
    </row>
    <row r="26" spans="1:18" x14ac:dyDescent="0.25">
      <c r="A26" t="s">
        <v>231</v>
      </c>
      <c r="B26" t="s">
        <v>1309</v>
      </c>
      <c r="C26" t="s">
        <v>114</v>
      </c>
      <c r="D26" t="s">
        <v>1200</v>
      </c>
      <c r="E26" t="s">
        <v>1310</v>
      </c>
      <c r="F26" t="s">
        <v>1311</v>
      </c>
      <c r="G26" t="s">
        <v>1312</v>
      </c>
      <c r="H26" t="s">
        <v>1313</v>
      </c>
      <c r="I26" t="s">
        <v>1314</v>
      </c>
      <c r="J26">
        <v>4</v>
      </c>
      <c r="K26">
        <v>10</v>
      </c>
      <c r="L26" t="s">
        <v>1161</v>
      </c>
      <c r="M26" t="s">
        <v>1179</v>
      </c>
      <c r="N26" t="s">
        <v>1261</v>
      </c>
      <c r="O26">
        <v>4.5</v>
      </c>
      <c r="P26">
        <v>9</v>
      </c>
      <c r="Q26" t="s">
        <v>33</v>
      </c>
      <c r="R26" t="s">
        <v>1180</v>
      </c>
    </row>
    <row r="27" spans="1:18" x14ac:dyDescent="0.25">
      <c r="A27" t="s">
        <v>237</v>
      </c>
      <c r="B27" t="s">
        <v>1315</v>
      </c>
      <c r="C27" t="s">
        <v>114</v>
      </c>
      <c r="D27" t="s">
        <v>1200</v>
      </c>
      <c r="E27" t="s">
        <v>1316</v>
      </c>
      <c r="F27" t="s">
        <v>1317</v>
      </c>
      <c r="G27" t="s">
        <v>1318</v>
      </c>
      <c r="H27" t="s">
        <v>1319</v>
      </c>
      <c r="I27" t="s">
        <v>1320</v>
      </c>
      <c r="J27">
        <v>15</v>
      </c>
      <c r="K27">
        <v>500</v>
      </c>
      <c r="L27" t="s">
        <v>1161</v>
      </c>
      <c r="M27" t="s">
        <v>1213</v>
      </c>
      <c r="N27" t="s">
        <v>1141</v>
      </c>
      <c r="O27">
        <v>4.0999999999999996</v>
      </c>
      <c r="P27">
        <v>10</v>
      </c>
      <c r="Q27" t="s">
        <v>33</v>
      </c>
      <c r="R27" t="s">
        <v>1180</v>
      </c>
    </row>
    <row r="28" spans="1:18" x14ac:dyDescent="0.25">
      <c r="A28" t="s">
        <v>429</v>
      </c>
      <c r="B28" t="s">
        <v>1321</v>
      </c>
      <c r="C28" t="s">
        <v>31</v>
      </c>
      <c r="D28" t="s">
        <v>1155</v>
      </c>
      <c r="E28" t="s">
        <v>1322</v>
      </c>
      <c r="F28" t="s">
        <v>1323</v>
      </c>
      <c r="G28" t="s">
        <v>1324</v>
      </c>
      <c r="H28" t="s">
        <v>1325</v>
      </c>
      <c r="I28" t="s">
        <v>1326</v>
      </c>
      <c r="J28">
        <v>5</v>
      </c>
      <c r="K28">
        <v>50</v>
      </c>
      <c r="L28" t="s">
        <v>1139</v>
      </c>
      <c r="M28" t="s">
        <v>1169</v>
      </c>
      <c r="N28" t="s">
        <v>1290</v>
      </c>
      <c r="O28">
        <v>4.5999999999999996</v>
      </c>
      <c r="P28">
        <v>1</v>
      </c>
      <c r="Q28" t="s">
        <v>33</v>
      </c>
      <c r="R28" t="s">
        <v>1190</v>
      </c>
    </row>
    <row r="29" spans="1:18" x14ac:dyDescent="0.25">
      <c r="A29" t="s">
        <v>423</v>
      </c>
      <c r="B29" t="s">
        <v>1327</v>
      </c>
      <c r="C29" t="s">
        <v>1192</v>
      </c>
      <c r="D29" t="s">
        <v>1193</v>
      </c>
      <c r="E29" t="s">
        <v>1328</v>
      </c>
      <c r="F29" t="s">
        <v>1329</v>
      </c>
      <c r="G29" t="s">
        <v>1330</v>
      </c>
      <c r="H29" t="s">
        <v>1331</v>
      </c>
      <c r="I29" t="s">
        <v>1320</v>
      </c>
      <c r="J29">
        <v>20</v>
      </c>
      <c r="K29">
        <v>200</v>
      </c>
      <c r="L29" t="s">
        <v>1332</v>
      </c>
      <c r="M29" t="s">
        <v>1179</v>
      </c>
      <c r="N29" t="s">
        <v>1141</v>
      </c>
      <c r="O29">
        <v>2.5</v>
      </c>
      <c r="P29">
        <v>10</v>
      </c>
      <c r="Q29" t="s">
        <v>33</v>
      </c>
      <c r="R29" t="s">
        <v>1180</v>
      </c>
    </row>
    <row r="30" spans="1:18" x14ac:dyDescent="0.25">
      <c r="A30" t="s">
        <v>218</v>
      </c>
      <c r="B30" t="s">
        <v>1333</v>
      </c>
      <c r="C30" t="s">
        <v>1192</v>
      </c>
      <c r="D30" t="s">
        <v>1193</v>
      </c>
      <c r="E30" t="s">
        <v>1334</v>
      </c>
      <c r="F30" t="s">
        <v>1335</v>
      </c>
      <c r="G30" t="s">
        <v>1336</v>
      </c>
      <c r="H30" t="s">
        <v>1337</v>
      </c>
      <c r="I30" t="s">
        <v>1338</v>
      </c>
      <c r="J30">
        <v>7</v>
      </c>
      <c r="K30">
        <v>25</v>
      </c>
      <c r="L30" t="s">
        <v>1332</v>
      </c>
      <c r="M30" t="s">
        <v>1140</v>
      </c>
      <c r="N30" t="s">
        <v>1170</v>
      </c>
      <c r="O30">
        <v>4.5999999999999996</v>
      </c>
      <c r="P30">
        <v>4</v>
      </c>
      <c r="Q30" t="s">
        <v>33</v>
      </c>
      <c r="R30" t="s">
        <v>1190</v>
      </c>
    </row>
    <row r="31" spans="1:18" x14ac:dyDescent="0.25">
      <c r="A31" t="s">
        <v>340</v>
      </c>
      <c r="B31" t="s">
        <v>1339</v>
      </c>
      <c r="C31" t="s">
        <v>1182</v>
      </c>
      <c r="D31" t="s">
        <v>1183</v>
      </c>
      <c r="E31" t="s">
        <v>1340</v>
      </c>
      <c r="F31" t="s">
        <v>1341</v>
      </c>
      <c r="G31" t="s">
        <v>1342</v>
      </c>
      <c r="H31" t="s">
        <v>1343</v>
      </c>
      <c r="I31" t="s">
        <v>1344</v>
      </c>
      <c r="J31">
        <v>6</v>
      </c>
      <c r="K31">
        <v>25</v>
      </c>
      <c r="L31" t="s">
        <v>1139</v>
      </c>
      <c r="M31" t="s">
        <v>1152</v>
      </c>
      <c r="N31" t="s">
        <v>1153</v>
      </c>
      <c r="O31">
        <v>2.8</v>
      </c>
      <c r="P31">
        <v>11</v>
      </c>
      <c r="Q31" t="s">
        <v>33</v>
      </c>
      <c r="R31" t="s">
        <v>1143</v>
      </c>
    </row>
    <row r="32" spans="1:18" x14ac:dyDescent="0.25">
      <c r="A32" t="s">
        <v>121</v>
      </c>
      <c r="B32" t="s">
        <v>1345</v>
      </c>
      <c r="C32" t="s">
        <v>44</v>
      </c>
      <c r="D32" t="s">
        <v>1145</v>
      </c>
      <c r="E32" t="s">
        <v>1346</v>
      </c>
      <c r="F32" t="s">
        <v>1347</v>
      </c>
      <c r="G32" t="s">
        <v>1348</v>
      </c>
      <c r="H32" t="s">
        <v>1349</v>
      </c>
      <c r="I32" t="s">
        <v>1350</v>
      </c>
      <c r="J32">
        <v>25</v>
      </c>
      <c r="K32">
        <v>200</v>
      </c>
      <c r="L32" t="s">
        <v>1332</v>
      </c>
      <c r="M32" t="s">
        <v>1213</v>
      </c>
      <c r="N32" t="s">
        <v>1170</v>
      </c>
      <c r="O32">
        <v>3.4</v>
      </c>
      <c r="P32">
        <v>6</v>
      </c>
      <c r="Q32" t="s">
        <v>33</v>
      </c>
      <c r="R32" t="s">
        <v>1190</v>
      </c>
    </row>
    <row r="33" spans="1:18" x14ac:dyDescent="0.25">
      <c r="A33" t="s">
        <v>212</v>
      </c>
      <c r="B33" t="s">
        <v>1351</v>
      </c>
      <c r="C33" t="s">
        <v>31</v>
      </c>
      <c r="D33" t="s">
        <v>1155</v>
      </c>
      <c r="E33" t="s">
        <v>1352</v>
      </c>
      <c r="F33" t="s">
        <v>1353</v>
      </c>
      <c r="G33" t="s">
        <v>1354</v>
      </c>
      <c r="H33" t="s">
        <v>1355</v>
      </c>
      <c r="I33" t="s">
        <v>1356</v>
      </c>
      <c r="J33">
        <v>24</v>
      </c>
      <c r="K33">
        <v>500</v>
      </c>
      <c r="L33" t="s">
        <v>1255</v>
      </c>
      <c r="M33" t="s">
        <v>1169</v>
      </c>
      <c r="N33" t="s">
        <v>1290</v>
      </c>
      <c r="O33">
        <v>3.6</v>
      </c>
      <c r="P33">
        <v>13</v>
      </c>
      <c r="Q33" t="s">
        <v>33</v>
      </c>
      <c r="R33" t="s">
        <v>1162</v>
      </c>
    </row>
    <row r="34" spans="1:18" x14ac:dyDescent="0.25">
      <c r="A34" t="s">
        <v>324</v>
      </c>
      <c r="B34" t="s">
        <v>1357</v>
      </c>
      <c r="C34" t="s">
        <v>1192</v>
      </c>
      <c r="D34" t="s">
        <v>1193</v>
      </c>
      <c r="E34" t="s">
        <v>1358</v>
      </c>
      <c r="F34" t="s">
        <v>1359</v>
      </c>
      <c r="G34" t="s">
        <v>1360</v>
      </c>
      <c r="H34" t="s">
        <v>1361</v>
      </c>
      <c r="I34" t="s">
        <v>1362</v>
      </c>
      <c r="J34">
        <v>9</v>
      </c>
      <c r="K34">
        <v>50</v>
      </c>
      <c r="L34" t="s">
        <v>1161</v>
      </c>
      <c r="M34" t="s">
        <v>1179</v>
      </c>
      <c r="N34" t="s">
        <v>1141</v>
      </c>
      <c r="O34">
        <v>4.5999999999999996</v>
      </c>
      <c r="P34">
        <v>11</v>
      </c>
      <c r="Q34" t="s">
        <v>33</v>
      </c>
      <c r="R34" t="s">
        <v>1180</v>
      </c>
    </row>
    <row r="35" spans="1:18" x14ac:dyDescent="0.25">
      <c r="A35" t="s">
        <v>106</v>
      </c>
      <c r="B35" t="s">
        <v>1363</v>
      </c>
      <c r="C35" t="s">
        <v>1182</v>
      </c>
      <c r="D35" t="s">
        <v>1183</v>
      </c>
      <c r="E35" t="s">
        <v>1364</v>
      </c>
      <c r="F35" t="s">
        <v>1365</v>
      </c>
      <c r="G35" t="s">
        <v>1366</v>
      </c>
      <c r="H35" t="s">
        <v>1367</v>
      </c>
      <c r="I35" t="s">
        <v>1368</v>
      </c>
      <c r="J35">
        <v>23</v>
      </c>
      <c r="K35">
        <v>25</v>
      </c>
      <c r="L35" t="s">
        <v>1255</v>
      </c>
      <c r="M35" t="s">
        <v>1169</v>
      </c>
      <c r="N35" t="s">
        <v>1261</v>
      </c>
      <c r="O35">
        <v>4.7</v>
      </c>
      <c r="P35">
        <v>10</v>
      </c>
      <c r="Q35" t="s">
        <v>1142</v>
      </c>
      <c r="R35" t="s">
        <v>1214</v>
      </c>
    </row>
    <row r="36" spans="1:18" x14ac:dyDescent="0.25">
      <c r="A36" t="s">
        <v>91</v>
      </c>
      <c r="B36" t="s">
        <v>1369</v>
      </c>
      <c r="C36" t="s">
        <v>100</v>
      </c>
      <c r="D36" t="s">
        <v>1172</v>
      </c>
      <c r="E36" t="s">
        <v>1370</v>
      </c>
      <c r="F36" t="s">
        <v>1371</v>
      </c>
      <c r="G36" t="s">
        <v>1372</v>
      </c>
      <c r="H36" t="s">
        <v>1373</v>
      </c>
      <c r="I36" t="s">
        <v>1374</v>
      </c>
      <c r="J36">
        <v>30</v>
      </c>
      <c r="K36">
        <v>200</v>
      </c>
      <c r="L36" t="s">
        <v>1332</v>
      </c>
      <c r="M36" t="s">
        <v>1213</v>
      </c>
      <c r="N36" t="s">
        <v>1261</v>
      </c>
      <c r="O36">
        <v>3.6</v>
      </c>
      <c r="P36">
        <v>3</v>
      </c>
      <c r="Q36" t="s">
        <v>1241</v>
      </c>
      <c r="R36" t="s">
        <v>1180</v>
      </c>
    </row>
    <row r="37" spans="1:18" x14ac:dyDescent="0.25">
      <c r="A37" t="s">
        <v>287</v>
      </c>
      <c r="B37" t="s">
        <v>1375</v>
      </c>
      <c r="C37" t="s">
        <v>100</v>
      </c>
      <c r="D37" t="s">
        <v>1172</v>
      </c>
      <c r="E37" t="s">
        <v>1376</v>
      </c>
      <c r="F37" t="s">
        <v>1377</v>
      </c>
      <c r="G37" t="s">
        <v>1378</v>
      </c>
      <c r="H37" t="s">
        <v>1379</v>
      </c>
      <c r="I37" t="s">
        <v>1344</v>
      </c>
      <c r="J37">
        <v>14</v>
      </c>
      <c r="K37">
        <v>25</v>
      </c>
      <c r="L37" t="s">
        <v>1178</v>
      </c>
      <c r="M37" t="s">
        <v>1140</v>
      </c>
      <c r="N37" t="s">
        <v>1170</v>
      </c>
      <c r="O37">
        <v>4.8</v>
      </c>
      <c r="P37">
        <v>6</v>
      </c>
      <c r="Q37" t="s">
        <v>33</v>
      </c>
      <c r="R37" t="s">
        <v>1162</v>
      </c>
    </row>
    <row r="38" spans="1:18" x14ac:dyDescent="0.25">
      <c r="A38" t="s">
        <v>57</v>
      </c>
      <c r="B38" t="s">
        <v>1380</v>
      </c>
      <c r="C38" t="s">
        <v>81</v>
      </c>
      <c r="D38" t="s">
        <v>1133</v>
      </c>
      <c r="E38" t="s">
        <v>1381</v>
      </c>
      <c r="F38" t="s">
        <v>1382</v>
      </c>
      <c r="G38" t="s">
        <v>1383</v>
      </c>
      <c r="H38" t="s">
        <v>1384</v>
      </c>
      <c r="I38" t="s">
        <v>1385</v>
      </c>
      <c r="J38">
        <v>29</v>
      </c>
      <c r="K38">
        <v>500</v>
      </c>
      <c r="L38" t="s">
        <v>1151</v>
      </c>
      <c r="M38" t="s">
        <v>1213</v>
      </c>
      <c r="N38" t="s">
        <v>1170</v>
      </c>
      <c r="O38">
        <v>3.9</v>
      </c>
      <c r="P38">
        <v>7</v>
      </c>
      <c r="Q38" t="s">
        <v>1142</v>
      </c>
      <c r="R38" t="s">
        <v>1162</v>
      </c>
    </row>
    <row r="39" spans="1:18" x14ac:dyDescent="0.25">
      <c r="A39" t="s">
        <v>32</v>
      </c>
      <c r="B39" t="s">
        <v>1386</v>
      </c>
      <c r="C39" t="s">
        <v>56</v>
      </c>
      <c r="D39" t="s">
        <v>1216</v>
      </c>
      <c r="E39" t="s">
        <v>1387</v>
      </c>
      <c r="F39" t="s">
        <v>1388</v>
      </c>
      <c r="G39" t="s">
        <v>1389</v>
      </c>
      <c r="H39" t="s">
        <v>1390</v>
      </c>
      <c r="I39" t="s">
        <v>1391</v>
      </c>
      <c r="J39">
        <v>29</v>
      </c>
      <c r="K39">
        <v>50</v>
      </c>
      <c r="L39" t="s">
        <v>1139</v>
      </c>
      <c r="M39" t="s">
        <v>1169</v>
      </c>
      <c r="N39" t="s">
        <v>1170</v>
      </c>
      <c r="O39">
        <v>2.5</v>
      </c>
      <c r="P39">
        <v>15</v>
      </c>
      <c r="Q39" t="s">
        <v>33</v>
      </c>
      <c r="R39" t="s">
        <v>1162</v>
      </c>
    </row>
    <row r="40" spans="1:18" x14ac:dyDescent="0.25">
      <c r="A40" t="s">
        <v>66</v>
      </c>
      <c r="B40" t="s">
        <v>1392</v>
      </c>
      <c r="C40" t="s">
        <v>100</v>
      </c>
      <c r="D40" t="s">
        <v>1172</v>
      </c>
      <c r="E40" t="s">
        <v>1393</v>
      </c>
      <c r="F40" t="s">
        <v>1394</v>
      </c>
      <c r="G40" t="s">
        <v>1395</v>
      </c>
      <c r="H40" t="s">
        <v>1396</v>
      </c>
      <c r="I40" t="s">
        <v>1248</v>
      </c>
      <c r="J40">
        <v>14</v>
      </c>
      <c r="K40">
        <v>200</v>
      </c>
      <c r="L40" t="s">
        <v>1161</v>
      </c>
      <c r="M40" t="s">
        <v>1140</v>
      </c>
      <c r="N40" t="s">
        <v>1290</v>
      </c>
      <c r="O40">
        <v>4.5</v>
      </c>
      <c r="P40">
        <v>12</v>
      </c>
      <c r="Q40" t="s">
        <v>33</v>
      </c>
      <c r="R40" t="s">
        <v>1162</v>
      </c>
    </row>
    <row r="41" spans="1:18" x14ac:dyDescent="0.25">
      <c r="A41" t="s">
        <v>387</v>
      </c>
      <c r="B41" t="s">
        <v>1397</v>
      </c>
      <c r="C41" t="s">
        <v>81</v>
      </c>
      <c r="D41" t="s">
        <v>1133</v>
      </c>
      <c r="E41" t="s">
        <v>1398</v>
      </c>
      <c r="F41" t="s">
        <v>1399</v>
      </c>
      <c r="G41" t="s">
        <v>1400</v>
      </c>
      <c r="H41" t="s">
        <v>1401</v>
      </c>
      <c r="I41" t="s">
        <v>1402</v>
      </c>
      <c r="J41">
        <v>7</v>
      </c>
      <c r="K41">
        <v>200</v>
      </c>
      <c r="L41" t="s">
        <v>1332</v>
      </c>
      <c r="M41" t="s">
        <v>1140</v>
      </c>
      <c r="N41" t="s">
        <v>1170</v>
      </c>
      <c r="O41">
        <v>2.6</v>
      </c>
      <c r="P41">
        <v>10</v>
      </c>
      <c r="Q41" t="s">
        <v>33</v>
      </c>
      <c r="R41" t="s">
        <v>1143</v>
      </c>
    </row>
    <row r="42" spans="1:18" x14ac:dyDescent="0.25">
      <c r="A42" t="s">
        <v>1403</v>
      </c>
      <c r="B42" t="s">
        <v>1404</v>
      </c>
      <c r="C42" t="s">
        <v>100</v>
      </c>
      <c r="D42" t="s">
        <v>1172</v>
      </c>
      <c r="E42" t="s">
        <v>1405</v>
      </c>
      <c r="F42" t="s">
        <v>1406</v>
      </c>
      <c r="G42" t="s">
        <v>1407</v>
      </c>
      <c r="H42" t="s">
        <v>1408</v>
      </c>
      <c r="I42" t="s">
        <v>1409</v>
      </c>
      <c r="J42">
        <v>9</v>
      </c>
      <c r="K42">
        <v>100</v>
      </c>
      <c r="L42" t="s">
        <v>1139</v>
      </c>
      <c r="M42" t="s">
        <v>1169</v>
      </c>
      <c r="N42" t="s">
        <v>1261</v>
      </c>
      <c r="O42">
        <v>3</v>
      </c>
      <c r="P42">
        <v>7</v>
      </c>
      <c r="Q42" t="s">
        <v>1241</v>
      </c>
      <c r="R42" t="s">
        <v>1190</v>
      </c>
    </row>
    <row r="43" spans="1:18" x14ac:dyDescent="0.25">
      <c r="A43" t="s">
        <v>1410</v>
      </c>
      <c r="B43" t="s">
        <v>1411</v>
      </c>
      <c r="C43" t="s">
        <v>1182</v>
      </c>
      <c r="D43" t="s">
        <v>1183</v>
      </c>
      <c r="E43" t="s">
        <v>1412</v>
      </c>
      <c r="F43" t="s">
        <v>1413</v>
      </c>
      <c r="G43" t="s">
        <v>1414</v>
      </c>
      <c r="H43" t="s">
        <v>1415</v>
      </c>
      <c r="I43" t="s">
        <v>1221</v>
      </c>
      <c r="J43">
        <v>22</v>
      </c>
      <c r="K43">
        <v>200</v>
      </c>
      <c r="L43" t="s">
        <v>1161</v>
      </c>
      <c r="M43" t="s">
        <v>1140</v>
      </c>
      <c r="N43" t="s">
        <v>1290</v>
      </c>
      <c r="O43">
        <v>3.5</v>
      </c>
      <c r="P43">
        <v>2</v>
      </c>
      <c r="Q43" t="s">
        <v>33</v>
      </c>
      <c r="R43" t="s">
        <v>1190</v>
      </c>
    </row>
    <row r="44" spans="1:18" x14ac:dyDescent="0.25">
      <c r="A44" t="s">
        <v>1416</v>
      </c>
      <c r="B44" t="s">
        <v>1417</v>
      </c>
      <c r="C44" t="s">
        <v>1192</v>
      </c>
      <c r="D44" t="s">
        <v>1193</v>
      </c>
      <c r="E44" t="s">
        <v>1418</v>
      </c>
      <c r="F44" t="s">
        <v>1419</v>
      </c>
      <c r="G44" t="s">
        <v>1420</v>
      </c>
      <c r="H44" t="s">
        <v>1421</v>
      </c>
      <c r="I44" t="s">
        <v>1150</v>
      </c>
      <c r="J44">
        <v>18</v>
      </c>
      <c r="K44">
        <v>200</v>
      </c>
      <c r="L44" t="s">
        <v>1178</v>
      </c>
      <c r="M44" t="s">
        <v>1213</v>
      </c>
      <c r="N44" t="s">
        <v>1170</v>
      </c>
      <c r="O44">
        <v>4.4000000000000004</v>
      </c>
      <c r="P44">
        <v>2</v>
      </c>
      <c r="Q44" t="s">
        <v>33</v>
      </c>
      <c r="R44" t="s">
        <v>1190</v>
      </c>
    </row>
    <row r="45" spans="1:18" x14ac:dyDescent="0.25">
      <c r="A45" t="s">
        <v>1422</v>
      </c>
      <c r="B45" t="s">
        <v>1423</v>
      </c>
      <c r="C45" t="s">
        <v>1182</v>
      </c>
      <c r="D45" t="s">
        <v>1183</v>
      </c>
      <c r="E45" t="s">
        <v>1424</v>
      </c>
      <c r="F45" t="s">
        <v>1425</v>
      </c>
      <c r="G45" t="s">
        <v>1426</v>
      </c>
      <c r="H45" t="s">
        <v>1427</v>
      </c>
      <c r="I45" t="s">
        <v>1320</v>
      </c>
      <c r="J45">
        <v>25</v>
      </c>
      <c r="K45">
        <v>200</v>
      </c>
      <c r="L45" t="s">
        <v>1428</v>
      </c>
      <c r="M45" t="s">
        <v>1140</v>
      </c>
      <c r="N45" t="s">
        <v>1290</v>
      </c>
      <c r="O45">
        <v>4.5</v>
      </c>
      <c r="P45">
        <v>7</v>
      </c>
      <c r="Q45" t="s">
        <v>33</v>
      </c>
      <c r="R45" t="s">
        <v>1180</v>
      </c>
    </row>
    <row r="46" spans="1:18" x14ac:dyDescent="0.25">
      <c r="A46" t="s">
        <v>1429</v>
      </c>
      <c r="B46" t="s">
        <v>1430</v>
      </c>
      <c r="C46" t="s">
        <v>1182</v>
      </c>
      <c r="D46" t="s">
        <v>1183</v>
      </c>
      <c r="E46" t="s">
        <v>1431</v>
      </c>
      <c r="F46" t="s">
        <v>1432</v>
      </c>
      <c r="G46" t="s">
        <v>1433</v>
      </c>
      <c r="H46" t="s">
        <v>1434</v>
      </c>
      <c r="I46" t="s">
        <v>1344</v>
      </c>
      <c r="J46">
        <v>22</v>
      </c>
      <c r="K46">
        <v>200</v>
      </c>
      <c r="L46" t="s">
        <v>1428</v>
      </c>
      <c r="M46" t="s">
        <v>1152</v>
      </c>
      <c r="N46" t="s">
        <v>1261</v>
      </c>
      <c r="O46">
        <v>2.5</v>
      </c>
      <c r="P46">
        <v>12</v>
      </c>
      <c r="Q46" t="s">
        <v>1222</v>
      </c>
      <c r="R46" t="s">
        <v>1143</v>
      </c>
    </row>
    <row r="47" spans="1:18" x14ac:dyDescent="0.25">
      <c r="A47" t="s">
        <v>1435</v>
      </c>
      <c r="B47" t="s">
        <v>1436</v>
      </c>
      <c r="C47" t="s">
        <v>1182</v>
      </c>
      <c r="D47" t="s">
        <v>1183</v>
      </c>
      <c r="E47" t="s">
        <v>1437</v>
      </c>
      <c r="F47" t="s">
        <v>1438</v>
      </c>
      <c r="G47" t="s">
        <v>1439</v>
      </c>
      <c r="H47" t="s">
        <v>1440</v>
      </c>
      <c r="I47" t="s">
        <v>1441</v>
      </c>
      <c r="J47">
        <v>14</v>
      </c>
      <c r="K47">
        <v>10</v>
      </c>
      <c r="L47" t="s">
        <v>1332</v>
      </c>
      <c r="M47" t="s">
        <v>1169</v>
      </c>
      <c r="N47" t="s">
        <v>1170</v>
      </c>
      <c r="O47">
        <v>3.1</v>
      </c>
      <c r="P47">
        <v>14</v>
      </c>
      <c r="Q47" t="s">
        <v>1241</v>
      </c>
      <c r="R47" t="s">
        <v>1162</v>
      </c>
    </row>
    <row r="48" spans="1:18" x14ac:dyDescent="0.25">
      <c r="A48" t="s">
        <v>1442</v>
      </c>
      <c r="B48" t="s">
        <v>1443</v>
      </c>
      <c r="C48" t="s">
        <v>1182</v>
      </c>
      <c r="D48" t="s">
        <v>1183</v>
      </c>
      <c r="E48" t="s">
        <v>1444</v>
      </c>
      <c r="F48" t="s">
        <v>1445</v>
      </c>
      <c r="G48" t="s">
        <v>1446</v>
      </c>
      <c r="H48" t="s">
        <v>1447</v>
      </c>
      <c r="I48" t="s">
        <v>1308</v>
      </c>
      <c r="J48">
        <v>18</v>
      </c>
      <c r="K48">
        <v>25</v>
      </c>
      <c r="L48" t="s">
        <v>1255</v>
      </c>
      <c r="M48" t="s">
        <v>1213</v>
      </c>
      <c r="N48" t="s">
        <v>1170</v>
      </c>
      <c r="O48">
        <v>3.7</v>
      </c>
      <c r="P48">
        <v>5</v>
      </c>
      <c r="Q48" t="s">
        <v>1241</v>
      </c>
      <c r="R48" t="s">
        <v>1214</v>
      </c>
    </row>
    <row r="49" spans="1:18" x14ac:dyDescent="0.25">
      <c r="A49" t="s">
        <v>1448</v>
      </c>
      <c r="B49" t="s">
        <v>1449</v>
      </c>
      <c r="C49" t="s">
        <v>135</v>
      </c>
      <c r="D49" t="s">
        <v>1243</v>
      </c>
      <c r="E49" t="s">
        <v>1450</v>
      </c>
      <c r="F49" t="s">
        <v>1451</v>
      </c>
      <c r="G49" t="s">
        <v>1452</v>
      </c>
      <c r="H49" t="s">
        <v>1453</v>
      </c>
      <c r="I49" t="s">
        <v>1454</v>
      </c>
      <c r="J49">
        <v>9</v>
      </c>
      <c r="K49">
        <v>200</v>
      </c>
      <c r="L49" t="s">
        <v>1428</v>
      </c>
      <c r="M49" t="s">
        <v>1152</v>
      </c>
      <c r="N49" t="s">
        <v>1170</v>
      </c>
      <c r="O49">
        <v>4</v>
      </c>
      <c r="P49">
        <v>11</v>
      </c>
      <c r="Q49" t="s">
        <v>1142</v>
      </c>
      <c r="R49" t="s">
        <v>1143</v>
      </c>
    </row>
    <row r="50" spans="1:18" x14ac:dyDescent="0.25">
      <c r="A50" t="s">
        <v>1455</v>
      </c>
      <c r="B50" t="s">
        <v>1456</v>
      </c>
      <c r="C50" t="s">
        <v>100</v>
      </c>
      <c r="D50" t="s">
        <v>1172</v>
      </c>
      <c r="E50" t="s">
        <v>1457</v>
      </c>
      <c r="F50" t="s">
        <v>1458</v>
      </c>
      <c r="G50" t="s">
        <v>1459</v>
      </c>
      <c r="H50" t="s">
        <v>1460</v>
      </c>
      <c r="I50" t="s">
        <v>1344</v>
      </c>
      <c r="J50">
        <v>10</v>
      </c>
      <c r="K50">
        <v>50</v>
      </c>
      <c r="L50" t="s">
        <v>1161</v>
      </c>
      <c r="M50" t="s">
        <v>1213</v>
      </c>
      <c r="N50" t="s">
        <v>1141</v>
      </c>
      <c r="O50">
        <v>4.3</v>
      </c>
      <c r="P50">
        <v>15</v>
      </c>
      <c r="Q50" t="s">
        <v>33</v>
      </c>
      <c r="R50" t="s">
        <v>1180</v>
      </c>
    </row>
    <row r="51" spans="1:18" x14ac:dyDescent="0.25">
      <c r="A51" t="s">
        <v>1461</v>
      </c>
      <c r="B51" t="s">
        <v>1462</v>
      </c>
      <c r="C51" t="s">
        <v>1192</v>
      </c>
      <c r="D51" t="s">
        <v>1193</v>
      </c>
      <c r="E51" t="s">
        <v>1463</v>
      </c>
      <c r="F51" t="s">
        <v>1464</v>
      </c>
      <c r="G51" t="s">
        <v>1465</v>
      </c>
      <c r="H51" t="s">
        <v>1466</v>
      </c>
      <c r="I51" t="s">
        <v>1374</v>
      </c>
      <c r="J51">
        <v>30</v>
      </c>
      <c r="K51">
        <v>500</v>
      </c>
      <c r="L51" t="s">
        <v>1249</v>
      </c>
      <c r="M51" t="s">
        <v>1152</v>
      </c>
      <c r="N51" t="s">
        <v>1261</v>
      </c>
      <c r="O51">
        <v>2.6</v>
      </c>
      <c r="P51">
        <v>10</v>
      </c>
      <c r="Q51" t="s">
        <v>1241</v>
      </c>
      <c r="R51" t="s">
        <v>1180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1"/>
  <sheetViews>
    <sheetView workbookViewId="0"/>
  </sheetViews>
  <sheetFormatPr baseColWidth="10" defaultColWidth="9.140625" defaultRowHeight="15" x14ac:dyDescent="0.25"/>
  <sheetData>
    <row r="1" spans="1:19" x14ac:dyDescent="0.25">
      <c r="A1" s="1" t="s">
        <v>1116</v>
      </c>
      <c r="B1" s="1" t="s">
        <v>1467</v>
      </c>
      <c r="C1" s="1" t="s">
        <v>1468</v>
      </c>
      <c r="D1" s="1" t="s">
        <v>1117</v>
      </c>
      <c r="E1" s="1" t="s">
        <v>1118</v>
      </c>
      <c r="F1" s="1" t="s">
        <v>1119</v>
      </c>
      <c r="G1" s="1" t="s">
        <v>1120</v>
      </c>
      <c r="H1" s="1" t="s">
        <v>1121</v>
      </c>
      <c r="I1" s="1" t="s">
        <v>1122</v>
      </c>
      <c r="J1" s="1" t="s">
        <v>1123</v>
      </c>
      <c r="K1" s="1" t="s">
        <v>1128</v>
      </c>
      <c r="L1" s="1" t="s">
        <v>1469</v>
      </c>
      <c r="M1" s="1" t="s">
        <v>1470</v>
      </c>
      <c r="N1" s="1" t="s">
        <v>1471</v>
      </c>
      <c r="O1" s="1" t="s">
        <v>1472</v>
      </c>
      <c r="P1" s="1" t="s">
        <v>1473</v>
      </c>
      <c r="Q1" s="1" t="s">
        <v>1474</v>
      </c>
      <c r="R1" s="1" t="s">
        <v>17</v>
      </c>
      <c r="S1" s="1" t="s">
        <v>1131</v>
      </c>
    </row>
    <row r="2" spans="1:19" x14ac:dyDescent="0.25">
      <c r="A2" t="s">
        <v>1475</v>
      </c>
      <c r="B2" t="s">
        <v>1476</v>
      </c>
      <c r="C2" t="s">
        <v>1477</v>
      </c>
      <c r="D2" t="s">
        <v>1478</v>
      </c>
      <c r="E2" t="s">
        <v>1479</v>
      </c>
      <c r="F2" t="s">
        <v>1480</v>
      </c>
      <c r="G2" t="s">
        <v>1481</v>
      </c>
      <c r="H2" t="s">
        <v>1482</v>
      </c>
      <c r="I2" t="s">
        <v>1483</v>
      </c>
      <c r="J2" t="s">
        <v>1484</v>
      </c>
      <c r="K2" t="s">
        <v>1485</v>
      </c>
      <c r="L2" t="s">
        <v>1486</v>
      </c>
      <c r="M2">
        <v>100000</v>
      </c>
      <c r="N2">
        <v>0</v>
      </c>
      <c r="O2">
        <v>14.7</v>
      </c>
      <c r="P2">
        <v>100</v>
      </c>
      <c r="Q2" t="s">
        <v>1487</v>
      </c>
      <c r="R2" t="s">
        <v>33</v>
      </c>
      <c r="S2" t="s">
        <v>1488</v>
      </c>
    </row>
    <row r="3" spans="1:19" x14ac:dyDescent="0.25">
      <c r="A3" t="s">
        <v>1489</v>
      </c>
      <c r="B3" t="s">
        <v>1490</v>
      </c>
      <c r="C3" t="s">
        <v>1491</v>
      </c>
      <c r="D3" t="s">
        <v>1492</v>
      </c>
      <c r="E3" t="s">
        <v>1493</v>
      </c>
      <c r="F3" t="s">
        <v>1494</v>
      </c>
      <c r="G3" t="s">
        <v>1495</v>
      </c>
      <c r="H3" t="s">
        <v>1496</v>
      </c>
      <c r="I3" t="s">
        <v>1497</v>
      </c>
      <c r="J3" t="s">
        <v>1498</v>
      </c>
      <c r="K3" t="s">
        <v>1499</v>
      </c>
      <c r="L3" t="s">
        <v>1500</v>
      </c>
      <c r="M3">
        <v>25000</v>
      </c>
      <c r="N3">
        <v>15</v>
      </c>
      <c r="O3">
        <v>8.1</v>
      </c>
      <c r="P3">
        <v>100</v>
      </c>
      <c r="Q3" t="s">
        <v>1501</v>
      </c>
      <c r="R3" t="s">
        <v>33</v>
      </c>
      <c r="S3" t="s">
        <v>1488</v>
      </c>
    </row>
    <row r="4" spans="1:19" x14ac:dyDescent="0.25">
      <c r="A4" t="s">
        <v>1502</v>
      </c>
      <c r="B4" t="s">
        <v>1503</v>
      </c>
      <c r="C4" t="s">
        <v>1504</v>
      </c>
      <c r="D4" t="s">
        <v>1492</v>
      </c>
      <c r="E4" t="s">
        <v>1493</v>
      </c>
      <c r="F4" t="s">
        <v>1505</v>
      </c>
      <c r="G4" t="s">
        <v>1506</v>
      </c>
      <c r="H4" t="s">
        <v>1507</v>
      </c>
      <c r="I4" t="s">
        <v>1508</v>
      </c>
      <c r="J4" t="s">
        <v>1498</v>
      </c>
      <c r="K4" t="s">
        <v>1261</v>
      </c>
      <c r="L4" t="s">
        <v>1509</v>
      </c>
      <c r="M4">
        <v>10000</v>
      </c>
      <c r="N4">
        <v>30</v>
      </c>
      <c r="O4">
        <v>19.2</v>
      </c>
      <c r="P4">
        <v>5000</v>
      </c>
      <c r="Q4" t="s">
        <v>1510</v>
      </c>
      <c r="R4" t="s">
        <v>47</v>
      </c>
      <c r="S4" t="s">
        <v>1488</v>
      </c>
    </row>
    <row r="5" spans="1:19" x14ac:dyDescent="0.25">
      <c r="A5" t="s">
        <v>1511</v>
      </c>
      <c r="B5" t="s">
        <v>1512</v>
      </c>
      <c r="C5" t="s">
        <v>1513</v>
      </c>
      <c r="D5" t="s">
        <v>100</v>
      </c>
      <c r="E5" t="s">
        <v>1514</v>
      </c>
      <c r="F5" t="s">
        <v>1515</v>
      </c>
      <c r="G5" t="s">
        <v>1516</v>
      </c>
      <c r="H5" t="s">
        <v>1517</v>
      </c>
      <c r="I5" t="s">
        <v>1518</v>
      </c>
      <c r="J5" t="s">
        <v>1519</v>
      </c>
      <c r="K5" t="s">
        <v>1520</v>
      </c>
      <c r="L5" t="s">
        <v>1521</v>
      </c>
      <c r="M5">
        <v>25000</v>
      </c>
      <c r="N5">
        <v>60</v>
      </c>
      <c r="O5">
        <v>10.7</v>
      </c>
      <c r="P5">
        <v>50000</v>
      </c>
      <c r="Q5" t="s">
        <v>1522</v>
      </c>
      <c r="R5" t="s">
        <v>33</v>
      </c>
      <c r="S5" t="s">
        <v>1523</v>
      </c>
    </row>
    <row r="6" spans="1:19" x14ac:dyDescent="0.25">
      <c r="A6" t="s">
        <v>1524</v>
      </c>
      <c r="B6" t="s">
        <v>1525</v>
      </c>
      <c r="C6" t="s">
        <v>1526</v>
      </c>
      <c r="D6" t="s">
        <v>1492</v>
      </c>
      <c r="E6" t="s">
        <v>1493</v>
      </c>
      <c r="F6" t="s">
        <v>1527</v>
      </c>
      <c r="G6" t="s">
        <v>1528</v>
      </c>
      <c r="H6" t="s">
        <v>1529</v>
      </c>
      <c r="I6" t="s">
        <v>1530</v>
      </c>
      <c r="J6" t="s">
        <v>1531</v>
      </c>
      <c r="K6" t="s">
        <v>1485</v>
      </c>
      <c r="L6" t="s">
        <v>1486</v>
      </c>
      <c r="M6">
        <v>100000</v>
      </c>
      <c r="N6">
        <v>30</v>
      </c>
      <c r="O6">
        <v>3.7</v>
      </c>
      <c r="P6">
        <v>50000</v>
      </c>
      <c r="Q6" t="s">
        <v>1532</v>
      </c>
      <c r="R6" t="s">
        <v>33</v>
      </c>
      <c r="S6" t="s">
        <v>1533</v>
      </c>
    </row>
    <row r="7" spans="1:19" x14ac:dyDescent="0.25">
      <c r="A7" t="s">
        <v>1534</v>
      </c>
      <c r="B7" t="s">
        <v>1535</v>
      </c>
      <c r="C7" t="s">
        <v>1536</v>
      </c>
      <c r="D7" t="s">
        <v>1478</v>
      </c>
      <c r="E7" t="s">
        <v>1479</v>
      </c>
      <c r="F7" t="s">
        <v>1537</v>
      </c>
      <c r="G7" t="s">
        <v>1538</v>
      </c>
      <c r="H7" t="s">
        <v>1539</v>
      </c>
      <c r="I7" t="s">
        <v>1540</v>
      </c>
      <c r="J7" t="s">
        <v>1541</v>
      </c>
      <c r="K7" t="s">
        <v>1153</v>
      </c>
      <c r="L7" t="s">
        <v>1542</v>
      </c>
      <c r="M7">
        <v>5000</v>
      </c>
      <c r="N7">
        <v>0</v>
      </c>
      <c r="O7">
        <v>18.399999999999999</v>
      </c>
      <c r="P7">
        <v>50000</v>
      </c>
      <c r="Q7" t="s">
        <v>1543</v>
      </c>
      <c r="R7" t="s">
        <v>47</v>
      </c>
      <c r="S7" t="s">
        <v>1488</v>
      </c>
    </row>
    <row r="8" spans="1:19" x14ac:dyDescent="0.25">
      <c r="A8" t="s">
        <v>1544</v>
      </c>
      <c r="B8" t="s">
        <v>1545</v>
      </c>
      <c r="C8" t="s">
        <v>1546</v>
      </c>
      <c r="D8" t="s">
        <v>100</v>
      </c>
      <c r="E8" t="s">
        <v>1514</v>
      </c>
      <c r="F8" t="s">
        <v>1547</v>
      </c>
      <c r="G8" t="s">
        <v>1548</v>
      </c>
      <c r="H8" t="s">
        <v>1549</v>
      </c>
      <c r="I8" t="s">
        <v>1550</v>
      </c>
      <c r="J8" t="s">
        <v>1551</v>
      </c>
      <c r="K8" t="s">
        <v>1499</v>
      </c>
      <c r="L8" t="s">
        <v>1509</v>
      </c>
      <c r="M8">
        <v>10000</v>
      </c>
      <c r="N8">
        <v>60</v>
      </c>
      <c r="O8">
        <v>5.6</v>
      </c>
      <c r="P8">
        <v>500</v>
      </c>
      <c r="Q8" t="s">
        <v>1552</v>
      </c>
      <c r="R8" t="s">
        <v>33</v>
      </c>
      <c r="S8" t="s">
        <v>1553</v>
      </c>
    </row>
    <row r="9" spans="1:19" x14ac:dyDescent="0.25">
      <c r="A9" t="s">
        <v>1554</v>
      </c>
      <c r="B9" t="s">
        <v>1555</v>
      </c>
      <c r="C9" t="s">
        <v>1556</v>
      </c>
      <c r="D9" t="s">
        <v>1557</v>
      </c>
      <c r="E9" t="s">
        <v>1558</v>
      </c>
      <c r="F9" t="s">
        <v>1559</v>
      </c>
      <c r="G9" t="s">
        <v>1560</v>
      </c>
      <c r="H9" t="s">
        <v>1561</v>
      </c>
      <c r="I9" t="s">
        <v>1562</v>
      </c>
      <c r="J9" t="s">
        <v>1563</v>
      </c>
      <c r="K9" t="s">
        <v>1520</v>
      </c>
      <c r="L9" t="s">
        <v>1564</v>
      </c>
      <c r="M9">
        <v>250000</v>
      </c>
      <c r="N9">
        <v>60</v>
      </c>
      <c r="O9">
        <v>9.1999999999999993</v>
      </c>
      <c r="P9">
        <v>50000</v>
      </c>
      <c r="Q9" t="s">
        <v>1565</v>
      </c>
      <c r="R9" t="s">
        <v>33</v>
      </c>
      <c r="S9" t="s">
        <v>1523</v>
      </c>
    </row>
    <row r="10" spans="1:19" x14ac:dyDescent="0.25">
      <c r="A10" t="s">
        <v>1566</v>
      </c>
      <c r="B10" t="s">
        <v>1567</v>
      </c>
      <c r="C10" t="s">
        <v>1568</v>
      </c>
      <c r="D10" t="s">
        <v>1569</v>
      </c>
      <c r="E10" t="s">
        <v>1570</v>
      </c>
      <c r="F10" t="s">
        <v>1571</v>
      </c>
      <c r="G10" t="s">
        <v>1572</v>
      </c>
      <c r="H10" t="s">
        <v>1573</v>
      </c>
      <c r="I10" t="s">
        <v>1574</v>
      </c>
      <c r="J10" t="s">
        <v>1575</v>
      </c>
      <c r="K10" t="s">
        <v>1499</v>
      </c>
      <c r="L10" t="s">
        <v>1576</v>
      </c>
      <c r="M10">
        <v>10000</v>
      </c>
      <c r="N10">
        <v>30</v>
      </c>
      <c r="O10">
        <v>9.4</v>
      </c>
      <c r="P10">
        <v>10000</v>
      </c>
      <c r="Q10" t="s">
        <v>1577</v>
      </c>
      <c r="R10" t="s">
        <v>1241</v>
      </c>
      <c r="S10" t="s">
        <v>1523</v>
      </c>
    </row>
    <row r="11" spans="1:19" x14ac:dyDescent="0.25">
      <c r="A11" t="s">
        <v>1578</v>
      </c>
      <c r="B11" t="s">
        <v>1579</v>
      </c>
      <c r="C11" t="s">
        <v>1580</v>
      </c>
      <c r="D11" t="s">
        <v>1581</v>
      </c>
      <c r="E11" t="s">
        <v>1582</v>
      </c>
      <c r="F11" t="s">
        <v>1583</v>
      </c>
      <c r="G11" t="s">
        <v>1584</v>
      </c>
      <c r="H11" t="s">
        <v>1585</v>
      </c>
      <c r="I11" t="s">
        <v>1586</v>
      </c>
      <c r="J11" t="s">
        <v>1587</v>
      </c>
      <c r="K11" t="s">
        <v>1520</v>
      </c>
      <c r="L11" t="s">
        <v>1542</v>
      </c>
      <c r="M11">
        <v>100000</v>
      </c>
      <c r="N11">
        <v>15</v>
      </c>
      <c r="O11">
        <v>19.600000000000001</v>
      </c>
      <c r="P11">
        <v>50000</v>
      </c>
      <c r="Q11" t="s">
        <v>1588</v>
      </c>
      <c r="R11" t="s">
        <v>33</v>
      </c>
      <c r="S11" t="s">
        <v>1589</v>
      </c>
    </row>
    <row r="12" spans="1:19" x14ac:dyDescent="0.25">
      <c r="A12" t="s">
        <v>1590</v>
      </c>
      <c r="B12" t="s">
        <v>1591</v>
      </c>
      <c r="C12" t="s">
        <v>1592</v>
      </c>
      <c r="D12" t="s">
        <v>1478</v>
      </c>
      <c r="E12" t="s">
        <v>1479</v>
      </c>
      <c r="F12" t="s">
        <v>1593</v>
      </c>
      <c r="G12" t="s">
        <v>1594</v>
      </c>
      <c r="H12" t="s">
        <v>1595</v>
      </c>
      <c r="I12" t="s">
        <v>1596</v>
      </c>
      <c r="J12" t="s">
        <v>1597</v>
      </c>
      <c r="K12" t="s">
        <v>1499</v>
      </c>
      <c r="L12" t="s">
        <v>1542</v>
      </c>
      <c r="M12">
        <v>50000</v>
      </c>
      <c r="N12">
        <v>45</v>
      </c>
      <c r="O12">
        <v>2.7</v>
      </c>
      <c r="P12">
        <v>50000</v>
      </c>
      <c r="Q12" t="s">
        <v>1598</v>
      </c>
      <c r="R12" t="s">
        <v>1241</v>
      </c>
      <c r="S12" t="s">
        <v>1533</v>
      </c>
    </row>
    <row r="13" spans="1:19" x14ac:dyDescent="0.25">
      <c r="A13" t="s">
        <v>1599</v>
      </c>
      <c r="B13" t="s">
        <v>1600</v>
      </c>
      <c r="C13" t="s">
        <v>1601</v>
      </c>
      <c r="D13" t="s">
        <v>1492</v>
      </c>
      <c r="E13" t="s">
        <v>1493</v>
      </c>
      <c r="F13" t="s">
        <v>1602</v>
      </c>
      <c r="G13" t="s">
        <v>1603</v>
      </c>
      <c r="H13" t="s">
        <v>1604</v>
      </c>
      <c r="I13" t="s">
        <v>1605</v>
      </c>
      <c r="J13" t="s">
        <v>1606</v>
      </c>
      <c r="K13" t="s">
        <v>1261</v>
      </c>
      <c r="L13" t="s">
        <v>1576</v>
      </c>
      <c r="M13">
        <v>50000</v>
      </c>
      <c r="N13">
        <v>90</v>
      </c>
      <c r="O13">
        <v>1.9</v>
      </c>
      <c r="P13">
        <v>50000</v>
      </c>
      <c r="Q13" t="s">
        <v>1607</v>
      </c>
      <c r="R13" t="s">
        <v>33</v>
      </c>
      <c r="S13" t="s">
        <v>1589</v>
      </c>
    </row>
    <row r="14" spans="1:19" x14ac:dyDescent="0.25">
      <c r="A14" t="s">
        <v>1608</v>
      </c>
      <c r="B14" t="s">
        <v>1609</v>
      </c>
      <c r="C14" t="s">
        <v>1610</v>
      </c>
      <c r="D14" t="s">
        <v>1611</v>
      </c>
      <c r="E14" t="s">
        <v>1612</v>
      </c>
      <c r="F14" t="s">
        <v>1613</v>
      </c>
      <c r="G14" t="s">
        <v>1614</v>
      </c>
      <c r="H14" t="s">
        <v>1615</v>
      </c>
      <c r="I14" t="s">
        <v>1616</v>
      </c>
      <c r="J14" t="s">
        <v>1617</v>
      </c>
      <c r="K14" t="s">
        <v>1499</v>
      </c>
      <c r="L14" t="s">
        <v>1486</v>
      </c>
      <c r="M14">
        <v>100000</v>
      </c>
      <c r="N14">
        <v>60</v>
      </c>
      <c r="O14">
        <v>13</v>
      </c>
      <c r="P14">
        <v>10000</v>
      </c>
      <c r="Q14" t="s">
        <v>1618</v>
      </c>
      <c r="R14" t="s">
        <v>33</v>
      </c>
      <c r="S14" t="s">
        <v>1589</v>
      </c>
    </row>
    <row r="15" spans="1:19" x14ac:dyDescent="0.25">
      <c r="A15" t="s">
        <v>1619</v>
      </c>
      <c r="B15" t="s">
        <v>1620</v>
      </c>
      <c r="C15" t="s">
        <v>1621</v>
      </c>
      <c r="D15" t="s">
        <v>1611</v>
      </c>
      <c r="E15" t="s">
        <v>1612</v>
      </c>
      <c r="F15" t="s">
        <v>1622</v>
      </c>
      <c r="G15" t="s">
        <v>1623</v>
      </c>
      <c r="H15" t="s">
        <v>1624</v>
      </c>
      <c r="I15" t="s">
        <v>1625</v>
      </c>
      <c r="J15" t="s">
        <v>1626</v>
      </c>
      <c r="K15" t="s">
        <v>1499</v>
      </c>
      <c r="L15" t="s">
        <v>1542</v>
      </c>
      <c r="M15">
        <v>250000</v>
      </c>
      <c r="N15">
        <v>30</v>
      </c>
      <c r="O15">
        <v>8.4</v>
      </c>
      <c r="P15">
        <v>10000</v>
      </c>
      <c r="Q15" t="s">
        <v>1627</v>
      </c>
      <c r="R15" t="s">
        <v>1628</v>
      </c>
      <c r="S15" t="s">
        <v>1553</v>
      </c>
    </row>
    <row r="16" spans="1:19" x14ac:dyDescent="0.25">
      <c r="A16" t="s">
        <v>1629</v>
      </c>
      <c r="B16" t="s">
        <v>1630</v>
      </c>
      <c r="C16" t="s">
        <v>1631</v>
      </c>
      <c r="D16" t="s">
        <v>1632</v>
      </c>
      <c r="E16" t="s">
        <v>1633</v>
      </c>
      <c r="F16" t="s">
        <v>1634</v>
      </c>
      <c r="G16" t="s">
        <v>1635</v>
      </c>
      <c r="H16" t="s">
        <v>1636</v>
      </c>
      <c r="I16" t="s">
        <v>1637</v>
      </c>
      <c r="J16" t="s">
        <v>1638</v>
      </c>
      <c r="K16" t="s">
        <v>1153</v>
      </c>
      <c r="L16" t="s">
        <v>1521</v>
      </c>
      <c r="M16">
        <v>25000</v>
      </c>
      <c r="N16">
        <v>45</v>
      </c>
      <c r="O16">
        <v>15.6</v>
      </c>
      <c r="P16">
        <v>1000</v>
      </c>
      <c r="Q16" t="s">
        <v>1639</v>
      </c>
      <c r="R16" t="s">
        <v>47</v>
      </c>
      <c r="S16" t="s">
        <v>1533</v>
      </c>
    </row>
    <row r="17" spans="1:19" x14ac:dyDescent="0.25">
      <c r="A17" t="s">
        <v>1640</v>
      </c>
      <c r="B17" t="s">
        <v>1641</v>
      </c>
      <c r="C17" t="s">
        <v>1642</v>
      </c>
      <c r="D17" t="s">
        <v>81</v>
      </c>
      <c r="E17" t="s">
        <v>1643</v>
      </c>
      <c r="F17" t="s">
        <v>1644</v>
      </c>
      <c r="G17" t="s">
        <v>1645</v>
      </c>
      <c r="H17" t="s">
        <v>1646</v>
      </c>
      <c r="I17" t="s">
        <v>1647</v>
      </c>
      <c r="J17" t="s">
        <v>1648</v>
      </c>
      <c r="K17" t="s">
        <v>1153</v>
      </c>
      <c r="L17" t="s">
        <v>1521</v>
      </c>
      <c r="M17">
        <v>5000</v>
      </c>
      <c r="N17">
        <v>0</v>
      </c>
      <c r="O17">
        <v>1.3</v>
      </c>
      <c r="P17">
        <v>5000</v>
      </c>
      <c r="Q17" t="s">
        <v>1649</v>
      </c>
      <c r="R17" t="s">
        <v>33</v>
      </c>
      <c r="S17" t="s">
        <v>1553</v>
      </c>
    </row>
    <row r="18" spans="1:19" x14ac:dyDescent="0.25">
      <c r="A18" t="s">
        <v>1650</v>
      </c>
      <c r="B18" t="s">
        <v>1651</v>
      </c>
      <c r="C18" t="s">
        <v>1652</v>
      </c>
      <c r="D18" t="s">
        <v>1569</v>
      </c>
      <c r="E18" t="s">
        <v>1570</v>
      </c>
      <c r="F18" t="s">
        <v>1653</v>
      </c>
      <c r="G18" t="s">
        <v>1654</v>
      </c>
      <c r="H18" t="s">
        <v>1655</v>
      </c>
      <c r="I18" t="s">
        <v>1656</v>
      </c>
      <c r="J18" t="s">
        <v>1657</v>
      </c>
      <c r="K18" t="s">
        <v>1499</v>
      </c>
      <c r="L18" t="s">
        <v>1486</v>
      </c>
      <c r="M18">
        <v>10000</v>
      </c>
      <c r="N18">
        <v>90</v>
      </c>
      <c r="O18">
        <v>5.7</v>
      </c>
      <c r="P18">
        <v>50000</v>
      </c>
      <c r="Q18" t="s">
        <v>1658</v>
      </c>
      <c r="R18" t="s">
        <v>33</v>
      </c>
      <c r="S18" t="s">
        <v>1488</v>
      </c>
    </row>
    <row r="19" spans="1:19" x14ac:dyDescent="0.25">
      <c r="A19" t="s">
        <v>1659</v>
      </c>
      <c r="B19" t="s">
        <v>1660</v>
      </c>
      <c r="C19" t="s">
        <v>1661</v>
      </c>
      <c r="D19" t="s">
        <v>81</v>
      </c>
      <c r="E19" t="s">
        <v>1643</v>
      </c>
      <c r="F19" t="s">
        <v>1662</v>
      </c>
      <c r="G19" t="s">
        <v>1663</v>
      </c>
      <c r="H19" t="s">
        <v>1664</v>
      </c>
      <c r="I19" t="s">
        <v>1665</v>
      </c>
      <c r="J19" t="s">
        <v>1666</v>
      </c>
      <c r="K19" t="s">
        <v>1485</v>
      </c>
      <c r="L19" t="s">
        <v>1542</v>
      </c>
      <c r="M19">
        <v>250000</v>
      </c>
      <c r="N19">
        <v>60</v>
      </c>
      <c r="O19">
        <v>3.5</v>
      </c>
      <c r="P19">
        <v>10000</v>
      </c>
      <c r="Q19" t="s">
        <v>1667</v>
      </c>
      <c r="R19" t="s">
        <v>1628</v>
      </c>
      <c r="S19" t="s">
        <v>1488</v>
      </c>
    </row>
    <row r="20" spans="1:19" x14ac:dyDescent="0.25">
      <c r="A20" t="s">
        <v>1668</v>
      </c>
      <c r="B20" t="s">
        <v>1669</v>
      </c>
      <c r="C20" t="s">
        <v>1670</v>
      </c>
      <c r="D20" t="s">
        <v>1557</v>
      </c>
      <c r="E20" t="s">
        <v>1558</v>
      </c>
      <c r="F20" t="s">
        <v>1671</v>
      </c>
      <c r="G20" t="s">
        <v>1672</v>
      </c>
      <c r="H20" t="s">
        <v>1673</v>
      </c>
      <c r="I20" t="s">
        <v>1674</v>
      </c>
      <c r="J20" t="s">
        <v>1675</v>
      </c>
      <c r="K20" t="s">
        <v>1261</v>
      </c>
      <c r="L20" t="s">
        <v>1676</v>
      </c>
      <c r="M20">
        <v>50000</v>
      </c>
      <c r="N20">
        <v>30</v>
      </c>
      <c r="O20">
        <v>3.1</v>
      </c>
      <c r="P20">
        <v>100</v>
      </c>
      <c r="Q20" t="s">
        <v>1677</v>
      </c>
      <c r="R20" t="s">
        <v>33</v>
      </c>
      <c r="S20" t="s">
        <v>1589</v>
      </c>
    </row>
    <row r="21" spans="1:19" x14ac:dyDescent="0.25">
      <c r="A21" t="s">
        <v>1678</v>
      </c>
      <c r="B21" t="s">
        <v>1679</v>
      </c>
      <c r="C21" t="s">
        <v>1680</v>
      </c>
      <c r="D21" t="s">
        <v>1492</v>
      </c>
      <c r="E21" t="s">
        <v>1493</v>
      </c>
      <c r="F21" t="s">
        <v>1681</v>
      </c>
      <c r="G21" t="s">
        <v>1682</v>
      </c>
      <c r="H21" t="s">
        <v>1683</v>
      </c>
      <c r="I21" t="s">
        <v>1684</v>
      </c>
      <c r="J21" t="s">
        <v>1685</v>
      </c>
      <c r="K21" t="s">
        <v>1520</v>
      </c>
      <c r="L21" t="s">
        <v>1576</v>
      </c>
      <c r="M21">
        <v>100000</v>
      </c>
      <c r="N21">
        <v>15</v>
      </c>
      <c r="O21">
        <v>15.9</v>
      </c>
      <c r="P21">
        <v>10000</v>
      </c>
      <c r="Q21" t="s">
        <v>1686</v>
      </c>
      <c r="R21" t="s">
        <v>33</v>
      </c>
      <c r="S21" t="s">
        <v>1533</v>
      </c>
    </row>
    <row r="22" spans="1:19" x14ac:dyDescent="0.25">
      <c r="A22" t="s">
        <v>1687</v>
      </c>
      <c r="B22" t="s">
        <v>1688</v>
      </c>
      <c r="C22" t="s">
        <v>1689</v>
      </c>
      <c r="D22" t="s">
        <v>1557</v>
      </c>
      <c r="E22" t="s">
        <v>1558</v>
      </c>
      <c r="F22" t="s">
        <v>1690</v>
      </c>
      <c r="G22" t="s">
        <v>1691</v>
      </c>
      <c r="H22" t="s">
        <v>1692</v>
      </c>
      <c r="I22" t="s">
        <v>1693</v>
      </c>
      <c r="J22" t="s">
        <v>1694</v>
      </c>
      <c r="K22" t="s">
        <v>1520</v>
      </c>
      <c r="L22" t="s">
        <v>1576</v>
      </c>
      <c r="M22">
        <v>5000</v>
      </c>
      <c r="N22">
        <v>45</v>
      </c>
      <c r="O22">
        <v>12.5</v>
      </c>
      <c r="P22">
        <v>10000</v>
      </c>
      <c r="Q22" t="s">
        <v>1695</v>
      </c>
      <c r="R22" t="s">
        <v>33</v>
      </c>
      <c r="S22" t="s">
        <v>1589</v>
      </c>
    </row>
    <row r="23" spans="1:19" x14ac:dyDescent="0.25">
      <c r="A23" t="s">
        <v>1696</v>
      </c>
      <c r="B23" t="s">
        <v>1697</v>
      </c>
      <c r="C23" t="s">
        <v>1698</v>
      </c>
      <c r="D23" t="s">
        <v>1557</v>
      </c>
      <c r="E23" t="s">
        <v>1558</v>
      </c>
      <c r="F23" t="s">
        <v>1699</v>
      </c>
      <c r="G23" t="s">
        <v>1700</v>
      </c>
      <c r="H23" t="s">
        <v>1701</v>
      </c>
      <c r="I23" t="s">
        <v>1702</v>
      </c>
      <c r="J23" t="s">
        <v>1703</v>
      </c>
      <c r="K23" t="s">
        <v>1261</v>
      </c>
      <c r="L23" t="s">
        <v>1509</v>
      </c>
      <c r="M23">
        <v>25000</v>
      </c>
      <c r="N23">
        <v>90</v>
      </c>
      <c r="O23">
        <v>12.5</v>
      </c>
      <c r="P23">
        <v>500</v>
      </c>
      <c r="Q23" t="s">
        <v>1704</v>
      </c>
      <c r="R23" t="s">
        <v>33</v>
      </c>
      <c r="S23" t="s">
        <v>1523</v>
      </c>
    </row>
    <row r="24" spans="1:19" x14ac:dyDescent="0.25">
      <c r="A24" t="s">
        <v>1705</v>
      </c>
      <c r="B24" t="s">
        <v>1706</v>
      </c>
      <c r="C24" t="s">
        <v>1707</v>
      </c>
      <c r="D24" t="s">
        <v>100</v>
      </c>
      <c r="E24" t="s">
        <v>1514</v>
      </c>
      <c r="F24" t="s">
        <v>1708</v>
      </c>
      <c r="G24" t="s">
        <v>1709</v>
      </c>
      <c r="H24" t="s">
        <v>1710</v>
      </c>
      <c r="I24" t="s">
        <v>1711</v>
      </c>
      <c r="J24" t="s">
        <v>1597</v>
      </c>
      <c r="K24" t="s">
        <v>1499</v>
      </c>
      <c r="L24" t="s">
        <v>1486</v>
      </c>
      <c r="M24">
        <v>5000</v>
      </c>
      <c r="N24">
        <v>15</v>
      </c>
      <c r="O24">
        <v>0.3</v>
      </c>
      <c r="P24">
        <v>500</v>
      </c>
      <c r="Q24" t="s">
        <v>1712</v>
      </c>
      <c r="R24" t="s">
        <v>1628</v>
      </c>
      <c r="S24" t="s">
        <v>1589</v>
      </c>
    </row>
    <row r="25" spans="1:19" x14ac:dyDescent="0.25">
      <c r="A25" t="s">
        <v>1713</v>
      </c>
      <c r="B25" t="s">
        <v>1714</v>
      </c>
      <c r="C25" t="s">
        <v>1715</v>
      </c>
      <c r="D25" t="s">
        <v>1581</v>
      </c>
      <c r="E25" t="s">
        <v>1582</v>
      </c>
      <c r="F25" t="s">
        <v>1716</v>
      </c>
      <c r="G25" t="s">
        <v>1717</v>
      </c>
      <c r="H25" t="s">
        <v>1718</v>
      </c>
      <c r="I25" t="s">
        <v>1719</v>
      </c>
      <c r="J25" t="s">
        <v>1720</v>
      </c>
      <c r="K25" t="s">
        <v>1261</v>
      </c>
      <c r="L25" t="s">
        <v>1521</v>
      </c>
      <c r="M25">
        <v>5000</v>
      </c>
      <c r="N25">
        <v>60</v>
      </c>
      <c r="O25">
        <v>9.4</v>
      </c>
      <c r="P25">
        <v>500</v>
      </c>
      <c r="Q25" t="s">
        <v>1721</v>
      </c>
      <c r="R25" t="s">
        <v>33</v>
      </c>
      <c r="S25" t="s">
        <v>1533</v>
      </c>
    </row>
    <row r="26" spans="1:19" x14ac:dyDescent="0.25">
      <c r="A26" t="s">
        <v>1722</v>
      </c>
      <c r="B26" t="s">
        <v>1723</v>
      </c>
      <c r="C26" t="s">
        <v>1724</v>
      </c>
      <c r="D26" t="s">
        <v>100</v>
      </c>
      <c r="E26" t="s">
        <v>1514</v>
      </c>
      <c r="F26" t="s">
        <v>1725</v>
      </c>
      <c r="G26" t="s">
        <v>1726</v>
      </c>
      <c r="H26" t="s">
        <v>1727</v>
      </c>
      <c r="I26" t="s">
        <v>1728</v>
      </c>
      <c r="J26" t="s">
        <v>1729</v>
      </c>
      <c r="K26" t="s">
        <v>1485</v>
      </c>
      <c r="L26" t="s">
        <v>1564</v>
      </c>
      <c r="M26">
        <v>100000</v>
      </c>
      <c r="N26">
        <v>90</v>
      </c>
      <c r="O26">
        <v>19.600000000000001</v>
      </c>
      <c r="P26">
        <v>5000</v>
      </c>
      <c r="Q26" t="s">
        <v>1730</v>
      </c>
      <c r="R26" t="s">
        <v>33</v>
      </c>
      <c r="S26" t="s">
        <v>1589</v>
      </c>
    </row>
    <row r="27" spans="1:19" x14ac:dyDescent="0.25">
      <c r="A27" t="s">
        <v>1731</v>
      </c>
      <c r="B27" t="s">
        <v>1732</v>
      </c>
      <c r="C27" t="s">
        <v>1733</v>
      </c>
      <c r="D27" t="s">
        <v>81</v>
      </c>
      <c r="E27" t="s">
        <v>1643</v>
      </c>
      <c r="F27" t="s">
        <v>1734</v>
      </c>
      <c r="G27" t="s">
        <v>1735</v>
      </c>
      <c r="H27" t="s">
        <v>1736</v>
      </c>
      <c r="I27" t="s">
        <v>1737</v>
      </c>
      <c r="J27" t="s">
        <v>1519</v>
      </c>
      <c r="K27" t="s">
        <v>1485</v>
      </c>
      <c r="L27" t="s">
        <v>1500</v>
      </c>
      <c r="M27">
        <v>250000</v>
      </c>
      <c r="N27">
        <v>15</v>
      </c>
      <c r="O27">
        <v>19.5</v>
      </c>
      <c r="P27">
        <v>500</v>
      </c>
      <c r="Q27" t="s">
        <v>1738</v>
      </c>
      <c r="R27" t="s">
        <v>1628</v>
      </c>
      <c r="S27" t="s">
        <v>1589</v>
      </c>
    </row>
    <row r="28" spans="1:19" x14ac:dyDescent="0.25">
      <c r="A28" t="s">
        <v>1739</v>
      </c>
      <c r="B28" t="s">
        <v>1740</v>
      </c>
      <c r="C28" t="s">
        <v>1741</v>
      </c>
      <c r="D28" t="s">
        <v>100</v>
      </c>
      <c r="E28" t="s">
        <v>1514</v>
      </c>
      <c r="F28" t="s">
        <v>1742</v>
      </c>
      <c r="G28" t="s">
        <v>1743</v>
      </c>
      <c r="H28" t="s">
        <v>1744</v>
      </c>
      <c r="I28" t="s">
        <v>1745</v>
      </c>
      <c r="J28" t="s">
        <v>1746</v>
      </c>
      <c r="K28" t="s">
        <v>1153</v>
      </c>
      <c r="L28" t="s">
        <v>1509</v>
      </c>
      <c r="M28">
        <v>250000</v>
      </c>
      <c r="N28">
        <v>60</v>
      </c>
      <c r="O28">
        <v>3.1</v>
      </c>
      <c r="P28">
        <v>100</v>
      </c>
      <c r="Q28" t="s">
        <v>1747</v>
      </c>
      <c r="R28" t="s">
        <v>33</v>
      </c>
      <c r="S28" t="s">
        <v>1533</v>
      </c>
    </row>
    <row r="29" spans="1:19" x14ac:dyDescent="0.25">
      <c r="A29" t="s">
        <v>1748</v>
      </c>
      <c r="B29" t="s">
        <v>1749</v>
      </c>
      <c r="C29" t="s">
        <v>1750</v>
      </c>
      <c r="D29" t="s">
        <v>1632</v>
      </c>
      <c r="E29" t="s">
        <v>1633</v>
      </c>
      <c r="F29" t="s">
        <v>1751</v>
      </c>
      <c r="G29" t="s">
        <v>1752</v>
      </c>
      <c r="H29" t="s">
        <v>1753</v>
      </c>
      <c r="I29" t="s">
        <v>1754</v>
      </c>
      <c r="J29" t="s">
        <v>1755</v>
      </c>
      <c r="K29" t="s">
        <v>1499</v>
      </c>
      <c r="L29" t="s">
        <v>1542</v>
      </c>
      <c r="M29">
        <v>50000</v>
      </c>
      <c r="N29">
        <v>15</v>
      </c>
      <c r="O29">
        <v>6.3</v>
      </c>
      <c r="P29">
        <v>10000</v>
      </c>
      <c r="Q29" t="s">
        <v>1756</v>
      </c>
      <c r="R29" t="s">
        <v>1241</v>
      </c>
      <c r="S29" t="s">
        <v>1533</v>
      </c>
    </row>
    <row r="30" spans="1:19" x14ac:dyDescent="0.25">
      <c r="A30" t="s">
        <v>1757</v>
      </c>
      <c r="B30" t="s">
        <v>1758</v>
      </c>
      <c r="C30" t="s">
        <v>1759</v>
      </c>
      <c r="D30" t="s">
        <v>1478</v>
      </c>
      <c r="E30" t="s">
        <v>1479</v>
      </c>
      <c r="F30" t="s">
        <v>1760</v>
      </c>
      <c r="G30" t="s">
        <v>1761</v>
      </c>
      <c r="H30" t="s">
        <v>1762</v>
      </c>
      <c r="I30" t="s">
        <v>1763</v>
      </c>
      <c r="J30" t="s">
        <v>1764</v>
      </c>
      <c r="K30" t="s">
        <v>1485</v>
      </c>
      <c r="L30" t="s">
        <v>1576</v>
      </c>
      <c r="M30">
        <v>100000</v>
      </c>
      <c r="N30">
        <v>90</v>
      </c>
      <c r="O30">
        <v>9.8000000000000007</v>
      </c>
      <c r="P30">
        <v>10000</v>
      </c>
      <c r="Q30" t="s">
        <v>1765</v>
      </c>
      <c r="R30" t="s">
        <v>1241</v>
      </c>
      <c r="S30" t="s">
        <v>1589</v>
      </c>
    </row>
    <row r="31" spans="1:19" x14ac:dyDescent="0.25">
      <c r="A31" t="s">
        <v>1766</v>
      </c>
      <c r="B31" t="s">
        <v>1767</v>
      </c>
      <c r="C31" t="s">
        <v>1768</v>
      </c>
      <c r="D31" t="s">
        <v>1581</v>
      </c>
      <c r="E31" t="s">
        <v>1582</v>
      </c>
      <c r="F31" t="s">
        <v>1769</v>
      </c>
      <c r="G31" t="s">
        <v>1770</v>
      </c>
      <c r="H31" t="s">
        <v>1771</v>
      </c>
      <c r="I31" t="s">
        <v>1772</v>
      </c>
      <c r="J31" t="s">
        <v>1773</v>
      </c>
      <c r="K31" t="s">
        <v>1261</v>
      </c>
      <c r="L31" t="s">
        <v>1676</v>
      </c>
      <c r="M31">
        <v>50000</v>
      </c>
      <c r="N31">
        <v>0</v>
      </c>
      <c r="O31">
        <v>15.5</v>
      </c>
      <c r="P31">
        <v>10000</v>
      </c>
      <c r="Q31" t="s">
        <v>1774</v>
      </c>
      <c r="R31" t="s">
        <v>33</v>
      </c>
      <c r="S31" t="s">
        <v>1553</v>
      </c>
    </row>
    <row r="32" spans="1:19" x14ac:dyDescent="0.25">
      <c r="A32" t="s">
        <v>1775</v>
      </c>
      <c r="B32" t="s">
        <v>1776</v>
      </c>
      <c r="C32" t="s">
        <v>1777</v>
      </c>
      <c r="D32" t="s">
        <v>1778</v>
      </c>
      <c r="E32" t="s">
        <v>1779</v>
      </c>
      <c r="F32" t="s">
        <v>1780</v>
      </c>
      <c r="G32" t="s">
        <v>1781</v>
      </c>
      <c r="H32" t="s">
        <v>1782</v>
      </c>
      <c r="I32" t="s">
        <v>1783</v>
      </c>
      <c r="J32" t="s">
        <v>1784</v>
      </c>
      <c r="K32" t="s">
        <v>1261</v>
      </c>
      <c r="L32" t="s">
        <v>1509</v>
      </c>
      <c r="M32">
        <v>100000</v>
      </c>
      <c r="N32">
        <v>15</v>
      </c>
      <c r="O32">
        <v>12.3</v>
      </c>
      <c r="P32">
        <v>1000</v>
      </c>
      <c r="Q32" t="s">
        <v>1785</v>
      </c>
      <c r="R32" t="s">
        <v>1241</v>
      </c>
      <c r="S32" t="s">
        <v>1553</v>
      </c>
    </row>
    <row r="33" spans="1:19" x14ac:dyDescent="0.25">
      <c r="A33" t="s">
        <v>1786</v>
      </c>
      <c r="B33" t="s">
        <v>1787</v>
      </c>
      <c r="C33" t="s">
        <v>1788</v>
      </c>
      <c r="D33" t="s">
        <v>1632</v>
      </c>
      <c r="E33" t="s">
        <v>1633</v>
      </c>
      <c r="F33" t="s">
        <v>1789</v>
      </c>
      <c r="G33" t="s">
        <v>1790</v>
      </c>
      <c r="H33" t="s">
        <v>1791</v>
      </c>
      <c r="I33" t="s">
        <v>1792</v>
      </c>
      <c r="J33" t="s">
        <v>1793</v>
      </c>
      <c r="K33" t="s">
        <v>1499</v>
      </c>
      <c r="L33" t="s">
        <v>1509</v>
      </c>
      <c r="M33">
        <v>10000</v>
      </c>
      <c r="N33">
        <v>0</v>
      </c>
      <c r="O33">
        <v>0.6</v>
      </c>
      <c r="P33">
        <v>50000</v>
      </c>
      <c r="Q33" t="s">
        <v>1794</v>
      </c>
      <c r="R33" t="s">
        <v>1628</v>
      </c>
      <c r="S33" t="s">
        <v>1533</v>
      </c>
    </row>
    <row r="34" spans="1:19" x14ac:dyDescent="0.25">
      <c r="A34" t="s">
        <v>1795</v>
      </c>
      <c r="B34" t="s">
        <v>1796</v>
      </c>
      <c r="C34" t="s">
        <v>1797</v>
      </c>
      <c r="D34" t="s">
        <v>1557</v>
      </c>
      <c r="E34" t="s">
        <v>1558</v>
      </c>
      <c r="F34" t="s">
        <v>1798</v>
      </c>
      <c r="G34" t="s">
        <v>1799</v>
      </c>
      <c r="H34" t="s">
        <v>1800</v>
      </c>
      <c r="I34" t="s">
        <v>1801</v>
      </c>
      <c r="J34" t="s">
        <v>1606</v>
      </c>
      <c r="K34" t="s">
        <v>1499</v>
      </c>
      <c r="L34" t="s">
        <v>1509</v>
      </c>
      <c r="M34">
        <v>5000</v>
      </c>
      <c r="N34">
        <v>45</v>
      </c>
      <c r="O34">
        <v>16</v>
      </c>
      <c r="P34">
        <v>100</v>
      </c>
      <c r="Q34" t="s">
        <v>1802</v>
      </c>
      <c r="R34" t="s">
        <v>1628</v>
      </c>
      <c r="S34" t="s">
        <v>1589</v>
      </c>
    </row>
    <row r="35" spans="1:19" x14ac:dyDescent="0.25">
      <c r="A35" t="s">
        <v>1803</v>
      </c>
      <c r="B35" t="s">
        <v>1804</v>
      </c>
      <c r="C35" t="s">
        <v>1805</v>
      </c>
      <c r="D35" t="s">
        <v>100</v>
      </c>
      <c r="E35" t="s">
        <v>1514</v>
      </c>
      <c r="F35" t="s">
        <v>1806</v>
      </c>
      <c r="G35" t="s">
        <v>1807</v>
      </c>
      <c r="H35" t="s">
        <v>1808</v>
      </c>
      <c r="I35" t="s">
        <v>1809</v>
      </c>
      <c r="J35" t="s">
        <v>1810</v>
      </c>
      <c r="K35" t="s">
        <v>1499</v>
      </c>
      <c r="L35" t="s">
        <v>1564</v>
      </c>
      <c r="M35">
        <v>5000</v>
      </c>
      <c r="N35">
        <v>90</v>
      </c>
      <c r="O35">
        <v>4.5999999999999996</v>
      </c>
      <c r="P35">
        <v>5000</v>
      </c>
      <c r="Q35" t="s">
        <v>1811</v>
      </c>
      <c r="R35" t="s">
        <v>33</v>
      </c>
      <c r="S35" t="s">
        <v>1488</v>
      </c>
    </row>
    <row r="36" spans="1:19" x14ac:dyDescent="0.25">
      <c r="A36" t="s">
        <v>1812</v>
      </c>
      <c r="B36" t="s">
        <v>1813</v>
      </c>
      <c r="C36" t="s">
        <v>1814</v>
      </c>
      <c r="D36" t="s">
        <v>1478</v>
      </c>
      <c r="E36" t="s">
        <v>1479</v>
      </c>
      <c r="F36" t="s">
        <v>1815</v>
      </c>
      <c r="G36" t="s">
        <v>1816</v>
      </c>
      <c r="H36" t="s">
        <v>1817</v>
      </c>
      <c r="I36" t="s">
        <v>1818</v>
      </c>
      <c r="J36" t="s">
        <v>1541</v>
      </c>
      <c r="K36" t="s">
        <v>1499</v>
      </c>
      <c r="L36" t="s">
        <v>1509</v>
      </c>
      <c r="M36">
        <v>250000</v>
      </c>
      <c r="N36">
        <v>90</v>
      </c>
      <c r="O36">
        <v>8.5</v>
      </c>
      <c r="P36">
        <v>100</v>
      </c>
      <c r="Q36" t="s">
        <v>1819</v>
      </c>
      <c r="R36" t="s">
        <v>33</v>
      </c>
      <c r="S36" t="s">
        <v>1488</v>
      </c>
    </row>
    <row r="37" spans="1:19" x14ac:dyDescent="0.25">
      <c r="A37" t="s">
        <v>1820</v>
      </c>
      <c r="B37" t="s">
        <v>1821</v>
      </c>
      <c r="C37" t="s">
        <v>1822</v>
      </c>
      <c r="D37" t="s">
        <v>1569</v>
      </c>
      <c r="E37" t="s">
        <v>1570</v>
      </c>
      <c r="F37" t="s">
        <v>1823</v>
      </c>
      <c r="G37" t="s">
        <v>1824</v>
      </c>
      <c r="H37" t="s">
        <v>1825</v>
      </c>
      <c r="I37" t="s">
        <v>1826</v>
      </c>
      <c r="J37" t="s">
        <v>1827</v>
      </c>
      <c r="K37" t="s">
        <v>1499</v>
      </c>
      <c r="L37" t="s">
        <v>1676</v>
      </c>
      <c r="M37">
        <v>25000</v>
      </c>
      <c r="N37">
        <v>45</v>
      </c>
      <c r="O37">
        <v>15.3</v>
      </c>
      <c r="P37">
        <v>5000</v>
      </c>
      <c r="Q37" t="s">
        <v>1828</v>
      </c>
      <c r="R37" t="s">
        <v>1241</v>
      </c>
      <c r="S37" t="s">
        <v>1488</v>
      </c>
    </row>
    <row r="38" spans="1:19" x14ac:dyDescent="0.25">
      <c r="A38" t="s">
        <v>1829</v>
      </c>
      <c r="B38" t="s">
        <v>1830</v>
      </c>
      <c r="C38" t="s">
        <v>1831</v>
      </c>
      <c r="D38" t="s">
        <v>1478</v>
      </c>
      <c r="E38" t="s">
        <v>1479</v>
      </c>
      <c r="F38" t="s">
        <v>1832</v>
      </c>
      <c r="G38" t="s">
        <v>1833</v>
      </c>
      <c r="H38" t="s">
        <v>1834</v>
      </c>
      <c r="I38" t="s">
        <v>1835</v>
      </c>
      <c r="J38" t="s">
        <v>1836</v>
      </c>
      <c r="K38" t="s">
        <v>1499</v>
      </c>
      <c r="L38" t="s">
        <v>1509</v>
      </c>
      <c r="M38">
        <v>50000</v>
      </c>
      <c r="N38">
        <v>0</v>
      </c>
      <c r="O38">
        <v>14.5</v>
      </c>
      <c r="P38">
        <v>1000</v>
      </c>
      <c r="Q38" t="s">
        <v>1837</v>
      </c>
      <c r="R38" t="s">
        <v>33</v>
      </c>
      <c r="S38" t="s">
        <v>1488</v>
      </c>
    </row>
    <row r="39" spans="1:19" x14ac:dyDescent="0.25">
      <c r="A39" t="s">
        <v>1838</v>
      </c>
      <c r="B39" t="s">
        <v>1839</v>
      </c>
      <c r="C39" t="s">
        <v>1840</v>
      </c>
      <c r="D39" t="s">
        <v>81</v>
      </c>
      <c r="E39" t="s">
        <v>1643</v>
      </c>
      <c r="F39" t="s">
        <v>1841</v>
      </c>
      <c r="G39" t="s">
        <v>1842</v>
      </c>
      <c r="H39" t="s">
        <v>1843</v>
      </c>
      <c r="I39" t="s">
        <v>1844</v>
      </c>
      <c r="J39" t="s">
        <v>1720</v>
      </c>
      <c r="K39" t="s">
        <v>1261</v>
      </c>
      <c r="L39" t="s">
        <v>1542</v>
      </c>
      <c r="M39">
        <v>5000</v>
      </c>
      <c r="N39">
        <v>0</v>
      </c>
      <c r="O39">
        <v>9.1999999999999993</v>
      </c>
      <c r="P39">
        <v>500</v>
      </c>
      <c r="Q39" t="s">
        <v>1845</v>
      </c>
      <c r="R39" t="s">
        <v>33</v>
      </c>
      <c r="S39" t="s">
        <v>1589</v>
      </c>
    </row>
    <row r="40" spans="1:19" x14ac:dyDescent="0.25">
      <c r="A40" t="s">
        <v>1846</v>
      </c>
      <c r="B40" t="s">
        <v>1847</v>
      </c>
      <c r="C40" t="s">
        <v>1848</v>
      </c>
      <c r="D40" t="s">
        <v>1778</v>
      </c>
      <c r="E40" t="s">
        <v>1779</v>
      </c>
      <c r="F40" t="s">
        <v>1849</v>
      </c>
      <c r="G40" t="s">
        <v>1850</v>
      </c>
      <c r="H40" t="s">
        <v>1851</v>
      </c>
      <c r="I40" t="s">
        <v>1852</v>
      </c>
      <c r="J40" t="s">
        <v>1853</v>
      </c>
      <c r="K40" t="s">
        <v>1153</v>
      </c>
      <c r="L40" t="s">
        <v>1564</v>
      </c>
      <c r="M40">
        <v>250000</v>
      </c>
      <c r="N40">
        <v>30</v>
      </c>
      <c r="O40">
        <v>15.9</v>
      </c>
      <c r="P40">
        <v>500</v>
      </c>
      <c r="Q40" t="s">
        <v>1854</v>
      </c>
      <c r="R40" t="s">
        <v>33</v>
      </c>
      <c r="S40" t="s">
        <v>1488</v>
      </c>
    </row>
    <row r="41" spans="1:19" x14ac:dyDescent="0.25">
      <c r="A41" t="s">
        <v>1855</v>
      </c>
      <c r="B41" t="s">
        <v>1856</v>
      </c>
      <c r="C41" t="s">
        <v>1857</v>
      </c>
      <c r="D41" t="s">
        <v>1492</v>
      </c>
      <c r="E41" t="s">
        <v>1493</v>
      </c>
      <c r="F41" t="s">
        <v>1858</v>
      </c>
      <c r="G41" t="s">
        <v>1859</v>
      </c>
      <c r="H41" t="s">
        <v>1860</v>
      </c>
      <c r="I41" t="s">
        <v>1861</v>
      </c>
      <c r="J41" t="s">
        <v>1862</v>
      </c>
      <c r="K41" t="s">
        <v>1485</v>
      </c>
      <c r="L41" t="s">
        <v>1521</v>
      </c>
      <c r="M41">
        <v>5000</v>
      </c>
      <c r="N41">
        <v>15</v>
      </c>
      <c r="O41">
        <v>15</v>
      </c>
      <c r="P41">
        <v>10000</v>
      </c>
      <c r="Q41" t="s">
        <v>1863</v>
      </c>
      <c r="R41" t="s">
        <v>33</v>
      </c>
      <c r="S41" t="s">
        <v>1533</v>
      </c>
    </row>
    <row r="42" spans="1:19" x14ac:dyDescent="0.25">
      <c r="A42" t="s">
        <v>1864</v>
      </c>
      <c r="B42" t="s">
        <v>1865</v>
      </c>
      <c r="C42" t="s">
        <v>1866</v>
      </c>
      <c r="D42" t="s">
        <v>100</v>
      </c>
      <c r="E42" t="s">
        <v>1514</v>
      </c>
      <c r="F42" t="s">
        <v>1867</v>
      </c>
      <c r="G42" t="s">
        <v>1868</v>
      </c>
      <c r="H42" t="s">
        <v>1869</v>
      </c>
      <c r="I42" t="s">
        <v>1870</v>
      </c>
      <c r="J42" t="s">
        <v>1827</v>
      </c>
      <c r="K42" t="s">
        <v>1261</v>
      </c>
      <c r="L42" t="s">
        <v>1486</v>
      </c>
      <c r="M42">
        <v>10000</v>
      </c>
      <c r="N42">
        <v>0</v>
      </c>
      <c r="O42">
        <v>13.5</v>
      </c>
      <c r="P42">
        <v>5000</v>
      </c>
      <c r="Q42" t="s">
        <v>1871</v>
      </c>
      <c r="R42" t="s">
        <v>47</v>
      </c>
      <c r="S42" t="s">
        <v>1488</v>
      </c>
    </row>
    <row r="43" spans="1:19" x14ac:dyDescent="0.25">
      <c r="A43" t="s">
        <v>1872</v>
      </c>
      <c r="B43" t="s">
        <v>1873</v>
      </c>
      <c r="C43" t="s">
        <v>1874</v>
      </c>
      <c r="D43" t="s">
        <v>1778</v>
      </c>
      <c r="E43" t="s">
        <v>1779</v>
      </c>
      <c r="F43" t="s">
        <v>1875</v>
      </c>
      <c r="G43" t="s">
        <v>1876</v>
      </c>
      <c r="H43" t="s">
        <v>1877</v>
      </c>
      <c r="I43" t="s">
        <v>1878</v>
      </c>
      <c r="J43" t="s">
        <v>1879</v>
      </c>
      <c r="K43" t="s">
        <v>1499</v>
      </c>
      <c r="L43" t="s">
        <v>1676</v>
      </c>
      <c r="M43">
        <v>5000</v>
      </c>
      <c r="N43">
        <v>45</v>
      </c>
      <c r="O43">
        <v>11.4</v>
      </c>
      <c r="P43">
        <v>100</v>
      </c>
      <c r="Q43" t="s">
        <v>1880</v>
      </c>
      <c r="R43" t="s">
        <v>1628</v>
      </c>
      <c r="S43" t="s">
        <v>1589</v>
      </c>
    </row>
    <row r="44" spans="1:19" x14ac:dyDescent="0.25">
      <c r="A44" t="s">
        <v>1881</v>
      </c>
      <c r="B44" t="s">
        <v>1882</v>
      </c>
      <c r="C44" t="s">
        <v>1883</v>
      </c>
      <c r="D44" t="s">
        <v>1632</v>
      </c>
      <c r="E44" t="s">
        <v>1633</v>
      </c>
      <c r="F44" t="s">
        <v>1884</v>
      </c>
      <c r="G44" t="s">
        <v>1885</v>
      </c>
      <c r="H44" t="s">
        <v>1886</v>
      </c>
      <c r="I44" t="s">
        <v>1887</v>
      </c>
      <c r="J44" t="s">
        <v>1888</v>
      </c>
      <c r="K44" t="s">
        <v>1520</v>
      </c>
      <c r="L44" t="s">
        <v>1509</v>
      </c>
      <c r="M44">
        <v>50000</v>
      </c>
      <c r="N44">
        <v>90</v>
      </c>
      <c r="O44">
        <v>11.4</v>
      </c>
      <c r="P44">
        <v>10000</v>
      </c>
      <c r="Q44" t="s">
        <v>1889</v>
      </c>
      <c r="R44" t="s">
        <v>33</v>
      </c>
      <c r="S44" t="s">
        <v>1523</v>
      </c>
    </row>
    <row r="45" spans="1:19" x14ac:dyDescent="0.25">
      <c r="A45" t="s">
        <v>1890</v>
      </c>
      <c r="B45" t="s">
        <v>1891</v>
      </c>
      <c r="C45" t="s">
        <v>1892</v>
      </c>
      <c r="D45" t="s">
        <v>1632</v>
      </c>
      <c r="E45" t="s">
        <v>1633</v>
      </c>
      <c r="F45" t="s">
        <v>1893</v>
      </c>
      <c r="G45" t="s">
        <v>1894</v>
      </c>
      <c r="H45" t="s">
        <v>1895</v>
      </c>
      <c r="I45" t="s">
        <v>1896</v>
      </c>
      <c r="J45" t="s">
        <v>1897</v>
      </c>
      <c r="K45" t="s">
        <v>1261</v>
      </c>
      <c r="L45" t="s">
        <v>1676</v>
      </c>
      <c r="M45">
        <v>25000</v>
      </c>
      <c r="N45">
        <v>15</v>
      </c>
      <c r="O45">
        <v>6.4</v>
      </c>
      <c r="P45">
        <v>10000</v>
      </c>
      <c r="Q45" t="s">
        <v>1898</v>
      </c>
      <c r="R45" t="s">
        <v>33</v>
      </c>
      <c r="S45" t="s">
        <v>1589</v>
      </c>
    </row>
    <row r="46" spans="1:19" x14ac:dyDescent="0.25">
      <c r="A46" t="s">
        <v>1899</v>
      </c>
      <c r="B46" t="s">
        <v>1900</v>
      </c>
      <c r="C46" t="s">
        <v>1901</v>
      </c>
      <c r="D46" t="s">
        <v>81</v>
      </c>
      <c r="E46" t="s">
        <v>1643</v>
      </c>
      <c r="F46" t="s">
        <v>1902</v>
      </c>
      <c r="G46" t="s">
        <v>1903</v>
      </c>
      <c r="H46" t="s">
        <v>1904</v>
      </c>
      <c r="I46" t="s">
        <v>1905</v>
      </c>
      <c r="J46" t="s">
        <v>1519</v>
      </c>
      <c r="K46" t="s">
        <v>1261</v>
      </c>
      <c r="L46" t="s">
        <v>1542</v>
      </c>
      <c r="M46">
        <v>250000</v>
      </c>
      <c r="N46">
        <v>0</v>
      </c>
      <c r="O46">
        <v>2.2000000000000002</v>
      </c>
      <c r="P46">
        <v>100</v>
      </c>
      <c r="Q46" t="s">
        <v>1906</v>
      </c>
      <c r="R46" t="s">
        <v>33</v>
      </c>
      <c r="S46" t="s">
        <v>1589</v>
      </c>
    </row>
    <row r="47" spans="1:19" x14ac:dyDescent="0.25">
      <c r="A47" t="s">
        <v>1907</v>
      </c>
      <c r="B47" t="s">
        <v>1908</v>
      </c>
      <c r="C47" t="s">
        <v>1909</v>
      </c>
      <c r="D47" t="s">
        <v>100</v>
      </c>
      <c r="E47" t="s">
        <v>1514</v>
      </c>
      <c r="F47" t="s">
        <v>1910</v>
      </c>
      <c r="G47" t="s">
        <v>1911</v>
      </c>
      <c r="H47" t="s">
        <v>1912</v>
      </c>
      <c r="I47" t="s">
        <v>1913</v>
      </c>
      <c r="J47" t="s">
        <v>1784</v>
      </c>
      <c r="K47" t="s">
        <v>1261</v>
      </c>
      <c r="L47" t="s">
        <v>1486</v>
      </c>
      <c r="M47">
        <v>10000</v>
      </c>
      <c r="N47">
        <v>60</v>
      </c>
      <c r="O47">
        <v>10.5</v>
      </c>
      <c r="P47">
        <v>1000</v>
      </c>
      <c r="Q47" t="s">
        <v>1649</v>
      </c>
      <c r="R47" t="s">
        <v>47</v>
      </c>
      <c r="S47" t="s">
        <v>1488</v>
      </c>
    </row>
    <row r="48" spans="1:19" x14ac:dyDescent="0.25">
      <c r="A48" t="s">
        <v>1914</v>
      </c>
      <c r="B48" t="s">
        <v>1915</v>
      </c>
      <c r="C48" t="s">
        <v>1916</v>
      </c>
      <c r="D48" t="s">
        <v>81</v>
      </c>
      <c r="E48" t="s">
        <v>1643</v>
      </c>
      <c r="F48" t="s">
        <v>1917</v>
      </c>
      <c r="G48" t="s">
        <v>1918</v>
      </c>
      <c r="H48" t="s">
        <v>1919</v>
      </c>
      <c r="I48" t="s">
        <v>1920</v>
      </c>
      <c r="J48" t="s">
        <v>1921</v>
      </c>
      <c r="K48" t="s">
        <v>1485</v>
      </c>
      <c r="L48" t="s">
        <v>1576</v>
      </c>
      <c r="M48">
        <v>10000</v>
      </c>
      <c r="N48">
        <v>90</v>
      </c>
      <c r="O48">
        <v>12.4</v>
      </c>
      <c r="P48">
        <v>100</v>
      </c>
      <c r="Q48" t="s">
        <v>1922</v>
      </c>
      <c r="R48" t="s">
        <v>33</v>
      </c>
      <c r="S48" t="s">
        <v>1553</v>
      </c>
    </row>
    <row r="49" spans="1:19" x14ac:dyDescent="0.25">
      <c r="A49" t="s">
        <v>1923</v>
      </c>
      <c r="B49" t="s">
        <v>1924</v>
      </c>
      <c r="C49" t="s">
        <v>1925</v>
      </c>
      <c r="D49" t="s">
        <v>1569</v>
      </c>
      <c r="E49" t="s">
        <v>1570</v>
      </c>
      <c r="F49" t="s">
        <v>1926</v>
      </c>
      <c r="G49" t="s">
        <v>1927</v>
      </c>
      <c r="H49" t="s">
        <v>1928</v>
      </c>
      <c r="I49" t="s">
        <v>1929</v>
      </c>
      <c r="J49" t="s">
        <v>1930</v>
      </c>
      <c r="K49" t="s">
        <v>1261</v>
      </c>
      <c r="L49" t="s">
        <v>1564</v>
      </c>
      <c r="M49">
        <v>25000</v>
      </c>
      <c r="N49">
        <v>45</v>
      </c>
      <c r="O49">
        <v>17.3</v>
      </c>
      <c r="P49">
        <v>10000</v>
      </c>
      <c r="Q49" t="s">
        <v>1931</v>
      </c>
      <c r="R49" t="s">
        <v>33</v>
      </c>
      <c r="S49" t="s">
        <v>1523</v>
      </c>
    </row>
    <row r="50" spans="1:19" x14ac:dyDescent="0.25">
      <c r="A50" t="s">
        <v>1932</v>
      </c>
      <c r="B50" t="s">
        <v>1933</v>
      </c>
      <c r="C50" t="s">
        <v>1934</v>
      </c>
      <c r="D50" t="s">
        <v>1557</v>
      </c>
      <c r="E50" t="s">
        <v>1558</v>
      </c>
      <c r="F50" t="s">
        <v>1935</v>
      </c>
      <c r="G50" t="s">
        <v>1936</v>
      </c>
      <c r="H50" t="s">
        <v>1937</v>
      </c>
      <c r="I50" t="s">
        <v>1938</v>
      </c>
      <c r="J50" t="s">
        <v>1836</v>
      </c>
      <c r="K50" t="s">
        <v>1520</v>
      </c>
      <c r="L50" t="s">
        <v>1521</v>
      </c>
      <c r="M50">
        <v>250000</v>
      </c>
      <c r="N50">
        <v>15</v>
      </c>
      <c r="O50">
        <v>0.4</v>
      </c>
      <c r="P50">
        <v>50000</v>
      </c>
      <c r="Q50" t="s">
        <v>1939</v>
      </c>
      <c r="R50" t="s">
        <v>1241</v>
      </c>
      <c r="S50" t="s">
        <v>1589</v>
      </c>
    </row>
    <row r="51" spans="1:19" x14ac:dyDescent="0.25">
      <c r="A51" t="s">
        <v>1940</v>
      </c>
      <c r="B51" t="s">
        <v>1941</v>
      </c>
      <c r="C51" t="s">
        <v>1942</v>
      </c>
      <c r="D51" t="s">
        <v>1478</v>
      </c>
      <c r="E51" t="s">
        <v>1479</v>
      </c>
      <c r="F51" t="s">
        <v>1943</v>
      </c>
      <c r="G51" t="s">
        <v>1944</v>
      </c>
      <c r="H51" t="s">
        <v>1945</v>
      </c>
      <c r="I51" t="s">
        <v>1946</v>
      </c>
      <c r="J51" t="s">
        <v>1947</v>
      </c>
      <c r="K51" t="s">
        <v>1499</v>
      </c>
      <c r="L51" t="s">
        <v>1576</v>
      </c>
      <c r="M51">
        <v>10000</v>
      </c>
      <c r="N51">
        <v>15</v>
      </c>
      <c r="O51">
        <v>6.8</v>
      </c>
      <c r="P51">
        <v>5000</v>
      </c>
      <c r="Q51" t="s">
        <v>1948</v>
      </c>
      <c r="R51" t="s">
        <v>33</v>
      </c>
      <c r="S51" t="s">
        <v>1553</v>
      </c>
    </row>
    <row r="52" spans="1:19" x14ac:dyDescent="0.25">
      <c r="A52" t="s">
        <v>1949</v>
      </c>
      <c r="B52" t="s">
        <v>1950</v>
      </c>
      <c r="C52" t="s">
        <v>1951</v>
      </c>
      <c r="D52" t="s">
        <v>1569</v>
      </c>
      <c r="E52" t="s">
        <v>1570</v>
      </c>
      <c r="F52" t="s">
        <v>1952</v>
      </c>
      <c r="G52" t="s">
        <v>1953</v>
      </c>
      <c r="H52" t="s">
        <v>1954</v>
      </c>
      <c r="I52" t="s">
        <v>1955</v>
      </c>
      <c r="J52" t="s">
        <v>1638</v>
      </c>
      <c r="K52" t="s">
        <v>1499</v>
      </c>
      <c r="L52" t="s">
        <v>1676</v>
      </c>
      <c r="M52">
        <v>50000</v>
      </c>
      <c r="N52">
        <v>60</v>
      </c>
      <c r="O52">
        <v>2.6</v>
      </c>
      <c r="P52">
        <v>50000</v>
      </c>
      <c r="Q52" t="s">
        <v>1845</v>
      </c>
      <c r="R52" t="s">
        <v>33</v>
      </c>
      <c r="S52" t="s">
        <v>1523</v>
      </c>
    </row>
    <row r="53" spans="1:19" x14ac:dyDescent="0.25">
      <c r="A53" t="s">
        <v>1956</v>
      </c>
      <c r="B53" t="s">
        <v>1957</v>
      </c>
      <c r="C53" t="s">
        <v>1958</v>
      </c>
      <c r="D53" t="s">
        <v>1492</v>
      </c>
      <c r="E53" t="s">
        <v>1493</v>
      </c>
      <c r="F53" t="s">
        <v>1959</v>
      </c>
      <c r="G53" t="s">
        <v>1960</v>
      </c>
      <c r="H53" t="s">
        <v>1961</v>
      </c>
      <c r="I53" t="s">
        <v>1962</v>
      </c>
      <c r="J53" t="s">
        <v>1963</v>
      </c>
      <c r="K53" t="s">
        <v>1499</v>
      </c>
      <c r="L53" t="s">
        <v>1564</v>
      </c>
      <c r="M53">
        <v>10000</v>
      </c>
      <c r="N53">
        <v>30</v>
      </c>
      <c r="O53">
        <v>16.8</v>
      </c>
      <c r="P53">
        <v>500</v>
      </c>
      <c r="Q53" t="s">
        <v>1964</v>
      </c>
      <c r="R53" t="s">
        <v>33</v>
      </c>
      <c r="S53" t="s">
        <v>1589</v>
      </c>
    </row>
    <row r="54" spans="1:19" x14ac:dyDescent="0.25">
      <c r="A54" t="s">
        <v>1965</v>
      </c>
      <c r="B54" t="s">
        <v>1966</v>
      </c>
      <c r="C54" t="s">
        <v>1967</v>
      </c>
      <c r="D54" t="s">
        <v>1569</v>
      </c>
      <c r="E54" t="s">
        <v>1570</v>
      </c>
      <c r="F54" t="s">
        <v>1968</v>
      </c>
      <c r="G54" t="s">
        <v>1969</v>
      </c>
      <c r="H54" t="s">
        <v>1970</v>
      </c>
      <c r="I54" t="s">
        <v>1971</v>
      </c>
      <c r="J54" t="s">
        <v>1793</v>
      </c>
      <c r="K54" t="s">
        <v>1520</v>
      </c>
      <c r="L54" t="s">
        <v>1542</v>
      </c>
      <c r="M54">
        <v>10000</v>
      </c>
      <c r="N54">
        <v>0</v>
      </c>
      <c r="O54">
        <v>15.2</v>
      </c>
      <c r="P54">
        <v>10000</v>
      </c>
      <c r="Q54" t="s">
        <v>1972</v>
      </c>
      <c r="R54" t="s">
        <v>33</v>
      </c>
      <c r="S54" t="s">
        <v>1488</v>
      </c>
    </row>
    <row r="55" spans="1:19" x14ac:dyDescent="0.25">
      <c r="A55" t="s">
        <v>1973</v>
      </c>
      <c r="B55" t="s">
        <v>1974</v>
      </c>
      <c r="C55" t="s">
        <v>1975</v>
      </c>
      <c r="D55" t="s">
        <v>1778</v>
      </c>
      <c r="E55" t="s">
        <v>1779</v>
      </c>
      <c r="F55" t="s">
        <v>1976</v>
      </c>
      <c r="G55" t="s">
        <v>1977</v>
      </c>
      <c r="H55" t="s">
        <v>1978</v>
      </c>
      <c r="I55" t="s">
        <v>1979</v>
      </c>
      <c r="J55" t="s">
        <v>1963</v>
      </c>
      <c r="K55" t="s">
        <v>1499</v>
      </c>
      <c r="L55" t="s">
        <v>1509</v>
      </c>
      <c r="M55">
        <v>10000</v>
      </c>
      <c r="N55">
        <v>60</v>
      </c>
      <c r="O55">
        <v>16.899999999999999</v>
      </c>
      <c r="P55">
        <v>5000</v>
      </c>
      <c r="Q55" t="s">
        <v>1980</v>
      </c>
      <c r="R55" t="s">
        <v>1241</v>
      </c>
      <c r="S55" t="s">
        <v>1523</v>
      </c>
    </row>
    <row r="56" spans="1:19" x14ac:dyDescent="0.25">
      <c r="A56" t="s">
        <v>1981</v>
      </c>
      <c r="B56" t="s">
        <v>1982</v>
      </c>
      <c r="C56" t="s">
        <v>1983</v>
      </c>
      <c r="D56" t="s">
        <v>1569</v>
      </c>
      <c r="E56" t="s">
        <v>1570</v>
      </c>
      <c r="F56" t="s">
        <v>1984</v>
      </c>
      <c r="G56" t="s">
        <v>1985</v>
      </c>
      <c r="H56" t="s">
        <v>1986</v>
      </c>
      <c r="I56" t="s">
        <v>1987</v>
      </c>
      <c r="J56" t="s">
        <v>1988</v>
      </c>
      <c r="K56" t="s">
        <v>1520</v>
      </c>
      <c r="L56" t="s">
        <v>1576</v>
      </c>
      <c r="M56">
        <v>50000</v>
      </c>
      <c r="N56">
        <v>15</v>
      </c>
      <c r="O56">
        <v>14.8</v>
      </c>
      <c r="P56">
        <v>500</v>
      </c>
      <c r="Q56" t="s">
        <v>1989</v>
      </c>
      <c r="R56" t="s">
        <v>33</v>
      </c>
      <c r="S56" t="s">
        <v>1553</v>
      </c>
    </row>
    <row r="57" spans="1:19" x14ac:dyDescent="0.25">
      <c r="A57" t="s">
        <v>1990</v>
      </c>
      <c r="B57" t="s">
        <v>1991</v>
      </c>
      <c r="C57" t="s">
        <v>1992</v>
      </c>
      <c r="D57" t="s">
        <v>81</v>
      </c>
      <c r="E57" t="s">
        <v>1643</v>
      </c>
      <c r="F57" t="s">
        <v>1993</v>
      </c>
      <c r="G57" t="s">
        <v>1994</v>
      </c>
      <c r="H57" t="s">
        <v>1995</v>
      </c>
      <c r="I57" t="s">
        <v>1996</v>
      </c>
      <c r="J57" t="s">
        <v>1997</v>
      </c>
      <c r="K57" t="s">
        <v>1520</v>
      </c>
      <c r="L57" t="s">
        <v>1521</v>
      </c>
      <c r="M57">
        <v>250000</v>
      </c>
      <c r="N57">
        <v>30</v>
      </c>
      <c r="O57">
        <v>7.9</v>
      </c>
      <c r="P57">
        <v>50000</v>
      </c>
      <c r="Q57" t="s">
        <v>1998</v>
      </c>
      <c r="R57" t="s">
        <v>33</v>
      </c>
      <c r="S57" t="s">
        <v>1488</v>
      </c>
    </row>
    <row r="58" spans="1:19" x14ac:dyDescent="0.25">
      <c r="A58" t="s">
        <v>1999</v>
      </c>
      <c r="B58" t="s">
        <v>2000</v>
      </c>
      <c r="C58" t="s">
        <v>2001</v>
      </c>
      <c r="D58" t="s">
        <v>1632</v>
      </c>
      <c r="E58" t="s">
        <v>1633</v>
      </c>
      <c r="F58" t="s">
        <v>2002</v>
      </c>
      <c r="G58" t="s">
        <v>2003</v>
      </c>
      <c r="H58" t="s">
        <v>2004</v>
      </c>
      <c r="I58" t="s">
        <v>2005</v>
      </c>
      <c r="J58" t="s">
        <v>1947</v>
      </c>
      <c r="K58" t="s">
        <v>1520</v>
      </c>
      <c r="L58" t="s">
        <v>1521</v>
      </c>
      <c r="M58">
        <v>100000</v>
      </c>
      <c r="N58">
        <v>90</v>
      </c>
      <c r="O58">
        <v>19.3</v>
      </c>
      <c r="P58">
        <v>500</v>
      </c>
      <c r="Q58" t="s">
        <v>2006</v>
      </c>
      <c r="R58" t="s">
        <v>47</v>
      </c>
      <c r="S58" t="s">
        <v>1533</v>
      </c>
    </row>
    <row r="59" spans="1:19" x14ac:dyDescent="0.25">
      <c r="A59" t="s">
        <v>2007</v>
      </c>
      <c r="B59" t="s">
        <v>2008</v>
      </c>
      <c r="C59" t="s">
        <v>2009</v>
      </c>
      <c r="D59" t="s">
        <v>1492</v>
      </c>
      <c r="E59" t="s">
        <v>1493</v>
      </c>
      <c r="F59" t="s">
        <v>2010</v>
      </c>
      <c r="G59" t="s">
        <v>2011</v>
      </c>
      <c r="H59" t="s">
        <v>2012</v>
      </c>
      <c r="I59" t="s">
        <v>2013</v>
      </c>
      <c r="J59" t="s">
        <v>2014</v>
      </c>
      <c r="K59" t="s">
        <v>1261</v>
      </c>
      <c r="L59" t="s">
        <v>1509</v>
      </c>
      <c r="M59">
        <v>250000</v>
      </c>
      <c r="N59">
        <v>45</v>
      </c>
      <c r="O59">
        <v>1.8</v>
      </c>
      <c r="P59">
        <v>10000</v>
      </c>
      <c r="Q59" t="s">
        <v>2015</v>
      </c>
      <c r="R59" t="s">
        <v>33</v>
      </c>
      <c r="S59" t="s">
        <v>1488</v>
      </c>
    </row>
    <row r="60" spans="1:19" x14ac:dyDescent="0.25">
      <c r="A60" t="s">
        <v>2016</v>
      </c>
      <c r="B60" t="s">
        <v>2017</v>
      </c>
      <c r="C60" t="s">
        <v>2018</v>
      </c>
      <c r="D60" t="s">
        <v>1557</v>
      </c>
      <c r="E60" t="s">
        <v>1558</v>
      </c>
      <c r="F60" t="s">
        <v>2019</v>
      </c>
      <c r="G60" t="s">
        <v>2020</v>
      </c>
      <c r="H60" t="s">
        <v>2021</v>
      </c>
      <c r="I60" t="s">
        <v>2022</v>
      </c>
      <c r="J60" t="s">
        <v>2023</v>
      </c>
      <c r="K60" t="s">
        <v>1153</v>
      </c>
      <c r="L60" t="s">
        <v>1486</v>
      </c>
      <c r="M60">
        <v>50000</v>
      </c>
      <c r="N60">
        <v>0</v>
      </c>
      <c r="O60">
        <v>5</v>
      </c>
      <c r="P60">
        <v>50000</v>
      </c>
      <c r="Q60" t="s">
        <v>2024</v>
      </c>
      <c r="R60" t="s">
        <v>33</v>
      </c>
      <c r="S60" t="s">
        <v>1553</v>
      </c>
    </row>
    <row r="61" spans="1:19" x14ac:dyDescent="0.25">
      <c r="A61" t="s">
        <v>2025</v>
      </c>
      <c r="B61" t="s">
        <v>2026</v>
      </c>
      <c r="C61" t="s">
        <v>2027</v>
      </c>
      <c r="D61" t="s">
        <v>1632</v>
      </c>
      <c r="E61" t="s">
        <v>1633</v>
      </c>
      <c r="F61" t="s">
        <v>2028</v>
      </c>
      <c r="G61" t="s">
        <v>2029</v>
      </c>
      <c r="H61" t="s">
        <v>2030</v>
      </c>
      <c r="I61" t="s">
        <v>2031</v>
      </c>
      <c r="J61" t="s">
        <v>2032</v>
      </c>
      <c r="K61" t="s">
        <v>1485</v>
      </c>
      <c r="L61" t="s">
        <v>1542</v>
      </c>
      <c r="M61">
        <v>50000</v>
      </c>
      <c r="N61">
        <v>60</v>
      </c>
      <c r="O61">
        <v>7.6</v>
      </c>
      <c r="P61">
        <v>500</v>
      </c>
      <c r="Q61" t="s">
        <v>2033</v>
      </c>
      <c r="R61" t="s">
        <v>1241</v>
      </c>
      <c r="S61" t="s">
        <v>1488</v>
      </c>
    </row>
    <row r="62" spans="1:19" x14ac:dyDescent="0.25">
      <c r="A62" t="s">
        <v>2034</v>
      </c>
      <c r="B62" t="s">
        <v>2035</v>
      </c>
      <c r="C62" t="s">
        <v>2036</v>
      </c>
      <c r="D62" t="s">
        <v>81</v>
      </c>
      <c r="E62" t="s">
        <v>1643</v>
      </c>
      <c r="F62" t="s">
        <v>2037</v>
      </c>
      <c r="G62" t="s">
        <v>2038</v>
      </c>
      <c r="H62" t="s">
        <v>2039</v>
      </c>
      <c r="I62" t="s">
        <v>2040</v>
      </c>
      <c r="J62" t="s">
        <v>1675</v>
      </c>
      <c r="K62" t="s">
        <v>1153</v>
      </c>
      <c r="L62" t="s">
        <v>1542</v>
      </c>
      <c r="M62">
        <v>5000</v>
      </c>
      <c r="N62">
        <v>15</v>
      </c>
      <c r="O62">
        <v>19.2</v>
      </c>
      <c r="P62">
        <v>100</v>
      </c>
      <c r="Q62" t="s">
        <v>2041</v>
      </c>
      <c r="R62" t="s">
        <v>33</v>
      </c>
      <c r="S62" t="s">
        <v>1553</v>
      </c>
    </row>
    <row r="63" spans="1:19" x14ac:dyDescent="0.25">
      <c r="A63" t="s">
        <v>2042</v>
      </c>
      <c r="B63" t="s">
        <v>2043</v>
      </c>
      <c r="C63" t="s">
        <v>2044</v>
      </c>
      <c r="D63" t="s">
        <v>1581</v>
      </c>
      <c r="E63" t="s">
        <v>1582</v>
      </c>
      <c r="F63" t="s">
        <v>2045</v>
      </c>
      <c r="G63" t="s">
        <v>2046</v>
      </c>
      <c r="H63" t="s">
        <v>2047</v>
      </c>
      <c r="I63" t="s">
        <v>2048</v>
      </c>
      <c r="J63" t="s">
        <v>2049</v>
      </c>
      <c r="K63" t="s">
        <v>1520</v>
      </c>
      <c r="L63" t="s">
        <v>1509</v>
      </c>
      <c r="M63">
        <v>50000</v>
      </c>
      <c r="N63">
        <v>45</v>
      </c>
      <c r="O63">
        <v>8.8000000000000007</v>
      </c>
      <c r="P63">
        <v>10000</v>
      </c>
      <c r="Q63" t="s">
        <v>2050</v>
      </c>
      <c r="R63" t="s">
        <v>33</v>
      </c>
      <c r="S63" t="s">
        <v>1523</v>
      </c>
    </row>
    <row r="64" spans="1:19" x14ac:dyDescent="0.25">
      <c r="A64" t="s">
        <v>2051</v>
      </c>
      <c r="B64" t="s">
        <v>2052</v>
      </c>
      <c r="C64" t="s">
        <v>2053</v>
      </c>
      <c r="D64" t="s">
        <v>1557</v>
      </c>
      <c r="E64" t="s">
        <v>1558</v>
      </c>
      <c r="F64" t="s">
        <v>2054</v>
      </c>
      <c r="G64" t="s">
        <v>2055</v>
      </c>
      <c r="H64" t="s">
        <v>2056</v>
      </c>
      <c r="I64" t="s">
        <v>2057</v>
      </c>
      <c r="J64" t="s">
        <v>2058</v>
      </c>
      <c r="K64" t="s">
        <v>1261</v>
      </c>
      <c r="L64" t="s">
        <v>1542</v>
      </c>
      <c r="M64">
        <v>5000</v>
      </c>
      <c r="N64">
        <v>90</v>
      </c>
      <c r="O64">
        <v>11.6</v>
      </c>
      <c r="P64">
        <v>10000</v>
      </c>
      <c r="Q64" t="s">
        <v>2059</v>
      </c>
      <c r="R64" t="s">
        <v>1241</v>
      </c>
      <c r="S64" t="s">
        <v>1553</v>
      </c>
    </row>
    <row r="65" spans="1:19" x14ac:dyDescent="0.25">
      <c r="A65" t="s">
        <v>2060</v>
      </c>
      <c r="B65" t="s">
        <v>2061</v>
      </c>
      <c r="C65" t="s">
        <v>2062</v>
      </c>
      <c r="D65" t="s">
        <v>100</v>
      </c>
      <c r="E65" t="s">
        <v>1514</v>
      </c>
      <c r="F65" t="s">
        <v>2063</v>
      </c>
      <c r="G65" t="s">
        <v>2064</v>
      </c>
      <c r="H65" t="s">
        <v>2065</v>
      </c>
      <c r="I65" t="s">
        <v>2066</v>
      </c>
      <c r="J65" t="s">
        <v>2023</v>
      </c>
      <c r="K65" t="s">
        <v>1485</v>
      </c>
      <c r="L65" t="s">
        <v>1676</v>
      </c>
      <c r="M65">
        <v>5000</v>
      </c>
      <c r="N65">
        <v>0</v>
      </c>
      <c r="O65">
        <v>15.4</v>
      </c>
      <c r="P65">
        <v>1000</v>
      </c>
      <c r="Q65" t="s">
        <v>2067</v>
      </c>
      <c r="R65" t="s">
        <v>1628</v>
      </c>
      <c r="S65" t="s">
        <v>1553</v>
      </c>
    </row>
    <row r="66" spans="1:19" x14ac:dyDescent="0.25">
      <c r="A66" t="s">
        <v>2068</v>
      </c>
      <c r="B66" t="s">
        <v>2069</v>
      </c>
      <c r="C66" t="s">
        <v>2070</v>
      </c>
      <c r="D66" t="s">
        <v>1569</v>
      </c>
      <c r="E66" t="s">
        <v>1570</v>
      </c>
      <c r="F66" t="s">
        <v>2071</v>
      </c>
      <c r="G66" t="s">
        <v>2072</v>
      </c>
      <c r="H66" t="s">
        <v>2073</v>
      </c>
      <c r="I66" t="s">
        <v>2074</v>
      </c>
      <c r="J66" t="s">
        <v>1827</v>
      </c>
      <c r="K66" t="s">
        <v>1499</v>
      </c>
      <c r="L66" t="s">
        <v>1521</v>
      </c>
      <c r="M66">
        <v>100000</v>
      </c>
      <c r="N66">
        <v>15</v>
      </c>
      <c r="O66">
        <v>13.9</v>
      </c>
      <c r="P66">
        <v>10000</v>
      </c>
      <c r="Q66" t="s">
        <v>2075</v>
      </c>
      <c r="R66" t="s">
        <v>33</v>
      </c>
      <c r="S66" t="s">
        <v>1488</v>
      </c>
    </row>
    <row r="67" spans="1:19" x14ac:dyDescent="0.25">
      <c r="A67" t="s">
        <v>2076</v>
      </c>
      <c r="B67" t="s">
        <v>2077</v>
      </c>
      <c r="C67" t="s">
        <v>2078</v>
      </c>
      <c r="D67" t="s">
        <v>1557</v>
      </c>
      <c r="E67" t="s">
        <v>1558</v>
      </c>
      <c r="F67" t="s">
        <v>2079</v>
      </c>
      <c r="G67" t="s">
        <v>2080</v>
      </c>
      <c r="H67" t="s">
        <v>2081</v>
      </c>
      <c r="I67" t="s">
        <v>2082</v>
      </c>
      <c r="J67" t="s">
        <v>2083</v>
      </c>
      <c r="K67" t="s">
        <v>1485</v>
      </c>
      <c r="L67" t="s">
        <v>1676</v>
      </c>
      <c r="M67">
        <v>10000</v>
      </c>
      <c r="N67">
        <v>60</v>
      </c>
      <c r="O67">
        <v>11.3</v>
      </c>
      <c r="P67">
        <v>10000</v>
      </c>
      <c r="Q67" t="s">
        <v>2084</v>
      </c>
      <c r="R67" t="s">
        <v>47</v>
      </c>
      <c r="S67" t="s">
        <v>1533</v>
      </c>
    </row>
    <row r="68" spans="1:19" x14ac:dyDescent="0.25">
      <c r="A68" t="s">
        <v>2085</v>
      </c>
      <c r="B68" t="s">
        <v>2086</v>
      </c>
      <c r="C68" t="s">
        <v>2087</v>
      </c>
      <c r="D68" t="s">
        <v>81</v>
      </c>
      <c r="E68" t="s">
        <v>1643</v>
      </c>
      <c r="F68" t="s">
        <v>2088</v>
      </c>
      <c r="G68" t="s">
        <v>2089</v>
      </c>
      <c r="H68" t="s">
        <v>2090</v>
      </c>
      <c r="I68" t="s">
        <v>2091</v>
      </c>
      <c r="J68" t="s">
        <v>2092</v>
      </c>
      <c r="K68" t="s">
        <v>1499</v>
      </c>
      <c r="L68" t="s">
        <v>1486</v>
      </c>
      <c r="M68">
        <v>100000</v>
      </c>
      <c r="N68">
        <v>45</v>
      </c>
      <c r="O68">
        <v>8.3000000000000007</v>
      </c>
      <c r="P68">
        <v>1000</v>
      </c>
      <c r="Q68" t="s">
        <v>2093</v>
      </c>
      <c r="R68" t="s">
        <v>33</v>
      </c>
      <c r="S68" t="s">
        <v>1553</v>
      </c>
    </row>
    <row r="69" spans="1:19" x14ac:dyDescent="0.25">
      <c r="A69" t="s">
        <v>2094</v>
      </c>
      <c r="B69" t="s">
        <v>2095</v>
      </c>
      <c r="C69" t="s">
        <v>2096</v>
      </c>
      <c r="D69" t="s">
        <v>1478</v>
      </c>
      <c r="E69" t="s">
        <v>1479</v>
      </c>
      <c r="F69" t="s">
        <v>2097</v>
      </c>
      <c r="G69" t="s">
        <v>2098</v>
      </c>
      <c r="H69" t="s">
        <v>2099</v>
      </c>
      <c r="I69" t="s">
        <v>2100</v>
      </c>
      <c r="J69" t="s">
        <v>2101</v>
      </c>
      <c r="K69" t="s">
        <v>1261</v>
      </c>
      <c r="L69" t="s">
        <v>1676</v>
      </c>
      <c r="M69">
        <v>25000</v>
      </c>
      <c r="N69">
        <v>45</v>
      </c>
      <c r="O69">
        <v>14.5</v>
      </c>
      <c r="P69">
        <v>10000</v>
      </c>
      <c r="Q69" t="s">
        <v>2102</v>
      </c>
      <c r="R69" t="s">
        <v>33</v>
      </c>
      <c r="S69" t="s">
        <v>1523</v>
      </c>
    </row>
    <row r="70" spans="1:19" x14ac:dyDescent="0.25">
      <c r="A70" t="s">
        <v>2103</v>
      </c>
      <c r="B70" t="s">
        <v>2104</v>
      </c>
      <c r="C70" t="s">
        <v>2105</v>
      </c>
      <c r="D70" t="s">
        <v>1478</v>
      </c>
      <c r="E70" t="s">
        <v>1479</v>
      </c>
      <c r="F70" t="s">
        <v>2106</v>
      </c>
      <c r="G70" t="s">
        <v>2107</v>
      </c>
      <c r="H70" t="s">
        <v>2108</v>
      </c>
      <c r="I70" t="s">
        <v>2109</v>
      </c>
      <c r="J70" t="s">
        <v>1626</v>
      </c>
      <c r="K70" t="s">
        <v>1261</v>
      </c>
      <c r="L70" t="s">
        <v>1509</v>
      </c>
      <c r="M70">
        <v>100000</v>
      </c>
      <c r="N70">
        <v>30</v>
      </c>
      <c r="O70">
        <v>9.1999999999999993</v>
      </c>
      <c r="P70">
        <v>5000</v>
      </c>
      <c r="Q70" t="s">
        <v>2110</v>
      </c>
      <c r="R70" t="s">
        <v>33</v>
      </c>
      <c r="S70" t="s">
        <v>1488</v>
      </c>
    </row>
    <row r="71" spans="1:19" x14ac:dyDescent="0.25">
      <c r="A71" t="s">
        <v>2111</v>
      </c>
      <c r="B71" t="s">
        <v>2112</v>
      </c>
      <c r="C71" t="s">
        <v>2113</v>
      </c>
      <c r="D71" t="s">
        <v>1492</v>
      </c>
      <c r="E71" t="s">
        <v>1493</v>
      </c>
      <c r="F71" t="s">
        <v>2114</v>
      </c>
      <c r="G71" t="s">
        <v>2115</v>
      </c>
      <c r="H71" t="s">
        <v>2116</v>
      </c>
      <c r="I71" t="s">
        <v>2117</v>
      </c>
      <c r="J71" t="s">
        <v>1963</v>
      </c>
      <c r="K71" t="s">
        <v>1499</v>
      </c>
      <c r="L71" t="s">
        <v>1542</v>
      </c>
      <c r="M71">
        <v>25000</v>
      </c>
      <c r="N71">
        <v>0</v>
      </c>
      <c r="O71">
        <v>6.8</v>
      </c>
      <c r="P71">
        <v>5000</v>
      </c>
      <c r="Q71" t="s">
        <v>2118</v>
      </c>
      <c r="R71" t="s">
        <v>33</v>
      </c>
      <c r="S71" t="s">
        <v>1488</v>
      </c>
    </row>
    <row r="72" spans="1:19" x14ac:dyDescent="0.25">
      <c r="A72" t="s">
        <v>2119</v>
      </c>
      <c r="B72" t="s">
        <v>2120</v>
      </c>
      <c r="C72" t="s">
        <v>2121</v>
      </c>
      <c r="D72" t="s">
        <v>1778</v>
      </c>
      <c r="E72" t="s">
        <v>1779</v>
      </c>
      <c r="F72" t="s">
        <v>2122</v>
      </c>
      <c r="G72" t="s">
        <v>2123</v>
      </c>
      <c r="H72" t="s">
        <v>2124</v>
      </c>
      <c r="I72" t="s">
        <v>2125</v>
      </c>
      <c r="J72" t="s">
        <v>1720</v>
      </c>
      <c r="K72" t="s">
        <v>1520</v>
      </c>
      <c r="L72" t="s">
        <v>1521</v>
      </c>
      <c r="M72">
        <v>5000</v>
      </c>
      <c r="N72">
        <v>45</v>
      </c>
      <c r="O72">
        <v>17.5</v>
      </c>
      <c r="P72">
        <v>1000</v>
      </c>
      <c r="Q72" t="s">
        <v>2126</v>
      </c>
      <c r="R72" t="s">
        <v>33</v>
      </c>
      <c r="S72" t="s">
        <v>1523</v>
      </c>
    </row>
    <row r="73" spans="1:19" x14ac:dyDescent="0.25">
      <c r="A73" t="s">
        <v>2127</v>
      </c>
      <c r="B73" t="s">
        <v>2128</v>
      </c>
      <c r="C73" t="s">
        <v>2129</v>
      </c>
      <c r="D73" t="s">
        <v>1557</v>
      </c>
      <c r="E73" t="s">
        <v>1558</v>
      </c>
      <c r="F73" t="s">
        <v>2130</v>
      </c>
      <c r="G73" t="s">
        <v>2131</v>
      </c>
      <c r="H73" t="s">
        <v>2132</v>
      </c>
      <c r="I73" t="s">
        <v>2133</v>
      </c>
      <c r="J73" t="s">
        <v>1703</v>
      </c>
      <c r="K73" t="s">
        <v>1261</v>
      </c>
      <c r="L73" t="s">
        <v>1500</v>
      </c>
      <c r="M73">
        <v>50000</v>
      </c>
      <c r="N73">
        <v>60</v>
      </c>
      <c r="O73">
        <v>3.1</v>
      </c>
      <c r="P73">
        <v>1000</v>
      </c>
      <c r="Q73" t="s">
        <v>2134</v>
      </c>
      <c r="R73" t="s">
        <v>47</v>
      </c>
      <c r="S73" t="s">
        <v>1488</v>
      </c>
    </row>
    <row r="74" spans="1:19" x14ac:dyDescent="0.25">
      <c r="A74" t="s">
        <v>2135</v>
      </c>
      <c r="B74" t="s">
        <v>2136</v>
      </c>
      <c r="C74" t="s">
        <v>2137</v>
      </c>
      <c r="D74" t="s">
        <v>1492</v>
      </c>
      <c r="E74" t="s">
        <v>1493</v>
      </c>
      <c r="F74" t="s">
        <v>2138</v>
      </c>
      <c r="G74" t="s">
        <v>2139</v>
      </c>
      <c r="H74" t="s">
        <v>2140</v>
      </c>
      <c r="I74" t="s">
        <v>2141</v>
      </c>
      <c r="J74" t="s">
        <v>2142</v>
      </c>
      <c r="K74" t="s">
        <v>1261</v>
      </c>
      <c r="L74" t="s">
        <v>1521</v>
      </c>
      <c r="M74">
        <v>250000</v>
      </c>
      <c r="N74">
        <v>60</v>
      </c>
      <c r="O74">
        <v>2.2999999999999998</v>
      </c>
      <c r="P74">
        <v>1000</v>
      </c>
      <c r="Q74" t="s">
        <v>2143</v>
      </c>
      <c r="R74" t="s">
        <v>33</v>
      </c>
      <c r="S74" t="s">
        <v>1488</v>
      </c>
    </row>
    <row r="75" spans="1:19" x14ac:dyDescent="0.25">
      <c r="A75" t="s">
        <v>2144</v>
      </c>
      <c r="B75" t="s">
        <v>2145</v>
      </c>
      <c r="C75" t="s">
        <v>2146</v>
      </c>
      <c r="D75" t="s">
        <v>1632</v>
      </c>
      <c r="E75" t="s">
        <v>1633</v>
      </c>
      <c r="F75" t="s">
        <v>2147</v>
      </c>
      <c r="G75" t="s">
        <v>2148</v>
      </c>
      <c r="H75" t="s">
        <v>2149</v>
      </c>
      <c r="I75" t="s">
        <v>2150</v>
      </c>
      <c r="J75" t="s">
        <v>1997</v>
      </c>
      <c r="K75" t="s">
        <v>1261</v>
      </c>
      <c r="L75" t="s">
        <v>1576</v>
      </c>
      <c r="M75">
        <v>250000</v>
      </c>
      <c r="N75">
        <v>15</v>
      </c>
      <c r="O75">
        <v>6.4</v>
      </c>
      <c r="P75">
        <v>500</v>
      </c>
      <c r="Q75" t="s">
        <v>2151</v>
      </c>
      <c r="R75" t="s">
        <v>33</v>
      </c>
      <c r="S75" t="s">
        <v>1488</v>
      </c>
    </row>
    <row r="76" spans="1:19" x14ac:dyDescent="0.25">
      <c r="A76" t="s">
        <v>2152</v>
      </c>
      <c r="B76" t="s">
        <v>2153</v>
      </c>
      <c r="C76" t="s">
        <v>2154</v>
      </c>
      <c r="D76" t="s">
        <v>1611</v>
      </c>
      <c r="E76" t="s">
        <v>1612</v>
      </c>
      <c r="F76" t="s">
        <v>2155</v>
      </c>
      <c r="G76" t="s">
        <v>2156</v>
      </c>
      <c r="H76" t="s">
        <v>2157</v>
      </c>
      <c r="I76" t="s">
        <v>2158</v>
      </c>
      <c r="J76" t="s">
        <v>1997</v>
      </c>
      <c r="K76" t="s">
        <v>1520</v>
      </c>
      <c r="L76" t="s">
        <v>1564</v>
      </c>
      <c r="M76">
        <v>10000</v>
      </c>
      <c r="N76">
        <v>60</v>
      </c>
      <c r="O76">
        <v>7</v>
      </c>
      <c r="P76">
        <v>1000</v>
      </c>
      <c r="Q76" t="s">
        <v>2159</v>
      </c>
      <c r="R76" t="s">
        <v>33</v>
      </c>
      <c r="S76" t="s">
        <v>1589</v>
      </c>
    </row>
    <row r="77" spans="1:19" x14ac:dyDescent="0.25">
      <c r="A77" t="s">
        <v>2160</v>
      </c>
      <c r="B77" t="s">
        <v>2161</v>
      </c>
      <c r="C77" t="s">
        <v>2162</v>
      </c>
      <c r="D77" t="s">
        <v>1778</v>
      </c>
      <c r="E77" t="s">
        <v>1779</v>
      </c>
      <c r="F77" t="s">
        <v>2163</v>
      </c>
      <c r="G77" t="s">
        <v>2164</v>
      </c>
      <c r="H77" t="s">
        <v>2165</v>
      </c>
      <c r="I77" t="s">
        <v>2166</v>
      </c>
      <c r="J77" t="s">
        <v>2167</v>
      </c>
      <c r="K77" t="s">
        <v>1153</v>
      </c>
      <c r="L77" t="s">
        <v>1500</v>
      </c>
      <c r="M77">
        <v>50000</v>
      </c>
      <c r="N77">
        <v>90</v>
      </c>
      <c r="O77">
        <v>1</v>
      </c>
      <c r="P77">
        <v>5000</v>
      </c>
      <c r="Q77" t="s">
        <v>2168</v>
      </c>
      <c r="R77" t="s">
        <v>33</v>
      </c>
      <c r="S77" t="s">
        <v>1533</v>
      </c>
    </row>
    <row r="78" spans="1:19" x14ac:dyDescent="0.25">
      <c r="A78" t="s">
        <v>2169</v>
      </c>
      <c r="B78" t="s">
        <v>2170</v>
      </c>
      <c r="C78" t="s">
        <v>2171</v>
      </c>
      <c r="D78" t="s">
        <v>1569</v>
      </c>
      <c r="E78" t="s">
        <v>1570</v>
      </c>
      <c r="F78" t="s">
        <v>2172</v>
      </c>
      <c r="G78" t="s">
        <v>2173</v>
      </c>
      <c r="H78" t="s">
        <v>2174</v>
      </c>
      <c r="I78" t="s">
        <v>2175</v>
      </c>
      <c r="J78" t="s">
        <v>1755</v>
      </c>
      <c r="K78" t="s">
        <v>1153</v>
      </c>
      <c r="L78" t="s">
        <v>1509</v>
      </c>
      <c r="M78">
        <v>100000</v>
      </c>
      <c r="N78">
        <v>15</v>
      </c>
      <c r="O78">
        <v>1.9</v>
      </c>
      <c r="P78">
        <v>50000</v>
      </c>
      <c r="Q78" t="s">
        <v>2176</v>
      </c>
      <c r="R78" t="s">
        <v>33</v>
      </c>
      <c r="S78" t="s">
        <v>1533</v>
      </c>
    </row>
    <row r="79" spans="1:19" x14ac:dyDescent="0.25">
      <c r="A79" t="s">
        <v>2177</v>
      </c>
      <c r="B79" t="s">
        <v>2178</v>
      </c>
      <c r="C79" t="s">
        <v>2179</v>
      </c>
      <c r="D79" t="s">
        <v>1492</v>
      </c>
      <c r="E79" t="s">
        <v>1493</v>
      </c>
      <c r="F79" t="s">
        <v>2180</v>
      </c>
      <c r="G79" t="s">
        <v>2181</v>
      </c>
      <c r="H79" t="s">
        <v>2182</v>
      </c>
      <c r="I79" t="s">
        <v>2183</v>
      </c>
      <c r="J79" t="s">
        <v>1862</v>
      </c>
      <c r="K79" t="s">
        <v>1520</v>
      </c>
      <c r="L79" t="s">
        <v>1542</v>
      </c>
      <c r="M79">
        <v>250000</v>
      </c>
      <c r="N79">
        <v>90</v>
      </c>
      <c r="O79">
        <v>6.6</v>
      </c>
      <c r="P79">
        <v>1000</v>
      </c>
      <c r="Q79" t="s">
        <v>2184</v>
      </c>
      <c r="R79" t="s">
        <v>47</v>
      </c>
      <c r="S79" t="s">
        <v>1553</v>
      </c>
    </row>
    <row r="80" spans="1:19" x14ac:dyDescent="0.25">
      <c r="A80" t="s">
        <v>2185</v>
      </c>
      <c r="B80" t="s">
        <v>2186</v>
      </c>
      <c r="C80" t="s">
        <v>2187</v>
      </c>
      <c r="D80" t="s">
        <v>1632</v>
      </c>
      <c r="E80" t="s">
        <v>1633</v>
      </c>
      <c r="F80" t="s">
        <v>2188</v>
      </c>
      <c r="G80" t="s">
        <v>2189</v>
      </c>
      <c r="H80" t="s">
        <v>2190</v>
      </c>
      <c r="I80" t="s">
        <v>2191</v>
      </c>
      <c r="J80" t="s">
        <v>2192</v>
      </c>
      <c r="K80" t="s">
        <v>1520</v>
      </c>
      <c r="L80" t="s">
        <v>1542</v>
      </c>
      <c r="M80">
        <v>100000</v>
      </c>
      <c r="N80">
        <v>0</v>
      </c>
      <c r="O80">
        <v>8.1</v>
      </c>
      <c r="P80">
        <v>50000</v>
      </c>
      <c r="Q80" t="s">
        <v>2193</v>
      </c>
      <c r="R80" t="s">
        <v>33</v>
      </c>
      <c r="S80" t="s">
        <v>1589</v>
      </c>
    </row>
    <row r="81" spans="1:19" x14ac:dyDescent="0.25">
      <c r="A81" t="s">
        <v>2194</v>
      </c>
      <c r="B81" t="s">
        <v>2195</v>
      </c>
      <c r="C81" t="s">
        <v>2196</v>
      </c>
      <c r="D81" t="s">
        <v>1557</v>
      </c>
      <c r="E81" t="s">
        <v>1558</v>
      </c>
      <c r="F81" t="s">
        <v>2197</v>
      </c>
      <c r="G81" t="s">
        <v>2198</v>
      </c>
      <c r="H81" t="s">
        <v>2199</v>
      </c>
      <c r="I81" t="s">
        <v>2200</v>
      </c>
      <c r="J81" t="s">
        <v>2049</v>
      </c>
      <c r="K81" t="s">
        <v>1485</v>
      </c>
      <c r="L81" t="s">
        <v>1486</v>
      </c>
      <c r="M81">
        <v>100000</v>
      </c>
      <c r="N81">
        <v>15</v>
      </c>
      <c r="O81">
        <v>19.5</v>
      </c>
      <c r="P81">
        <v>5000</v>
      </c>
      <c r="Q81" t="s">
        <v>2201</v>
      </c>
      <c r="R81" t="s">
        <v>1241</v>
      </c>
      <c r="S81" t="s">
        <v>1523</v>
      </c>
    </row>
    <row r="82" spans="1:19" x14ac:dyDescent="0.25">
      <c r="A82" t="s">
        <v>2202</v>
      </c>
      <c r="B82" t="s">
        <v>2203</v>
      </c>
      <c r="C82" t="s">
        <v>2204</v>
      </c>
      <c r="D82" t="s">
        <v>1778</v>
      </c>
      <c r="E82" t="s">
        <v>1779</v>
      </c>
      <c r="F82" t="s">
        <v>2205</v>
      </c>
      <c r="G82" t="s">
        <v>2206</v>
      </c>
      <c r="H82" t="s">
        <v>2207</v>
      </c>
      <c r="I82" t="s">
        <v>2208</v>
      </c>
      <c r="J82" t="s">
        <v>2209</v>
      </c>
      <c r="K82" t="s">
        <v>1520</v>
      </c>
      <c r="L82" t="s">
        <v>1509</v>
      </c>
      <c r="M82">
        <v>5000</v>
      </c>
      <c r="N82">
        <v>60</v>
      </c>
      <c r="O82">
        <v>11.9</v>
      </c>
      <c r="P82">
        <v>1000</v>
      </c>
      <c r="Q82" t="s">
        <v>2210</v>
      </c>
      <c r="R82" t="s">
        <v>33</v>
      </c>
      <c r="S82" t="s">
        <v>1533</v>
      </c>
    </row>
    <row r="83" spans="1:19" x14ac:dyDescent="0.25">
      <c r="A83" t="s">
        <v>2211</v>
      </c>
      <c r="B83" t="s">
        <v>2212</v>
      </c>
      <c r="C83" t="s">
        <v>2213</v>
      </c>
      <c r="D83" t="s">
        <v>81</v>
      </c>
      <c r="E83" t="s">
        <v>1643</v>
      </c>
      <c r="F83" t="s">
        <v>2214</v>
      </c>
      <c r="G83" t="s">
        <v>2215</v>
      </c>
      <c r="H83" t="s">
        <v>2216</v>
      </c>
      <c r="I83" t="s">
        <v>2217</v>
      </c>
      <c r="J83" t="s">
        <v>1836</v>
      </c>
      <c r="K83" t="s">
        <v>1261</v>
      </c>
      <c r="L83" t="s">
        <v>1500</v>
      </c>
      <c r="M83">
        <v>5000</v>
      </c>
      <c r="N83">
        <v>15</v>
      </c>
      <c r="O83">
        <v>16.3</v>
      </c>
      <c r="P83">
        <v>10000</v>
      </c>
      <c r="Q83" t="s">
        <v>2218</v>
      </c>
      <c r="R83" t="s">
        <v>33</v>
      </c>
      <c r="S83" t="s">
        <v>1523</v>
      </c>
    </row>
    <row r="84" spans="1:19" x14ac:dyDescent="0.25">
      <c r="A84" t="s">
        <v>2219</v>
      </c>
      <c r="B84" t="s">
        <v>2220</v>
      </c>
      <c r="C84" t="s">
        <v>2221</v>
      </c>
      <c r="D84" t="s">
        <v>81</v>
      </c>
      <c r="E84" t="s">
        <v>1643</v>
      </c>
      <c r="F84" t="s">
        <v>2222</v>
      </c>
      <c r="G84" t="s">
        <v>2223</v>
      </c>
      <c r="H84" t="s">
        <v>2224</v>
      </c>
      <c r="I84" t="s">
        <v>2225</v>
      </c>
      <c r="J84" t="s">
        <v>2226</v>
      </c>
      <c r="K84" t="s">
        <v>1520</v>
      </c>
      <c r="L84" t="s">
        <v>1676</v>
      </c>
      <c r="M84">
        <v>25000</v>
      </c>
      <c r="N84">
        <v>60</v>
      </c>
      <c r="O84">
        <v>15.9</v>
      </c>
      <c r="P84">
        <v>50000</v>
      </c>
      <c r="Q84" t="s">
        <v>2227</v>
      </c>
      <c r="R84" t="s">
        <v>1628</v>
      </c>
      <c r="S84" t="s">
        <v>1589</v>
      </c>
    </row>
    <row r="85" spans="1:19" x14ac:dyDescent="0.25">
      <c r="A85" t="s">
        <v>2228</v>
      </c>
      <c r="B85" t="s">
        <v>2229</v>
      </c>
      <c r="C85" t="s">
        <v>2230</v>
      </c>
      <c r="D85" t="s">
        <v>1632</v>
      </c>
      <c r="E85" t="s">
        <v>1633</v>
      </c>
      <c r="F85" t="s">
        <v>2231</v>
      </c>
      <c r="G85" t="s">
        <v>2232</v>
      </c>
      <c r="H85" t="s">
        <v>2233</v>
      </c>
      <c r="I85" t="s">
        <v>2234</v>
      </c>
      <c r="J85" t="s">
        <v>2235</v>
      </c>
      <c r="K85" t="s">
        <v>1499</v>
      </c>
      <c r="L85" t="s">
        <v>1500</v>
      </c>
      <c r="M85">
        <v>5000</v>
      </c>
      <c r="N85">
        <v>90</v>
      </c>
      <c r="O85">
        <v>11.2</v>
      </c>
      <c r="P85">
        <v>1000</v>
      </c>
      <c r="Q85" t="s">
        <v>2236</v>
      </c>
      <c r="R85" t="s">
        <v>33</v>
      </c>
      <c r="S85" t="s">
        <v>1553</v>
      </c>
    </row>
    <row r="86" spans="1:19" x14ac:dyDescent="0.25">
      <c r="A86" t="s">
        <v>2237</v>
      </c>
      <c r="B86" t="s">
        <v>2238</v>
      </c>
      <c r="C86" t="s">
        <v>2239</v>
      </c>
      <c r="D86" t="s">
        <v>1478</v>
      </c>
      <c r="E86" t="s">
        <v>1479</v>
      </c>
      <c r="F86" t="s">
        <v>2240</v>
      </c>
      <c r="G86" t="s">
        <v>2241</v>
      </c>
      <c r="H86" t="s">
        <v>2242</v>
      </c>
      <c r="I86" t="s">
        <v>2243</v>
      </c>
      <c r="J86" t="s">
        <v>1888</v>
      </c>
      <c r="K86" t="s">
        <v>1520</v>
      </c>
      <c r="L86" t="s">
        <v>1542</v>
      </c>
      <c r="M86">
        <v>50000</v>
      </c>
      <c r="N86">
        <v>15</v>
      </c>
      <c r="O86">
        <v>3.8</v>
      </c>
      <c r="P86">
        <v>5000</v>
      </c>
      <c r="Q86" t="s">
        <v>2244</v>
      </c>
      <c r="R86" t="s">
        <v>1241</v>
      </c>
      <c r="S86" t="s">
        <v>1533</v>
      </c>
    </row>
    <row r="87" spans="1:19" x14ac:dyDescent="0.25">
      <c r="A87" t="s">
        <v>2245</v>
      </c>
      <c r="B87" t="s">
        <v>2246</v>
      </c>
      <c r="C87" t="s">
        <v>2247</v>
      </c>
      <c r="D87" t="s">
        <v>81</v>
      </c>
      <c r="E87" t="s">
        <v>1643</v>
      </c>
      <c r="F87" t="s">
        <v>2248</v>
      </c>
      <c r="G87" t="s">
        <v>2249</v>
      </c>
      <c r="H87" t="s">
        <v>2250</v>
      </c>
      <c r="I87" t="s">
        <v>2251</v>
      </c>
      <c r="J87" t="s">
        <v>1563</v>
      </c>
      <c r="K87" t="s">
        <v>1261</v>
      </c>
      <c r="L87" t="s">
        <v>1521</v>
      </c>
      <c r="M87">
        <v>10000</v>
      </c>
      <c r="N87">
        <v>0</v>
      </c>
      <c r="O87">
        <v>2.7</v>
      </c>
      <c r="P87">
        <v>5000</v>
      </c>
      <c r="Q87" t="s">
        <v>2252</v>
      </c>
      <c r="R87" t="s">
        <v>47</v>
      </c>
      <c r="S87" t="s">
        <v>1488</v>
      </c>
    </row>
    <row r="88" spans="1:19" x14ac:dyDescent="0.25">
      <c r="A88" t="s">
        <v>2253</v>
      </c>
      <c r="B88" t="s">
        <v>2254</v>
      </c>
      <c r="C88" t="s">
        <v>2255</v>
      </c>
      <c r="D88" t="s">
        <v>1569</v>
      </c>
      <c r="E88" t="s">
        <v>1570</v>
      </c>
      <c r="F88" t="s">
        <v>2256</v>
      </c>
      <c r="G88" t="s">
        <v>2257</v>
      </c>
      <c r="H88" t="s">
        <v>2258</v>
      </c>
      <c r="I88" t="s">
        <v>2259</v>
      </c>
      <c r="J88" t="s">
        <v>2260</v>
      </c>
      <c r="K88" t="s">
        <v>1499</v>
      </c>
      <c r="L88" t="s">
        <v>1486</v>
      </c>
      <c r="M88">
        <v>10000</v>
      </c>
      <c r="N88">
        <v>45</v>
      </c>
      <c r="O88">
        <v>12.1</v>
      </c>
      <c r="P88">
        <v>10000</v>
      </c>
      <c r="Q88" t="s">
        <v>2261</v>
      </c>
      <c r="R88" t="s">
        <v>33</v>
      </c>
      <c r="S88" t="s">
        <v>1488</v>
      </c>
    </row>
    <row r="89" spans="1:19" x14ac:dyDescent="0.25">
      <c r="A89" t="s">
        <v>2262</v>
      </c>
      <c r="B89" t="s">
        <v>2263</v>
      </c>
      <c r="C89" t="s">
        <v>2264</v>
      </c>
      <c r="D89" t="s">
        <v>1492</v>
      </c>
      <c r="E89" t="s">
        <v>1493</v>
      </c>
      <c r="F89" t="s">
        <v>2265</v>
      </c>
      <c r="G89" t="s">
        <v>2266</v>
      </c>
      <c r="H89" t="s">
        <v>2267</v>
      </c>
      <c r="I89" t="s">
        <v>2268</v>
      </c>
      <c r="J89" t="s">
        <v>1963</v>
      </c>
      <c r="K89" t="s">
        <v>1520</v>
      </c>
      <c r="L89" t="s">
        <v>1509</v>
      </c>
      <c r="M89">
        <v>250000</v>
      </c>
      <c r="N89">
        <v>0</v>
      </c>
      <c r="O89">
        <v>2.8</v>
      </c>
      <c r="P89">
        <v>50000</v>
      </c>
      <c r="Q89" t="s">
        <v>2269</v>
      </c>
      <c r="R89" t="s">
        <v>33</v>
      </c>
      <c r="S89" t="s">
        <v>1533</v>
      </c>
    </row>
    <row r="90" spans="1:19" x14ac:dyDescent="0.25">
      <c r="A90" t="s">
        <v>2270</v>
      </c>
      <c r="B90" t="s">
        <v>2271</v>
      </c>
      <c r="C90" t="s">
        <v>2272</v>
      </c>
      <c r="D90" t="s">
        <v>1557</v>
      </c>
      <c r="E90" t="s">
        <v>1558</v>
      </c>
      <c r="F90" t="s">
        <v>2273</v>
      </c>
      <c r="G90" t="s">
        <v>2274</v>
      </c>
      <c r="H90" t="s">
        <v>2275</v>
      </c>
      <c r="I90" t="s">
        <v>2276</v>
      </c>
      <c r="J90" t="s">
        <v>2032</v>
      </c>
      <c r="K90" t="s">
        <v>1485</v>
      </c>
      <c r="L90" t="s">
        <v>1576</v>
      </c>
      <c r="M90">
        <v>100000</v>
      </c>
      <c r="N90">
        <v>0</v>
      </c>
      <c r="O90">
        <v>18.100000000000001</v>
      </c>
      <c r="P90">
        <v>10000</v>
      </c>
      <c r="Q90" t="s">
        <v>2277</v>
      </c>
      <c r="R90" t="s">
        <v>33</v>
      </c>
      <c r="S90" t="s">
        <v>1533</v>
      </c>
    </row>
    <row r="91" spans="1:19" x14ac:dyDescent="0.25">
      <c r="A91" t="s">
        <v>2278</v>
      </c>
      <c r="B91" t="s">
        <v>2279</v>
      </c>
      <c r="C91" t="s">
        <v>2280</v>
      </c>
      <c r="D91" t="s">
        <v>1581</v>
      </c>
      <c r="E91" t="s">
        <v>1582</v>
      </c>
      <c r="F91" t="s">
        <v>2281</v>
      </c>
      <c r="G91" t="s">
        <v>2282</v>
      </c>
      <c r="H91" t="s">
        <v>2283</v>
      </c>
      <c r="I91" t="s">
        <v>2284</v>
      </c>
      <c r="J91" t="s">
        <v>2285</v>
      </c>
      <c r="K91" t="s">
        <v>1499</v>
      </c>
      <c r="L91" t="s">
        <v>1500</v>
      </c>
      <c r="M91">
        <v>250000</v>
      </c>
      <c r="N91">
        <v>60</v>
      </c>
      <c r="O91">
        <v>15</v>
      </c>
      <c r="P91">
        <v>50000</v>
      </c>
      <c r="Q91" t="s">
        <v>2286</v>
      </c>
      <c r="R91" t="s">
        <v>33</v>
      </c>
      <c r="S91" t="s">
        <v>1553</v>
      </c>
    </row>
    <row r="92" spans="1:19" x14ac:dyDescent="0.25">
      <c r="A92" t="s">
        <v>2287</v>
      </c>
      <c r="B92" t="s">
        <v>2288</v>
      </c>
      <c r="C92" t="s">
        <v>2289</v>
      </c>
      <c r="D92" t="s">
        <v>1581</v>
      </c>
      <c r="E92" t="s">
        <v>1582</v>
      </c>
      <c r="F92" t="s">
        <v>2290</v>
      </c>
      <c r="G92" t="s">
        <v>2291</v>
      </c>
      <c r="H92" t="s">
        <v>2292</v>
      </c>
      <c r="I92" t="s">
        <v>2293</v>
      </c>
      <c r="J92" t="s">
        <v>1587</v>
      </c>
      <c r="K92" t="s">
        <v>1499</v>
      </c>
      <c r="L92" t="s">
        <v>1564</v>
      </c>
      <c r="M92">
        <v>10000</v>
      </c>
      <c r="N92">
        <v>60</v>
      </c>
      <c r="O92">
        <v>1.5</v>
      </c>
      <c r="P92">
        <v>1000</v>
      </c>
      <c r="Q92" t="s">
        <v>2294</v>
      </c>
      <c r="R92" t="s">
        <v>33</v>
      </c>
      <c r="S92" t="s">
        <v>1488</v>
      </c>
    </row>
    <row r="93" spans="1:19" x14ac:dyDescent="0.25">
      <c r="A93" t="s">
        <v>2295</v>
      </c>
      <c r="B93" t="s">
        <v>2296</v>
      </c>
      <c r="C93" t="s">
        <v>2297</v>
      </c>
      <c r="D93" t="s">
        <v>1492</v>
      </c>
      <c r="E93" t="s">
        <v>1493</v>
      </c>
      <c r="F93" t="s">
        <v>2298</v>
      </c>
      <c r="G93" t="s">
        <v>2299</v>
      </c>
      <c r="H93" t="s">
        <v>2300</v>
      </c>
      <c r="I93" t="s">
        <v>2301</v>
      </c>
      <c r="J93" t="s">
        <v>2302</v>
      </c>
      <c r="K93" t="s">
        <v>1261</v>
      </c>
      <c r="L93" t="s">
        <v>1542</v>
      </c>
      <c r="M93">
        <v>25000</v>
      </c>
      <c r="N93">
        <v>90</v>
      </c>
      <c r="O93">
        <v>4.7</v>
      </c>
      <c r="P93">
        <v>500</v>
      </c>
      <c r="Q93" t="s">
        <v>2303</v>
      </c>
      <c r="R93" t="s">
        <v>33</v>
      </c>
      <c r="S93" t="s">
        <v>1589</v>
      </c>
    </row>
    <row r="94" spans="1:19" x14ac:dyDescent="0.25">
      <c r="A94" t="s">
        <v>2304</v>
      </c>
      <c r="B94" t="s">
        <v>2305</v>
      </c>
      <c r="C94" t="s">
        <v>2306</v>
      </c>
      <c r="D94" t="s">
        <v>1632</v>
      </c>
      <c r="E94" t="s">
        <v>1633</v>
      </c>
      <c r="F94" t="s">
        <v>2307</v>
      </c>
      <c r="G94" t="s">
        <v>2308</v>
      </c>
      <c r="H94" t="s">
        <v>2309</v>
      </c>
      <c r="I94" t="s">
        <v>2310</v>
      </c>
      <c r="J94" t="s">
        <v>1626</v>
      </c>
      <c r="K94" t="s">
        <v>1153</v>
      </c>
      <c r="L94" t="s">
        <v>1486</v>
      </c>
      <c r="M94">
        <v>100000</v>
      </c>
      <c r="N94">
        <v>90</v>
      </c>
      <c r="O94">
        <v>16.8</v>
      </c>
      <c r="P94">
        <v>100</v>
      </c>
      <c r="Q94" t="s">
        <v>2311</v>
      </c>
      <c r="R94" t="s">
        <v>33</v>
      </c>
      <c r="S94" t="s">
        <v>1553</v>
      </c>
    </row>
    <row r="95" spans="1:19" x14ac:dyDescent="0.25">
      <c r="A95" t="s">
        <v>2312</v>
      </c>
      <c r="B95" t="s">
        <v>2313</v>
      </c>
      <c r="C95" t="s">
        <v>2314</v>
      </c>
      <c r="D95" t="s">
        <v>100</v>
      </c>
      <c r="E95" t="s">
        <v>1514</v>
      </c>
      <c r="F95" t="s">
        <v>2315</v>
      </c>
      <c r="G95" t="s">
        <v>2316</v>
      </c>
      <c r="H95" t="s">
        <v>2317</v>
      </c>
      <c r="I95" t="s">
        <v>2318</v>
      </c>
      <c r="J95" t="s">
        <v>1930</v>
      </c>
      <c r="K95" t="s">
        <v>1153</v>
      </c>
      <c r="L95" t="s">
        <v>1521</v>
      </c>
      <c r="M95">
        <v>50000</v>
      </c>
      <c r="N95">
        <v>30</v>
      </c>
      <c r="O95">
        <v>2.9</v>
      </c>
      <c r="P95">
        <v>5000</v>
      </c>
      <c r="Q95" t="s">
        <v>2319</v>
      </c>
      <c r="R95" t="s">
        <v>33</v>
      </c>
      <c r="S95" t="s">
        <v>1533</v>
      </c>
    </row>
    <row r="96" spans="1:19" x14ac:dyDescent="0.25">
      <c r="A96" t="s">
        <v>2320</v>
      </c>
      <c r="B96" t="s">
        <v>2321</v>
      </c>
      <c r="C96" t="s">
        <v>2322</v>
      </c>
      <c r="D96" t="s">
        <v>1569</v>
      </c>
      <c r="E96" t="s">
        <v>1570</v>
      </c>
      <c r="F96" t="s">
        <v>2323</v>
      </c>
      <c r="G96" t="s">
        <v>2324</v>
      </c>
      <c r="H96" t="s">
        <v>2325</v>
      </c>
      <c r="I96" t="s">
        <v>2326</v>
      </c>
      <c r="J96" t="s">
        <v>1484</v>
      </c>
      <c r="K96" t="s">
        <v>1261</v>
      </c>
      <c r="L96" t="s">
        <v>1576</v>
      </c>
      <c r="M96">
        <v>25000</v>
      </c>
      <c r="N96">
        <v>30</v>
      </c>
      <c r="O96">
        <v>5.3</v>
      </c>
      <c r="P96">
        <v>100</v>
      </c>
      <c r="Q96" t="s">
        <v>2327</v>
      </c>
      <c r="R96" t="s">
        <v>1628</v>
      </c>
      <c r="S96" t="s">
        <v>1533</v>
      </c>
    </row>
    <row r="97" spans="1:19" x14ac:dyDescent="0.25">
      <c r="A97" t="s">
        <v>2328</v>
      </c>
      <c r="B97" t="s">
        <v>2329</v>
      </c>
      <c r="C97" t="s">
        <v>2330</v>
      </c>
      <c r="D97" t="s">
        <v>1478</v>
      </c>
      <c r="E97" t="s">
        <v>1479</v>
      </c>
      <c r="F97" t="s">
        <v>2331</v>
      </c>
      <c r="G97" t="s">
        <v>2332</v>
      </c>
      <c r="H97" t="s">
        <v>2333</v>
      </c>
      <c r="I97" t="s">
        <v>2334</v>
      </c>
      <c r="J97" t="s">
        <v>1827</v>
      </c>
      <c r="K97" t="s">
        <v>1499</v>
      </c>
      <c r="L97" t="s">
        <v>1500</v>
      </c>
      <c r="M97">
        <v>250000</v>
      </c>
      <c r="N97">
        <v>0</v>
      </c>
      <c r="O97">
        <v>16.600000000000001</v>
      </c>
      <c r="P97">
        <v>100</v>
      </c>
      <c r="Q97" t="s">
        <v>2335</v>
      </c>
      <c r="R97" t="s">
        <v>33</v>
      </c>
      <c r="S97" t="s">
        <v>1488</v>
      </c>
    </row>
    <row r="98" spans="1:19" x14ac:dyDescent="0.25">
      <c r="A98" t="s">
        <v>2336</v>
      </c>
      <c r="B98" t="s">
        <v>2337</v>
      </c>
      <c r="C98" t="s">
        <v>2338</v>
      </c>
      <c r="D98" t="s">
        <v>1632</v>
      </c>
      <c r="E98" t="s">
        <v>1633</v>
      </c>
      <c r="F98" t="s">
        <v>2339</v>
      </c>
      <c r="G98" t="s">
        <v>2340</v>
      </c>
      <c r="H98" t="s">
        <v>2341</v>
      </c>
      <c r="I98" t="s">
        <v>2342</v>
      </c>
      <c r="J98" t="s">
        <v>1997</v>
      </c>
      <c r="K98" t="s">
        <v>1520</v>
      </c>
      <c r="L98" t="s">
        <v>1564</v>
      </c>
      <c r="M98">
        <v>5000</v>
      </c>
      <c r="N98">
        <v>60</v>
      </c>
      <c r="O98">
        <v>13.1</v>
      </c>
      <c r="P98">
        <v>500</v>
      </c>
      <c r="Q98" t="s">
        <v>2343</v>
      </c>
      <c r="R98" t="s">
        <v>33</v>
      </c>
      <c r="S98" t="s">
        <v>1553</v>
      </c>
    </row>
    <row r="99" spans="1:19" x14ac:dyDescent="0.25">
      <c r="A99" t="s">
        <v>2344</v>
      </c>
      <c r="B99" t="s">
        <v>2345</v>
      </c>
      <c r="C99" t="s">
        <v>2346</v>
      </c>
      <c r="D99" t="s">
        <v>1632</v>
      </c>
      <c r="E99" t="s">
        <v>1633</v>
      </c>
      <c r="F99" t="s">
        <v>2347</v>
      </c>
      <c r="G99" t="s">
        <v>2348</v>
      </c>
      <c r="H99" t="s">
        <v>2349</v>
      </c>
      <c r="I99" t="s">
        <v>2350</v>
      </c>
      <c r="J99" t="s">
        <v>2351</v>
      </c>
      <c r="K99" t="s">
        <v>1499</v>
      </c>
      <c r="L99" t="s">
        <v>1576</v>
      </c>
      <c r="M99">
        <v>25000</v>
      </c>
      <c r="N99">
        <v>45</v>
      </c>
      <c r="O99">
        <v>13.2</v>
      </c>
      <c r="P99">
        <v>100</v>
      </c>
      <c r="Q99" t="s">
        <v>2352</v>
      </c>
      <c r="R99" t="s">
        <v>47</v>
      </c>
      <c r="S99" t="s">
        <v>1589</v>
      </c>
    </row>
    <row r="100" spans="1:19" x14ac:dyDescent="0.25">
      <c r="A100" t="s">
        <v>2353</v>
      </c>
      <c r="B100" t="s">
        <v>2354</v>
      </c>
      <c r="C100" t="s">
        <v>2355</v>
      </c>
      <c r="D100" t="s">
        <v>1569</v>
      </c>
      <c r="E100" t="s">
        <v>1570</v>
      </c>
      <c r="F100" t="s">
        <v>2356</v>
      </c>
      <c r="G100" t="s">
        <v>2357</v>
      </c>
      <c r="H100" t="s">
        <v>2358</v>
      </c>
      <c r="I100" t="s">
        <v>2359</v>
      </c>
      <c r="J100" t="s">
        <v>1897</v>
      </c>
      <c r="K100" t="s">
        <v>1261</v>
      </c>
      <c r="L100" t="s">
        <v>1676</v>
      </c>
      <c r="M100">
        <v>5000</v>
      </c>
      <c r="N100">
        <v>30</v>
      </c>
      <c r="O100">
        <v>19.100000000000001</v>
      </c>
      <c r="P100">
        <v>1000</v>
      </c>
      <c r="Q100" t="s">
        <v>2360</v>
      </c>
      <c r="R100" t="s">
        <v>47</v>
      </c>
      <c r="S100" t="s">
        <v>1553</v>
      </c>
    </row>
    <row r="101" spans="1:19" x14ac:dyDescent="0.25">
      <c r="A101" t="s">
        <v>2361</v>
      </c>
      <c r="B101" t="s">
        <v>2362</v>
      </c>
      <c r="C101" t="s">
        <v>2363</v>
      </c>
      <c r="D101" t="s">
        <v>1581</v>
      </c>
      <c r="E101" t="s">
        <v>1582</v>
      </c>
      <c r="F101" t="s">
        <v>2364</v>
      </c>
      <c r="G101" t="s">
        <v>2365</v>
      </c>
      <c r="H101" t="s">
        <v>2366</v>
      </c>
      <c r="I101" t="s">
        <v>2367</v>
      </c>
      <c r="J101" t="s">
        <v>2368</v>
      </c>
      <c r="K101" t="s">
        <v>1153</v>
      </c>
      <c r="L101" t="s">
        <v>1486</v>
      </c>
      <c r="M101">
        <v>100000</v>
      </c>
      <c r="N101">
        <v>90</v>
      </c>
      <c r="O101">
        <v>2.1</v>
      </c>
      <c r="P101">
        <v>5000</v>
      </c>
      <c r="Q101" t="s">
        <v>2369</v>
      </c>
      <c r="R101" t="s">
        <v>33</v>
      </c>
      <c r="S101" t="s">
        <v>1553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1"/>
  <sheetViews>
    <sheetView workbookViewId="0"/>
  </sheetViews>
  <sheetFormatPr baseColWidth="10" defaultColWidth="9.140625" defaultRowHeight="15" x14ac:dyDescent="0.25"/>
  <sheetData>
    <row r="1" spans="1:16" x14ac:dyDescent="0.25">
      <c r="A1" s="1" t="s">
        <v>1116</v>
      </c>
      <c r="B1" s="1" t="s">
        <v>1</v>
      </c>
      <c r="C1" s="1" t="s">
        <v>1117</v>
      </c>
      <c r="D1" s="1" t="s">
        <v>1118</v>
      </c>
      <c r="E1" s="1" t="s">
        <v>1119</v>
      </c>
      <c r="F1" s="1" t="s">
        <v>1120</v>
      </c>
      <c r="G1" s="1" t="s">
        <v>1121</v>
      </c>
      <c r="H1" s="1" t="s">
        <v>1122</v>
      </c>
      <c r="I1" s="1" t="s">
        <v>2370</v>
      </c>
      <c r="J1" s="1" t="s">
        <v>2371</v>
      </c>
      <c r="K1" s="1" t="s">
        <v>1128</v>
      </c>
      <c r="L1" s="1" t="s">
        <v>2372</v>
      </c>
      <c r="M1" s="1" t="s">
        <v>2373</v>
      </c>
      <c r="N1" s="1" t="s">
        <v>2374</v>
      </c>
      <c r="O1" s="1" t="s">
        <v>17</v>
      </c>
      <c r="P1" s="1" t="s">
        <v>2375</v>
      </c>
    </row>
    <row r="2" spans="1:16" x14ac:dyDescent="0.25">
      <c r="A2" t="s">
        <v>2376</v>
      </c>
      <c r="B2" t="s">
        <v>2377</v>
      </c>
      <c r="C2" t="s">
        <v>100</v>
      </c>
      <c r="D2" t="s">
        <v>1633</v>
      </c>
      <c r="E2" t="s">
        <v>2378</v>
      </c>
      <c r="F2" t="s">
        <v>2379</v>
      </c>
      <c r="G2" t="s">
        <v>2380</v>
      </c>
      <c r="H2" t="s">
        <v>2381</v>
      </c>
      <c r="I2">
        <v>8305</v>
      </c>
      <c r="J2">
        <v>4673</v>
      </c>
      <c r="K2" t="s">
        <v>2382</v>
      </c>
      <c r="L2" t="s">
        <v>2383</v>
      </c>
      <c r="M2" t="s">
        <v>2384</v>
      </c>
      <c r="N2" t="s">
        <v>2385</v>
      </c>
      <c r="O2" t="s">
        <v>2386</v>
      </c>
      <c r="P2" t="s">
        <v>2387</v>
      </c>
    </row>
    <row r="3" spans="1:16" x14ac:dyDescent="0.25">
      <c r="A3" t="s">
        <v>2388</v>
      </c>
      <c r="B3" t="s">
        <v>2389</v>
      </c>
      <c r="C3" t="s">
        <v>1478</v>
      </c>
      <c r="D3" t="s">
        <v>1514</v>
      </c>
      <c r="E3" t="s">
        <v>2390</v>
      </c>
      <c r="F3" t="s">
        <v>2391</v>
      </c>
      <c r="G3" t="s">
        <v>2392</v>
      </c>
      <c r="H3" t="s">
        <v>2393</v>
      </c>
      <c r="I3">
        <v>8833</v>
      </c>
      <c r="J3">
        <v>5798</v>
      </c>
      <c r="K3" t="s">
        <v>2394</v>
      </c>
      <c r="L3" t="s">
        <v>2395</v>
      </c>
      <c r="M3" t="s">
        <v>2396</v>
      </c>
      <c r="N3" t="s">
        <v>2285</v>
      </c>
      <c r="O3" t="s">
        <v>33</v>
      </c>
      <c r="P3" t="s">
        <v>2397</v>
      </c>
    </row>
    <row r="4" spans="1:16" x14ac:dyDescent="0.25">
      <c r="A4" t="s">
        <v>2398</v>
      </c>
      <c r="B4" t="s">
        <v>2399</v>
      </c>
      <c r="C4" t="s">
        <v>1632</v>
      </c>
      <c r="D4" t="s">
        <v>1479</v>
      </c>
      <c r="E4" t="s">
        <v>2400</v>
      </c>
      <c r="F4" t="s">
        <v>2401</v>
      </c>
      <c r="G4" t="s">
        <v>2402</v>
      </c>
      <c r="H4" t="s">
        <v>2403</v>
      </c>
      <c r="I4">
        <v>7563</v>
      </c>
      <c r="J4">
        <v>4643</v>
      </c>
      <c r="K4" t="s">
        <v>2382</v>
      </c>
      <c r="L4" t="s">
        <v>2383</v>
      </c>
      <c r="M4" t="s">
        <v>2396</v>
      </c>
      <c r="N4" t="s">
        <v>2404</v>
      </c>
      <c r="O4" t="s">
        <v>2405</v>
      </c>
      <c r="P4" t="s">
        <v>2406</v>
      </c>
    </row>
    <row r="5" spans="1:16" x14ac:dyDescent="0.25">
      <c r="A5" t="s">
        <v>2407</v>
      </c>
      <c r="B5" t="s">
        <v>2408</v>
      </c>
      <c r="C5" t="s">
        <v>81</v>
      </c>
      <c r="D5" t="s">
        <v>1643</v>
      </c>
      <c r="E5" t="s">
        <v>2409</v>
      </c>
      <c r="F5" t="s">
        <v>2410</v>
      </c>
      <c r="G5" t="s">
        <v>2411</v>
      </c>
      <c r="H5" t="s">
        <v>2412</v>
      </c>
      <c r="I5">
        <v>5896</v>
      </c>
      <c r="J5">
        <v>2115</v>
      </c>
      <c r="K5" t="s">
        <v>2394</v>
      </c>
      <c r="L5" t="s">
        <v>2383</v>
      </c>
      <c r="M5" t="s">
        <v>2413</v>
      </c>
      <c r="N5" t="s">
        <v>2414</v>
      </c>
      <c r="O5" t="s">
        <v>33</v>
      </c>
      <c r="P5" t="s">
        <v>2415</v>
      </c>
    </row>
    <row r="6" spans="1:16" x14ac:dyDescent="0.25">
      <c r="A6" t="s">
        <v>2416</v>
      </c>
      <c r="B6" t="s">
        <v>2417</v>
      </c>
      <c r="C6" t="s">
        <v>1581</v>
      </c>
      <c r="D6" t="s">
        <v>1582</v>
      </c>
      <c r="E6" t="s">
        <v>2418</v>
      </c>
      <c r="F6" t="s">
        <v>2419</v>
      </c>
      <c r="G6" t="s">
        <v>2420</v>
      </c>
      <c r="H6" t="s">
        <v>2421</v>
      </c>
      <c r="I6">
        <v>4907</v>
      </c>
      <c r="J6">
        <v>3312</v>
      </c>
      <c r="K6" t="s">
        <v>2422</v>
      </c>
      <c r="L6" t="s">
        <v>2395</v>
      </c>
      <c r="M6" t="s">
        <v>2384</v>
      </c>
      <c r="N6" t="s">
        <v>2423</v>
      </c>
      <c r="O6" t="s">
        <v>2405</v>
      </c>
      <c r="P6" t="s">
        <v>2424</v>
      </c>
    </row>
    <row r="7" spans="1:16" x14ac:dyDescent="0.25">
      <c r="A7" t="s">
        <v>2425</v>
      </c>
      <c r="B7" t="s">
        <v>2426</v>
      </c>
      <c r="C7" t="s">
        <v>1611</v>
      </c>
      <c r="D7" t="s">
        <v>1612</v>
      </c>
      <c r="E7" t="s">
        <v>2427</v>
      </c>
      <c r="F7" t="s">
        <v>2428</v>
      </c>
      <c r="G7" t="s">
        <v>2429</v>
      </c>
      <c r="H7" t="s">
        <v>2430</v>
      </c>
      <c r="I7">
        <v>7643</v>
      </c>
      <c r="J7">
        <v>4200</v>
      </c>
      <c r="K7" t="s">
        <v>2422</v>
      </c>
      <c r="L7" t="s">
        <v>2395</v>
      </c>
      <c r="M7" t="s">
        <v>2396</v>
      </c>
      <c r="N7" t="s">
        <v>1810</v>
      </c>
      <c r="O7" t="s">
        <v>2405</v>
      </c>
      <c r="P7" t="s">
        <v>2431</v>
      </c>
    </row>
    <row r="8" spans="1:16" x14ac:dyDescent="0.25">
      <c r="A8" t="s">
        <v>2432</v>
      </c>
      <c r="B8" t="s">
        <v>2433</v>
      </c>
      <c r="C8" t="s">
        <v>1778</v>
      </c>
      <c r="D8" t="s">
        <v>1779</v>
      </c>
      <c r="E8" t="s">
        <v>2434</v>
      </c>
      <c r="F8" t="s">
        <v>2435</v>
      </c>
      <c r="G8" t="s">
        <v>2436</v>
      </c>
      <c r="H8" t="s">
        <v>2437</v>
      </c>
      <c r="I8">
        <v>8720</v>
      </c>
      <c r="J8">
        <v>7798</v>
      </c>
      <c r="K8" t="s">
        <v>2422</v>
      </c>
      <c r="L8" t="s">
        <v>2383</v>
      </c>
      <c r="M8" t="s">
        <v>2413</v>
      </c>
      <c r="N8" t="s">
        <v>2438</v>
      </c>
      <c r="O8" t="s">
        <v>33</v>
      </c>
      <c r="P8" t="s">
        <v>2439</v>
      </c>
    </row>
    <row r="9" spans="1:16" x14ac:dyDescent="0.25">
      <c r="A9" t="s">
        <v>2440</v>
      </c>
      <c r="B9" t="s">
        <v>2441</v>
      </c>
      <c r="C9" t="s">
        <v>1492</v>
      </c>
      <c r="D9" t="s">
        <v>1493</v>
      </c>
      <c r="E9" t="s">
        <v>2442</v>
      </c>
      <c r="F9" t="s">
        <v>2443</v>
      </c>
      <c r="G9" t="s">
        <v>2444</v>
      </c>
      <c r="H9" t="s">
        <v>2445</v>
      </c>
      <c r="I9">
        <v>2047</v>
      </c>
      <c r="J9">
        <v>1486</v>
      </c>
      <c r="K9" t="s">
        <v>2446</v>
      </c>
      <c r="L9" t="s">
        <v>2383</v>
      </c>
      <c r="M9" t="s">
        <v>2384</v>
      </c>
      <c r="N9" t="s">
        <v>2447</v>
      </c>
      <c r="O9" t="s">
        <v>2386</v>
      </c>
      <c r="P9" t="s">
        <v>2448</v>
      </c>
    </row>
    <row r="10" spans="1:16" x14ac:dyDescent="0.25">
      <c r="A10" t="s">
        <v>2449</v>
      </c>
      <c r="B10" t="s">
        <v>2450</v>
      </c>
      <c r="C10" t="s">
        <v>1557</v>
      </c>
      <c r="D10" t="s">
        <v>1558</v>
      </c>
      <c r="E10" t="s">
        <v>2451</v>
      </c>
      <c r="F10" t="s">
        <v>2452</v>
      </c>
      <c r="G10" t="s">
        <v>2453</v>
      </c>
      <c r="H10" t="s">
        <v>2454</v>
      </c>
      <c r="I10">
        <v>3250</v>
      </c>
      <c r="J10">
        <v>1222</v>
      </c>
      <c r="K10" t="s">
        <v>2446</v>
      </c>
      <c r="L10" t="s">
        <v>2383</v>
      </c>
      <c r="M10" t="s">
        <v>2384</v>
      </c>
      <c r="N10" t="s">
        <v>2455</v>
      </c>
      <c r="O10" t="s">
        <v>33</v>
      </c>
      <c r="P10" t="s">
        <v>1552</v>
      </c>
    </row>
    <row r="11" spans="1:16" x14ac:dyDescent="0.25">
      <c r="A11" t="s">
        <v>2456</v>
      </c>
      <c r="B11" t="s">
        <v>2457</v>
      </c>
      <c r="C11" t="s">
        <v>1569</v>
      </c>
      <c r="D11" t="s">
        <v>1570</v>
      </c>
      <c r="E11" t="s">
        <v>2458</v>
      </c>
      <c r="F11" t="s">
        <v>2459</v>
      </c>
      <c r="G11" t="s">
        <v>2460</v>
      </c>
      <c r="H11" t="s">
        <v>2461</v>
      </c>
      <c r="I11">
        <v>3703</v>
      </c>
      <c r="J11">
        <v>1756</v>
      </c>
      <c r="K11" t="s">
        <v>2422</v>
      </c>
      <c r="L11" t="s">
        <v>2383</v>
      </c>
      <c r="M11" t="s">
        <v>2413</v>
      </c>
      <c r="N11" t="s">
        <v>2462</v>
      </c>
      <c r="O11" t="s">
        <v>33</v>
      </c>
      <c r="P11" t="s">
        <v>2463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6"/>
  <sheetViews>
    <sheetView workbookViewId="0"/>
  </sheetViews>
  <sheetFormatPr baseColWidth="10" defaultColWidth="9.140625" defaultRowHeight="15" x14ac:dyDescent="0.25"/>
  <sheetData>
    <row r="1" spans="1:16" x14ac:dyDescent="0.25">
      <c r="A1" s="1" t="s">
        <v>1116</v>
      </c>
      <c r="B1" s="1" t="s">
        <v>2464</v>
      </c>
      <c r="C1" s="1" t="s">
        <v>1128</v>
      </c>
      <c r="D1" s="1" t="s">
        <v>1467</v>
      </c>
      <c r="E1" s="1" t="s">
        <v>2465</v>
      </c>
      <c r="F1" s="1" t="s">
        <v>2466</v>
      </c>
      <c r="G1" s="1" t="s">
        <v>2467</v>
      </c>
      <c r="H1" s="1" t="s">
        <v>2468</v>
      </c>
      <c r="I1" s="1" t="s">
        <v>12</v>
      </c>
      <c r="J1" s="1" t="s">
        <v>2469</v>
      </c>
      <c r="K1" s="1" t="s">
        <v>2470</v>
      </c>
      <c r="L1" s="1" t="s">
        <v>2471</v>
      </c>
      <c r="M1" s="1" t="s">
        <v>2472</v>
      </c>
      <c r="N1" s="1" t="s">
        <v>2473</v>
      </c>
      <c r="O1" s="1" t="s">
        <v>17</v>
      </c>
      <c r="P1" s="1" t="s">
        <v>2474</v>
      </c>
    </row>
    <row r="2" spans="1:16" x14ac:dyDescent="0.25">
      <c r="A2" t="s">
        <v>2475</v>
      </c>
      <c r="B2" t="s">
        <v>2476</v>
      </c>
      <c r="C2" t="s">
        <v>2477</v>
      </c>
      <c r="D2" t="s">
        <v>2478</v>
      </c>
      <c r="E2">
        <v>493</v>
      </c>
      <c r="F2">
        <v>1.72</v>
      </c>
      <c r="G2">
        <v>50.54</v>
      </c>
      <c r="H2">
        <v>16</v>
      </c>
      <c r="I2" t="s">
        <v>1632</v>
      </c>
      <c r="J2" t="s">
        <v>1569</v>
      </c>
      <c r="K2">
        <v>1000</v>
      </c>
      <c r="L2" t="s">
        <v>2479</v>
      </c>
      <c r="M2" t="s">
        <v>2395</v>
      </c>
      <c r="N2" t="s">
        <v>2383</v>
      </c>
      <c r="O2" t="s">
        <v>1241</v>
      </c>
      <c r="P2" t="s">
        <v>2480</v>
      </c>
    </row>
    <row r="3" spans="1:16" x14ac:dyDescent="0.25">
      <c r="A3" t="s">
        <v>2481</v>
      </c>
      <c r="B3" t="s">
        <v>2482</v>
      </c>
      <c r="C3" t="s">
        <v>2483</v>
      </c>
      <c r="D3" t="s">
        <v>2484</v>
      </c>
      <c r="E3">
        <v>1057</v>
      </c>
      <c r="F3">
        <v>3.01</v>
      </c>
      <c r="G3">
        <v>27.27</v>
      </c>
      <c r="H3">
        <v>34</v>
      </c>
      <c r="I3" t="s">
        <v>1478</v>
      </c>
      <c r="J3" t="s">
        <v>1569</v>
      </c>
      <c r="K3">
        <v>10000</v>
      </c>
      <c r="L3" t="s">
        <v>2479</v>
      </c>
      <c r="M3" t="s">
        <v>2395</v>
      </c>
      <c r="N3" t="s">
        <v>2383</v>
      </c>
      <c r="O3" t="s">
        <v>33</v>
      </c>
      <c r="P3" t="s">
        <v>2485</v>
      </c>
    </row>
    <row r="4" spans="1:16" x14ac:dyDescent="0.25">
      <c r="A4" t="s">
        <v>2486</v>
      </c>
      <c r="B4" t="s">
        <v>2487</v>
      </c>
      <c r="C4" t="s">
        <v>2488</v>
      </c>
      <c r="D4" t="s">
        <v>2478</v>
      </c>
      <c r="E4">
        <v>430</v>
      </c>
      <c r="F4">
        <v>1.17</v>
      </c>
      <c r="G4">
        <v>85.94</v>
      </c>
      <c r="H4">
        <v>31</v>
      </c>
      <c r="I4" t="s">
        <v>1492</v>
      </c>
      <c r="J4" t="s">
        <v>1632</v>
      </c>
      <c r="K4">
        <v>5000</v>
      </c>
      <c r="L4" t="s">
        <v>2489</v>
      </c>
      <c r="M4" t="s">
        <v>2395</v>
      </c>
      <c r="N4" t="s">
        <v>2395</v>
      </c>
      <c r="O4" t="s">
        <v>33</v>
      </c>
      <c r="P4" t="s">
        <v>2490</v>
      </c>
    </row>
    <row r="5" spans="1:16" x14ac:dyDescent="0.25">
      <c r="A5" t="s">
        <v>2491</v>
      </c>
      <c r="B5" t="s">
        <v>2492</v>
      </c>
      <c r="C5" t="s">
        <v>2477</v>
      </c>
      <c r="D5" t="s">
        <v>2493</v>
      </c>
      <c r="E5">
        <v>714</v>
      </c>
      <c r="F5">
        <v>3.28</v>
      </c>
      <c r="G5">
        <v>90.11</v>
      </c>
      <c r="H5">
        <v>30</v>
      </c>
      <c r="I5" t="s">
        <v>100</v>
      </c>
      <c r="J5" t="s">
        <v>1478</v>
      </c>
      <c r="K5">
        <v>1000</v>
      </c>
      <c r="L5" t="s">
        <v>2479</v>
      </c>
      <c r="M5" t="s">
        <v>2395</v>
      </c>
      <c r="N5" t="s">
        <v>2395</v>
      </c>
      <c r="O5" t="s">
        <v>33</v>
      </c>
      <c r="P5" t="s">
        <v>2494</v>
      </c>
    </row>
    <row r="6" spans="1:16" x14ac:dyDescent="0.25">
      <c r="A6" t="s">
        <v>2495</v>
      </c>
      <c r="B6" t="s">
        <v>2496</v>
      </c>
      <c r="C6" t="s">
        <v>2497</v>
      </c>
      <c r="D6" t="s">
        <v>2498</v>
      </c>
      <c r="E6">
        <v>345</v>
      </c>
      <c r="F6">
        <v>3.75</v>
      </c>
      <c r="G6">
        <v>63.34</v>
      </c>
      <c r="H6">
        <v>21</v>
      </c>
      <c r="I6" t="s">
        <v>1778</v>
      </c>
      <c r="J6" t="s">
        <v>81</v>
      </c>
      <c r="K6">
        <v>10000</v>
      </c>
      <c r="L6" t="s">
        <v>2499</v>
      </c>
      <c r="M6" t="s">
        <v>2395</v>
      </c>
      <c r="N6" t="s">
        <v>2395</v>
      </c>
      <c r="O6" t="s">
        <v>33</v>
      </c>
      <c r="P6" t="s">
        <v>2500</v>
      </c>
    </row>
    <row r="7" spans="1:16" x14ac:dyDescent="0.25">
      <c r="A7" t="s">
        <v>2501</v>
      </c>
      <c r="B7" t="s">
        <v>2502</v>
      </c>
      <c r="C7" t="s">
        <v>2477</v>
      </c>
      <c r="D7" t="s">
        <v>2503</v>
      </c>
      <c r="E7">
        <v>1044</v>
      </c>
      <c r="F7">
        <v>1.4</v>
      </c>
      <c r="G7">
        <v>90.22</v>
      </c>
      <c r="H7">
        <v>5</v>
      </c>
      <c r="I7" t="s">
        <v>1492</v>
      </c>
      <c r="J7" t="s">
        <v>1569</v>
      </c>
      <c r="K7">
        <v>20000</v>
      </c>
      <c r="L7" t="s">
        <v>2504</v>
      </c>
      <c r="M7" t="s">
        <v>2383</v>
      </c>
      <c r="N7" t="s">
        <v>2395</v>
      </c>
      <c r="O7" t="s">
        <v>33</v>
      </c>
      <c r="P7" t="s">
        <v>2505</v>
      </c>
    </row>
    <row r="8" spans="1:16" x14ac:dyDescent="0.25">
      <c r="A8" t="s">
        <v>2506</v>
      </c>
      <c r="B8" t="s">
        <v>2507</v>
      </c>
      <c r="C8" t="s">
        <v>2508</v>
      </c>
      <c r="D8" t="s">
        <v>2509</v>
      </c>
      <c r="E8">
        <v>993</v>
      </c>
      <c r="F8">
        <v>1.1100000000000001</v>
      </c>
      <c r="G8">
        <v>74.78</v>
      </c>
      <c r="H8">
        <v>41</v>
      </c>
      <c r="I8" t="s">
        <v>1611</v>
      </c>
      <c r="J8" t="s">
        <v>1581</v>
      </c>
      <c r="K8">
        <v>5000</v>
      </c>
      <c r="L8" t="s">
        <v>2510</v>
      </c>
      <c r="M8" t="s">
        <v>2395</v>
      </c>
      <c r="N8" t="s">
        <v>2395</v>
      </c>
      <c r="O8" t="s">
        <v>1241</v>
      </c>
      <c r="P8" t="s">
        <v>2511</v>
      </c>
    </row>
    <row r="9" spans="1:16" x14ac:dyDescent="0.25">
      <c r="A9" t="s">
        <v>2512</v>
      </c>
      <c r="B9" t="s">
        <v>2513</v>
      </c>
      <c r="C9" t="s">
        <v>2483</v>
      </c>
      <c r="D9" t="s">
        <v>2509</v>
      </c>
      <c r="E9">
        <v>427</v>
      </c>
      <c r="F9">
        <v>2.59</v>
      </c>
      <c r="G9">
        <v>47.64</v>
      </c>
      <c r="H9">
        <v>22</v>
      </c>
      <c r="I9" t="s">
        <v>81</v>
      </c>
      <c r="J9" t="s">
        <v>1581</v>
      </c>
      <c r="K9">
        <v>50000</v>
      </c>
      <c r="L9" t="s">
        <v>2499</v>
      </c>
      <c r="M9" t="s">
        <v>2395</v>
      </c>
      <c r="N9" t="s">
        <v>2395</v>
      </c>
      <c r="O9" t="s">
        <v>33</v>
      </c>
      <c r="P9" t="s">
        <v>2514</v>
      </c>
    </row>
    <row r="10" spans="1:16" x14ac:dyDescent="0.25">
      <c r="A10" t="s">
        <v>2515</v>
      </c>
      <c r="B10" t="s">
        <v>2516</v>
      </c>
      <c r="C10" t="s">
        <v>2497</v>
      </c>
      <c r="D10" t="s">
        <v>2517</v>
      </c>
      <c r="E10">
        <v>1965</v>
      </c>
      <c r="F10">
        <v>3.16</v>
      </c>
      <c r="G10">
        <v>85.33</v>
      </c>
      <c r="H10">
        <v>18</v>
      </c>
      <c r="I10" t="s">
        <v>100</v>
      </c>
      <c r="J10" t="s">
        <v>1778</v>
      </c>
      <c r="K10">
        <v>5000</v>
      </c>
      <c r="L10" t="s">
        <v>2499</v>
      </c>
      <c r="M10" t="s">
        <v>2383</v>
      </c>
      <c r="N10" t="s">
        <v>2383</v>
      </c>
      <c r="O10" t="s">
        <v>1241</v>
      </c>
      <c r="P10" t="s">
        <v>2518</v>
      </c>
    </row>
    <row r="11" spans="1:16" x14ac:dyDescent="0.25">
      <c r="A11" t="s">
        <v>2519</v>
      </c>
      <c r="B11" t="s">
        <v>2520</v>
      </c>
      <c r="C11" t="s">
        <v>2497</v>
      </c>
      <c r="D11" t="s">
        <v>2509</v>
      </c>
      <c r="E11">
        <v>1374</v>
      </c>
      <c r="F11">
        <v>2.38</v>
      </c>
      <c r="G11">
        <v>13.98</v>
      </c>
      <c r="H11">
        <v>31</v>
      </c>
      <c r="I11" t="s">
        <v>1557</v>
      </c>
      <c r="J11" t="s">
        <v>100</v>
      </c>
      <c r="K11">
        <v>20000</v>
      </c>
      <c r="L11" t="s">
        <v>2479</v>
      </c>
      <c r="M11" t="s">
        <v>2383</v>
      </c>
      <c r="N11" t="s">
        <v>2383</v>
      </c>
      <c r="O11" t="s">
        <v>33</v>
      </c>
      <c r="P11" t="s">
        <v>2521</v>
      </c>
    </row>
    <row r="12" spans="1:16" x14ac:dyDescent="0.25">
      <c r="A12" t="s">
        <v>2522</v>
      </c>
      <c r="B12" t="s">
        <v>2523</v>
      </c>
      <c r="C12" t="s">
        <v>2508</v>
      </c>
      <c r="D12" t="s">
        <v>2478</v>
      </c>
      <c r="E12">
        <v>370</v>
      </c>
      <c r="F12">
        <v>3.89</v>
      </c>
      <c r="G12">
        <v>72.38</v>
      </c>
      <c r="H12">
        <v>27</v>
      </c>
      <c r="I12" t="s">
        <v>81</v>
      </c>
      <c r="J12" t="s">
        <v>1632</v>
      </c>
      <c r="K12">
        <v>10000</v>
      </c>
      <c r="L12" t="s">
        <v>2510</v>
      </c>
      <c r="M12" t="s">
        <v>2395</v>
      </c>
      <c r="N12" t="s">
        <v>2395</v>
      </c>
      <c r="O12" t="s">
        <v>33</v>
      </c>
      <c r="P12" t="s">
        <v>2524</v>
      </c>
    </row>
    <row r="13" spans="1:16" x14ac:dyDescent="0.25">
      <c r="A13" t="s">
        <v>2525</v>
      </c>
      <c r="B13" t="s">
        <v>2526</v>
      </c>
      <c r="C13" t="s">
        <v>2483</v>
      </c>
      <c r="D13" t="s">
        <v>2509</v>
      </c>
      <c r="E13">
        <v>1640</v>
      </c>
      <c r="F13">
        <v>4.3600000000000003</v>
      </c>
      <c r="G13">
        <v>77.260000000000005</v>
      </c>
      <c r="H13">
        <v>2</v>
      </c>
      <c r="I13" t="s">
        <v>1492</v>
      </c>
      <c r="J13" t="s">
        <v>1492</v>
      </c>
      <c r="K13">
        <v>5000</v>
      </c>
      <c r="L13" t="s">
        <v>2489</v>
      </c>
      <c r="M13" t="s">
        <v>2383</v>
      </c>
      <c r="N13" t="s">
        <v>2395</v>
      </c>
      <c r="O13" t="s">
        <v>33</v>
      </c>
      <c r="P13" t="s">
        <v>1552</v>
      </c>
    </row>
    <row r="14" spans="1:16" x14ac:dyDescent="0.25">
      <c r="A14" t="s">
        <v>2527</v>
      </c>
      <c r="B14" t="s">
        <v>2528</v>
      </c>
      <c r="C14" t="s">
        <v>2488</v>
      </c>
      <c r="D14" t="s">
        <v>2529</v>
      </c>
      <c r="E14">
        <v>344</v>
      </c>
      <c r="F14">
        <v>4.5199999999999996</v>
      </c>
      <c r="G14">
        <v>39.96</v>
      </c>
      <c r="H14">
        <v>3</v>
      </c>
      <c r="I14" t="s">
        <v>1581</v>
      </c>
      <c r="J14" t="s">
        <v>1778</v>
      </c>
      <c r="K14">
        <v>10000</v>
      </c>
      <c r="L14" t="s">
        <v>2489</v>
      </c>
      <c r="M14" t="s">
        <v>2395</v>
      </c>
      <c r="N14" t="s">
        <v>2395</v>
      </c>
      <c r="O14" t="s">
        <v>1241</v>
      </c>
      <c r="P14" t="s">
        <v>2530</v>
      </c>
    </row>
    <row r="15" spans="1:16" x14ac:dyDescent="0.25">
      <c r="A15" t="s">
        <v>2531</v>
      </c>
      <c r="B15" t="s">
        <v>2532</v>
      </c>
      <c r="C15" t="s">
        <v>2488</v>
      </c>
      <c r="D15" t="s">
        <v>2533</v>
      </c>
      <c r="E15">
        <v>1581</v>
      </c>
      <c r="F15">
        <v>4.5</v>
      </c>
      <c r="G15">
        <v>19.989999999999998</v>
      </c>
      <c r="H15">
        <v>24</v>
      </c>
      <c r="I15" t="s">
        <v>1492</v>
      </c>
      <c r="J15" t="s">
        <v>1569</v>
      </c>
      <c r="K15">
        <v>1000</v>
      </c>
      <c r="L15" t="s">
        <v>2510</v>
      </c>
      <c r="M15" t="s">
        <v>2383</v>
      </c>
      <c r="N15" t="s">
        <v>2395</v>
      </c>
      <c r="O15" t="s">
        <v>1241</v>
      </c>
      <c r="P15" t="s">
        <v>2534</v>
      </c>
    </row>
    <row r="16" spans="1:16" x14ac:dyDescent="0.25">
      <c r="A16" t="s">
        <v>2535</v>
      </c>
      <c r="B16" t="s">
        <v>2536</v>
      </c>
      <c r="C16" t="s">
        <v>2497</v>
      </c>
      <c r="D16" t="s">
        <v>2503</v>
      </c>
      <c r="E16">
        <v>1784</v>
      </c>
      <c r="F16">
        <v>1.1200000000000001</v>
      </c>
      <c r="G16">
        <v>40.14</v>
      </c>
      <c r="H16">
        <v>35</v>
      </c>
      <c r="I16" t="s">
        <v>1478</v>
      </c>
      <c r="J16" t="s">
        <v>1492</v>
      </c>
      <c r="K16">
        <v>50000</v>
      </c>
      <c r="L16" t="s">
        <v>2489</v>
      </c>
      <c r="M16" t="s">
        <v>2395</v>
      </c>
      <c r="N16" t="s">
        <v>2395</v>
      </c>
      <c r="O16" t="s">
        <v>33</v>
      </c>
      <c r="P16" t="s">
        <v>2537</v>
      </c>
    </row>
    <row r="17" spans="1:16" x14ac:dyDescent="0.25">
      <c r="A17" t="s">
        <v>2538</v>
      </c>
      <c r="B17" t="s">
        <v>2539</v>
      </c>
      <c r="C17" t="s">
        <v>2483</v>
      </c>
      <c r="D17" t="s">
        <v>2533</v>
      </c>
      <c r="E17">
        <v>1593</v>
      </c>
      <c r="F17">
        <v>1.75</v>
      </c>
      <c r="G17">
        <v>15.7</v>
      </c>
      <c r="H17">
        <v>23</v>
      </c>
      <c r="I17" t="s">
        <v>1492</v>
      </c>
      <c r="J17" t="s">
        <v>1492</v>
      </c>
      <c r="K17">
        <v>50000</v>
      </c>
      <c r="L17" t="s">
        <v>2479</v>
      </c>
      <c r="M17" t="s">
        <v>2395</v>
      </c>
      <c r="N17" t="s">
        <v>2383</v>
      </c>
      <c r="O17" t="s">
        <v>1241</v>
      </c>
      <c r="P17" t="s">
        <v>2540</v>
      </c>
    </row>
    <row r="18" spans="1:16" x14ac:dyDescent="0.25">
      <c r="A18" t="s">
        <v>2541</v>
      </c>
      <c r="B18" t="s">
        <v>2542</v>
      </c>
      <c r="C18" t="s">
        <v>2483</v>
      </c>
      <c r="D18" t="s">
        <v>2517</v>
      </c>
      <c r="E18">
        <v>1471</v>
      </c>
      <c r="F18">
        <v>4.0999999999999996</v>
      </c>
      <c r="G18">
        <v>95.08</v>
      </c>
      <c r="H18">
        <v>5</v>
      </c>
      <c r="I18" t="s">
        <v>81</v>
      </c>
      <c r="J18" t="s">
        <v>1492</v>
      </c>
      <c r="K18">
        <v>1000</v>
      </c>
      <c r="L18" t="s">
        <v>2504</v>
      </c>
      <c r="M18" t="s">
        <v>2383</v>
      </c>
      <c r="N18" t="s">
        <v>2395</v>
      </c>
      <c r="O18" t="s">
        <v>33</v>
      </c>
      <c r="P18" t="s">
        <v>2543</v>
      </c>
    </row>
    <row r="19" spans="1:16" x14ac:dyDescent="0.25">
      <c r="A19" t="s">
        <v>2544</v>
      </c>
      <c r="B19" t="s">
        <v>2545</v>
      </c>
      <c r="C19" t="s">
        <v>2488</v>
      </c>
      <c r="D19" t="s">
        <v>2509</v>
      </c>
      <c r="E19">
        <v>765</v>
      </c>
      <c r="F19">
        <v>3.64</v>
      </c>
      <c r="G19">
        <v>54.67</v>
      </c>
      <c r="H19">
        <v>14</v>
      </c>
      <c r="I19" t="s">
        <v>1557</v>
      </c>
      <c r="J19" t="s">
        <v>100</v>
      </c>
      <c r="K19">
        <v>10000</v>
      </c>
      <c r="L19" t="s">
        <v>2546</v>
      </c>
      <c r="M19" t="s">
        <v>2395</v>
      </c>
      <c r="N19" t="s">
        <v>2383</v>
      </c>
      <c r="O19" t="s">
        <v>33</v>
      </c>
      <c r="P19" t="s">
        <v>2547</v>
      </c>
    </row>
    <row r="20" spans="1:16" x14ac:dyDescent="0.25">
      <c r="A20" t="s">
        <v>2548</v>
      </c>
      <c r="B20" t="s">
        <v>2549</v>
      </c>
      <c r="C20" t="s">
        <v>2508</v>
      </c>
      <c r="D20" t="s">
        <v>2503</v>
      </c>
      <c r="E20">
        <v>1520</v>
      </c>
      <c r="F20">
        <v>1.81</v>
      </c>
      <c r="G20">
        <v>15.67</v>
      </c>
      <c r="H20">
        <v>15</v>
      </c>
      <c r="I20" t="s">
        <v>1557</v>
      </c>
      <c r="J20" t="s">
        <v>1611</v>
      </c>
      <c r="K20">
        <v>20000</v>
      </c>
      <c r="L20" t="s">
        <v>2479</v>
      </c>
      <c r="M20" t="s">
        <v>2383</v>
      </c>
      <c r="N20" t="s">
        <v>2395</v>
      </c>
      <c r="O20" t="s">
        <v>33</v>
      </c>
      <c r="P20" t="s">
        <v>2550</v>
      </c>
    </row>
    <row r="21" spans="1:16" x14ac:dyDescent="0.25">
      <c r="A21" t="s">
        <v>2551</v>
      </c>
      <c r="B21" t="s">
        <v>2552</v>
      </c>
      <c r="C21" t="s">
        <v>2497</v>
      </c>
      <c r="D21" t="s">
        <v>2533</v>
      </c>
      <c r="E21">
        <v>1111</v>
      </c>
      <c r="F21">
        <v>1.87</v>
      </c>
      <c r="G21">
        <v>21.88</v>
      </c>
      <c r="H21">
        <v>20</v>
      </c>
      <c r="I21" t="s">
        <v>1632</v>
      </c>
      <c r="J21" t="s">
        <v>1581</v>
      </c>
      <c r="K21">
        <v>5000</v>
      </c>
      <c r="L21" t="s">
        <v>2546</v>
      </c>
      <c r="M21" t="s">
        <v>2383</v>
      </c>
      <c r="N21" t="s">
        <v>2395</v>
      </c>
      <c r="O21" t="s">
        <v>33</v>
      </c>
      <c r="P21" t="s">
        <v>2553</v>
      </c>
    </row>
    <row r="22" spans="1:16" x14ac:dyDescent="0.25">
      <c r="A22" t="s">
        <v>2554</v>
      </c>
      <c r="B22" t="s">
        <v>2555</v>
      </c>
      <c r="C22" t="s">
        <v>2483</v>
      </c>
      <c r="D22" t="s">
        <v>2556</v>
      </c>
      <c r="E22">
        <v>1133</v>
      </c>
      <c r="F22">
        <v>3.28</v>
      </c>
      <c r="G22">
        <v>24.47</v>
      </c>
      <c r="H22">
        <v>35</v>
      </c>
      <c r="I22" t="s">
        <v>1581</v>
      </c>
      <c r="J22" t="s">
        <v>1632</v>
      </c>
      <c r="K22">
        <v>5000</v>
      </c>
      <c r="L22" t="s">
        <v>2489</v>
      </c>
      <c r="M22" t="s">
        <v>2395</v>
      </c>
      <c r="N22" t="s">
        <v>2395</v>
      </c>
      <c r="O22" t="s">
        <v>33</v>
      </c>
      <c r="P22" t="s">
        <v>2557</v>
      </c>
    </row>
    <row r="23" spans="1:16" x14ac:dyDescent="0.25">
      <c r="A23" t="s">
        <v>2558</v>
      </c>
      <c r="B23" t="s">
        <v>2559</v>
      </c>
      <c r="C23" t="s">
        <v>2488</v>
      </c>
      <c r="D23" t="s">
        <v>2484</v>
      </c>
      <c r="E23">
        <v>1376</v>
      </c>
      <c r="F23">
        <v>2.48</v>
      </c>
      <c r="G23">
        <v>43.27</v>
      </c>
      <c r="H23">
        <v>14</v>
      </c>
      <c r="I23" t="s">
        <v>1557</v>
      </c>
      <c r="J23" t="s">
        <v>100</v>
      </c>
      <c r="K23">
        <v>10000</v>
      </c>
      <c r="L23" t="s">
        <v>2510</v>
      </c>
      <c r="M23" t="s">
        <v>2395</v>
      </c>
      <c r="N23" t="s">
        <v>2395</v>
      </c>
      <c r="O23" t="s">
        <v>33</v>
      </c>
      <c r="P23" t="s">
        <v>2560</v>
      </c>
    </row>
    <row r="24" spans="1:16" x14ac:dyDescent="0.25">
      <c r="A24" t="s">
        <v>2561</v>
      </c>
      <c r="B24" t="s">
        <v>2562</v>
      </c>
      <c r="C24" t="s">
        <v>2477</v>
      </c>
      <c r="D24" t="s">
        <v>2533</v>
      </c>
      <c r="E24">
        <v>817</v>
      </c>
      <c r="F24">
        <v>4.6399999999999997</v>
      </c>
      <c r="G24">
        <v>46.41</v>
      </c>
      <c r="H24">
        <v>32</v>
      </c>
      <c r="I24" t="s">
        <v>1632</v>
      </c>
      <c r="J24" t="s">
        <v>1492</v>
      </c>
      <c r="K24">
        <v>10000</v>
      </c>
      <c r="L24" t="s">
        <v>2499</v>
      </c>
      <c r="M24" t="s">
        <v>2395</v>
      </c>
      <c r="N24" t="s">
        <v>2395</v>
      </c>
      <c r="O24" t="s">
        <v>33</v>
      </c>
      <c r="P24" t="s">
        <v>2563</v>
      </c>
    </row>
    <row r="25" spans="1:16" x14ac:dyDescent="0.25">
      <c r="A25" t="s">
        <v>2564</v>
      </c>
      <c r="B25" t="s">
        <v>2565</v>
      </c>
      <c r="C25" t="s">
        <v>2483</v>
      </c>
      <c r="D25" t="s">
        <v>2566</v>
      </c>
      <c r="E25">
        <v>1565</v>
      </c>
      <c r="F25">
        <v>4.0999999999999996</v>
      </c>
      <c r="G25">
        <v>75.569999999999993</v>
      </c>
      <c r="H25">
        <v>29</v>
      </c>
      <c r="I25" t="s">
        <v>1611</v>
      </c>
      <c r="J25" t="s">
        <v>1478</v>
      </c>
      <c r="K25">
        <v>20000</v>
      </c>
      <c r="L25" t="s">
        <v>2504</v>
      </c>
      <c r="M25" t="s">
        <v>2395</v>
      </c>
      <c r="N25" t="s">
        <v>2395</v>
      </c>
      <c r="O25" t="s">
        <v>33</v>
      </c>
      <c r="P25" t="s">
        <v>2567</v>
      </c>
    </row>
    <row r="26" spans="1:16" x14ac:dyDescent="0.25">
      <c r="A26" t="s">
        <v>2568</v>
      </c>
      <c r="B26" t="s">
        <v>2569</v>
      </c>
      <c r="C26" t="s">
        <v>2508</v>
      </c>
      <c r="D26" t="s">
        <v>2566</v>
      </c>
      <c r="E26">
        <v>1922</v>
      </c>
      <c r="F26">
        <v>2.5099999999999998</v>
      </c>
      <c r="G26">
        <v>18.32</v>
      </c>
      <c r="H26">
        <v>4</v>
      </c>
      <c r="I26" t="s">
        <v>1569</v>
      </c>
      <c r="J26" t="s">
        <v>81</v>
      </c>
      <c r="K26">
        <v>50000</v>
      </c>
      <c r="L26" t="s">
        <v>2479</v>
      </c>
      <c r="M26" t="s">
        <v>2395</v>
      </c>
      <c r="N26" t="s">
        <v>2395</v>
      </c>
      <c r="O26" t="s">
        <v>33</v>
      </c>
      <c r="P26" t="s">
        <v>2570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51"/>
  <sheetViews>
    <sheetView workbookViewId="0"/>
  </sheetViews>
  <sheetFormatPr baseColWidth="10" defaultColWidth="9.140625" defaultRowHeight="15" x14ac:dyDescent="0.25"/>
  <sheetData>
    <row r="1" spans="1:17" x14ac:dyDescent="0.25">
      <c r="A1" s="1" t="s">
        <v>2571</v>
      </c>
      <c r="B1" s="1" t="s">
        <v>0</v>
      </c>
      <c r="C1" s="1" t="s">
        <v>2572</v>
      </c>
      <c r="D1" s="1" t="s">
        <v>2573</v>
      </c>
      <c r="E1" s="1" t="s">
        <v>2574</v>
      </c>
      <c r="F1" s="1" t="s">
        <v>2575</v>
      </c>
      <c r="G1" s="1" t="s">
        <v>2576</v>
      </c>
      <c r="H1" s="1" t="s">
        <v>2577</v>
      </c>
      <c r="I1" s="1" t="s">
        <v>2578</v>
      </c>
      <c r="J1" s="1" t="s">
        <v>2579</v>
      </c>
      <c r="K1" s="1" t="s">
        <v>16</v>
      </c>
      <c r="L1" s="1" t="s">
        <v>2580</v>
      </c>
      <c r="M1" s="1" t="s">
        <v>2581</v>
      </c>
      <c r="N1" s="1" t="s">
        <v>2582</v>
      </c>
      <c r="O1" s="1" t="s">
        <v>2583</v>
      </c>
      <c r="P1" s="1" t="s">
        <v>2584</v>
      </c>
      <c r="Q1" s="1" t="s">
        <v>17</v>
      </c>
    </row>
    <row r="2" spans="1:17" x14ac:dyDescent="0.25">
      <c r="A2" t="s">
        <v>2585</v>
      </c>
      <c r="B2" t="s">
        <v>769</v>
      </c>
      <c r="C2" t="s">
        <v>2432</v>
      </c>
      <c r="D2" t="s">
        <v>2586</v>
      </c>
      <c r="E2" t="s">
        <v>2587</v>
      </c>
      <c r="F2">
        <v>99</v>
      </c>
      <c r="G2">
        <v>31</v>
      </c>
      <c r="H2">
        <v>68</v>
      </c>
      <c r="I2">
        <v>6</v>
      </c>
      <c r="J2">
        <v>441</v>
      </c>
      <c r="K2">
        <v>43</v>
      </c>
      <c r="L2">
        <v>228.9</v>
      </c>
      <c r="M2">
        <v>25308.49</v>
      </c>
      <c r="N2" t="s">
        <v>2588</v>
      </c>
      <c r="O2" t="s">
        <v>2589</v>
      </c>
      <c r="P2">
        <v>6.4</v>
      </c>
      <c r="Q2" t="s">
        <v>2577</v>
      </c>
    </row>
    <row r="3" spans="1:17" x14ac:dyDescent="0.25">
      <c r="A3" t="s">
        <v>2590</v>
      </c>
      <c r="B3" t="s">
        <v>468</v>
      </c>
      <c r="C3" t="s">
        <v>2425</v>
      </c>
      <c r="D3" t="s">
        <v>2591</v>
      </c>
      <c r="E3" t="s">
        <v>2592</v>
      </c>
      <c r="F3">
        <v>179</v>
      </c>
      <c r="G3">
        <v>19</v>
      </c>
      <c r="H3">
        <v>160</v>
      </c>
      <c r="I3">
        <v>28</v>
      </c>
      <c r="J3">
        <v>327</v>
      </c>
      <c r="K3">
        <v>67</v>
      </c>
      <c r="L3">
        <v>496.67</v>
      </c>
      <c r="M3">
        <v>65865.36</v>
      </c>
      <c r="N3" t="s">
        <v>2593</v>
      </c>
      <c r="O3" t="s">
        <v>2594</v>
      </c>
      <c r="P3">
        <v>12.3</v>
      </c>
      <c r="Q3" t="s">
        <v>2595</v>
      </c>
    </row>
    <row r="4" spans="1:17" x14ac:dyDescent="0.25">
      <c r="A4" t="s">
        <v>2596</v>
      </c>
      <c r="B4" t="s">
        <v>1046</v>
      </c>
      <c r="C4" t="s">
        <v>2432</v>
      </c>
      <c r="D4" t="s">
        <v>2597</v>
      </c>
      <c r="E4" t="s">
        <v>2598</v>
      </c>
      <c r="F4">
        <v>71</v>
      </c>
      <c r="G4">
        <v>37</v>
      </c>
      <c r="H4">
        <v>34</v>
      </c>
      <c r="I4">
        <v>20</v>
      </c>
      <c r="J4">
        <v>368</v>
      </c>
      <c r="K4">
        <v>41</v>
      </c>
      <c r="L4">
        <v>79.75</v>
      </c>
      <c r="M4">
        <v>16389.46</v>
      </c>
      <c r="N4" t="s">
        <v>2599</v>
      </c>
      <c r="O4" t="s">
        <v>2600</v>
      </c>
      <c r="P4">
        <v>2.2000000000000002</v>
      </c>
      <c r="Q4" t="s">
        <v>2595</v>
      </c>
    </row>
    <row r="5" spans="1:17" x14ac:dyDescent="0.25">
      <c r="A5" t="s">
        <v>2601</v>
      </c>
      <c r="B5" t="s">
        <v>930</v>
      </c>
      <c r="C5" t="s">
        <v>2416</v>
      </c>
      <c r="D5" t="s">
        <v>2602</v>
      </c>
      <c r="E5" t="s">
        <v>2603</v>
      </c>
      <c r="F5">
        <v>212</v>
      </c>
      <c r="G5">
        <v>11</v>
      </c>
      <c r="H5">
        <v>201</v>
      </c>
      <c r="I5">
        <v>11</v>
      </c>
      <c r="J5">
        <v>195</v>
      </c>
      <c r="K5">
        <v>73</v>
      </c>
      <c r="L5">
        <v>221.8</v>
      </c>
      <c r="M5">
        <v>60147.26</v>
      </c>
      <c r="N5" t="s">
        <v>2604</v>
      </c>
      <c r="O5" t="s">
        <v>1487</v>
      </c>
      <c r="P5">
        <v>12.6</v>
      </c>
      <c r="Q5" t="s">
        <v>2605</v>
      </c>
    </row>
    <row r="6" spans="1:17" x14ac:dyDescent="0.25">
      <c r="A6" t="s">
        <v>2606</v>
      </c>
      <c r="B6" t="s">
        <v>744</v>
      </c>
      <c r="C6" t="s">
        <v>2449</v>
      </c>
      <c r="D6" t="s">
        <v>2607</v>
      </c>
      <c r="E6" t="s">
        <v>2608</v>
      </c>
      <c r="F6">
        <v>237</v>
      </c>
      <c r="G6">
        <v>14</v>
      </c>
      <c r="H6">
        <v>223</v>
      </c>
      <c r="I6">
        <v>14</v>
      </c>
      <c r="J6">
        <v>427</v>
      </c>
      <c r="K6">
        <v>73</v>
      </c>
      <c r="L6">
        <v>336.45</v>
      </c>
      <c r="M6">
        <v>23611.15</v>
      </c>
      <c r="N6" t="s">
        <v>2609</v>
      </c>
      <c r="O6" t="s">
        <v>2610</v>
      </c>
      <c r="P6">
        <v>5</v>
      </c>
      <c r="Q6" t="s">
        <v>2577</v>
      </c>
    </row>
    <row r="7" spans="1:17" x14ac:dyDescent="0.25">
      <c r="A7" t="s">
        <v>2611</v>
      </c>
      <c r="B7" t="s">
        <v>739</v>
      </c>
      <c r="C7" t="s">
        <v>2407</v>
      </c>
      <c r="D7" t="s">
        <v>2612</v>
      </c>
      <c r="E7" t="s">
        <v>2613</v>
      </c>
      <c r="F7">
        <v>14</v>
      </c>
      <c r="G7">
        <v>1</v>
      </c>
      <c r="H7">
        <v>13</v>
      </c>
      <c r="I7">
        <v>28</v>
      </c>
      <c r="J7">
        <v>285</v>
      </c>
      <c r="K7">
        <v>57</v>
      </c>
      <c r="L7">
        <v>266.22000000000003</v>
      </c>
      <c r="M7">
        <v>3201</v>
      </c>
      <c r="N7" t="s">
        <v>2614</v>
      </c>
      <c r="O7" t="s">
        <v>2615</v>
      </c>
      <c r="P7">
        <v>10.6</v>
      </c>
      <c r="Q7" t="s">
        <v>2577</v>
      </c>
    </row>
    <row r="8" spans="1:17" x14ac:dyDescent="0.25">
      <c r="A8" t="s">
        <v>2616</v>
      </c>
      <c r="B8" t="s">
        <v>586</v>
      </c>
      <c r="C8" t="s">
        <v>2449</v>
      </c>
      <c r="D8" t="s">
        <v>2617</v>
      </c>
      <c r="E8" t="s">
        <v>2618</v>
      </c>
      <c r="F8">
        <v>294</v>
      </c>
      <c r="G8">
        <v>1</v>
      </c>
      <c r="H8">
        <v>293</v>
      </c>
      <c r="I8">
        <v>9</v>
      </c>
      <c r="J8">
        <v>263</v>
      </c>
      <c r="K8">
        <v>49</v>
      </c>
      <c r="L8">
        <v>445.24</v>
      </c>
      <c r="M8">
        <v>32515.33</v>
      </c>
      <c r="N8" t="s">
        <v>2594</v>
      </c>
      <c r="O8" t="s">
        <v>2521</v>
      </c>
      <c r="P8">
        <v>4.8</v>
      </c>
      <c r="Q8" t="s">
        <v>2595</v>
      </c>
    </row>
    <row r="9" spans="1:17" x14ac:dyDescent="0.25">
      <c r="A9" t="s">
        <v>2619</v>
      </c>
      <c r="B9" t="s">
        <v>925</v>
      </c>
      <c r="C9" t="s">
        <v>2425</v>
      </c>
      <c r="D9" t="s">
        <v>2620</v>
      </c>
      <c r="E9" t="s">
        <v>2621</v>
      </c>
      <c r="F9">
        <v>24</v>
      </c>
      <c r="G9">
        <v>9</v>
      </c>
      <c r="H9">
        <v>15</v>
      </c>
      <c r="I9">
        <v>21</v>
      </c>
      <c r="J9">
        <v>199</v>
      </c>
      <c r="K9">
        <v>69</v>
      </c>
      <c r="L9">
        <v>332.61</v>
      </c>
      <c r="M9">
        <v>5911.65</v>
      </c>
      <c r="N9" t="s">
        <v>2622</v>
      </c>
      <c r="O9" t="s">
        <v>2560</v>
      </c>
      <c r="P9">
        <v>3.3</v>
      </c>
      <c r="Q9" t="s">
        <v>2623</v>
      </c>
    </row>
    <row r="10" spans="1:17" x14ac:dyDescent="0.25">
      <c r="A10" t="s">
        <v>2624</v>
      </c>
      <c r="B10" t="s">
        <v>510</v>
      </c>
      <c r="C10" t="s">
        <v>2416</v>
      </c>
      <c r="D10" t="s">
        <v>2625</v>
      </c>
      <c r="E10" t="s">
        <v>2626</v>
      </c>
      <c r="F10">
        <v>138</v>
      </c>
      <c r="G10">
        <v>43</v>
      </c>
      <c r="H10">
        <v>95</v>
      </c>
      <c r="I10">
        <v>16</v>
      </c>
      <c r="J10">
        <v>173</v>
      </c>
      <c r="K10">
        <v>20</v>
      </c>
      <c r="L10">
        <v>111.63</v>
      </c>
      <c r="M10">
        <v>16780.61</v>
      </c>
      <c r="N10" t="s">
        <v>2627</v>
      </c>
      <c r="O10" t="s">
        <v>2628</v>
      </c>
      <c r="P10">
        <v>6.8</v>
      </c>
      <c r="Q10" t="s">
        <v>2577</v>
      </c>
    </row>
    <row r="11" spans="1:17" x14ac:dyDescent="0.25">
      <c r="A11" t="s">
        <v>2629</v>
      </c>
      <c r="B11" t="s">
        <v>221</v>
      </c>
      <c r="C11" t="s">
        <v>2407</v>
      </c>
      <c r="D11" t="s">
        <v>2630</v>
      </c>
      <c r="E11" t="s">
        <v>2631</v>
      </c>
      <c r="F11">
        <v>79</v>
      </c>
      <c r="G11">
        <v>32</v>
      </c>
      <c r="H11">
        <v>47</v>
      </c>
      <c r="I11">
        <v>27</v>
      </c>
      <c r="J11">
        <v>369</v>
      </c>
      <c r="K11">
        <v>74</v>
      </c>
      <c r="L11">
        <v>289.44</v>
      </c>
      <c r="M11">
        <v>14006.04</v>
      </c>
      <c r="N11" t="s">
        <v>2599</v>
      </c>
      <c r="O11" t="s">
        <v>2632</v>
      </c>
      <c r="P11">
        <v>2.6</v>
      </c>
      <c r="Q11" t="s">
        <v>2633</v>
      </c>
    </row>
    <row r="12" spans="1:17" x14ac:dyDescent="0.25">
      <c r="A12" t="s">
        <v>2634</v>
      </c>
      <c r="B12" t="s">
        <v>180</v>
      </c>
      <c r="C12" t="s">
        <v>2388</v>
      </c>
      <c r="D12" t="s">
        <v>2635</v>
      </c>
      <c r="E12" t="s">
        <v>2636</v>
      </c>
      <c r="F12">
        <v>67</v>
      </c>
      <c r="G12">
        <v>1</v>
      </c>
      <c r="H12">
        <v>66</v>
      </c>
      <c r="I12">
        <v>9</v>
      </c>
      <c r="J12">
        <v>326</v>
      </c>
      <c r="K12">
        <v>76</v>
      </c>
      <c r="L12">
        <v>494.41</v>
      </c>
      <c r="M12">
        <v>18836.7</v>
      </c>
      <c r="N12" t="s">
        <v>1543</v>
      </c>
      <c r="O12" t="s">
        <v>2637</v>
      </c>
      <c r="P12">
        <v>3.4</v>
      </c>
      <c r="Q12" t="s">
        <v>2605</v>
      </c>
    </row>
    <row r="13" spans="1:17" x14ac:dyDescent="0.25">
      <c r="A13" t="s">
        <v>2638</v>
      </c>
      <c r="B13" t="s">
        <v>95</v>
      </c>
      <c r="C13" t="s">
        <v>2388</v>
      </c>
      <c r="D13" t="s">
        <v>2639</v>
      </c>
      <c r="E13" t="s">
        <v>2640</v>
      </c>
      <c r="F13">
        <v>113</v>
      </c>
      <c r="G13">
        <v>8</v>
      </c>
      <c r="H13">
        <v>105</v>
      </c>
      <c r="I13">
        <v>11</v>
      </c>
      <c r="J13">
        <v>166</v>
      </c>
      <c r="K13">
        <v>25</v>
      </c>
      <c r="L13">
        <v>241.16</v>
      </c>
      <c r="M13">
        <v>41302.870000000003</v>
      </c>
      <c r="N13" t="s">
        <v>2641</v>
      </c>
      <c r="O13" t="s">
        <v>2642</v>
      </c>
      <c r="P13">
        <v>1.3</v>
      </c>
      <c r="Q13" t="s">
        <v>2633</v>
      </c>
    </row>
    <row r="14" spans="1:17" x14ac:dyDescent="0.25">
      <c r="A14" t="s">
        <v>2643</v>
      </c>
      <c r="B14" t="s">
        <v>1081</v>
      </c>
      <c r="C14" t="s">
        <v>2432</v>
      </c>
      <c r="D14" t="s">
        <v>2644</v>
      </c>
      <c r="E14" t="s">
        <v>2645</v>
      </c>
      <c r="F14">
        <v>21</v>
      </c>
      <c r="G14">
        <v>6</v>
      </c>
      <c r="H14">
        <v>15</v>
      </c>
      <c r="I14">
        <v>23</v>
      </c>
      <c r="J14">
        <v>130</v>
      </c>
      <c r="K14">
        <v>50</v>
      </c>
      <c r="L14">
        <v>103.51</v>
      </c>
      <c r="M14">
        <v>2457.83</v>
      </c>
      <c r="N14" t="s">
        <v>2646</v>
      </c>
      <c r="O14" t="s">
        <v>2647</v>
      </c>
      <c r="P14">
        <v>10.3</v>
      </c>
      <c r="Q14" t="s">
        <v>2577</v>
      </c>
    </row>
    <row r="15" spans="1:17" x14ac:dyDescent="0.25">
      <c r="A15" t="s">
        <v>2648</v>
      </c>
      <c r="B15" t="s">
        <v>253</v>
      </c>
      <c r="C15" t="s">
        <v>2456</v>
      </c>
      <c r="D15" t="s">
        <v>2649</v>
      </c>
      <c r="E15" t="s">
        <v>2650</v>
      </c>
      <c r="F15">
        <v>105</v>
      </c>
      <c r="G15">
        <v>37</v>
      </c>
      <c r="H15">
        <v>68</v>
      </c>
      <c r="I15">
        <v>5</v>
      </c>
      <c r="J15">
        <v>146</v>
      </c>
      <c r="K15">
        <v>29</v>
      </c>
      <c r="L15">
        <v>430.64</v>
      </c>
      <c r="M15">
        <v>32220.46</v>
      </c>
      <c r="N15" t="s">
        <v>2343</v>
      </c>
      <c r="O15" t="s">
        <v>2651</v>
      </c>
      <c r="P15">
        <v>5.9</v>
      </c>
      <c r="Q15" t="s">
        <v>2577</v>
      </c>
    </row>
    <row r="16" spans="1:17" x14ac:dyDescent="0.25">
      <c r="A16" t="s">
        <v>2652</v>
      </c>
      <c r="B16" t="s">
        <v>754</v>
      </c>
      <c r="C16" t="s">
        <v>2456</v>
      </c>
      <c r="D16" t="s">
        <v>2653</v>
      </c>
      <c r="E16" t="s">
        <v>2618</v>
      </c>
      <c r="F16">
        <v>123</v>
      </c>
      <c r="G16">
        <v>32</v>
      </c>
      <c r="H16">
        <v>91</v>
      </c>
      <c r="I16">
        <v>21</v>
      </c>
      <c r="J16">
        <v>211</v>
      </c>
      <c r="K16">
        <v>65</v>
      </c>
      <c r="L16">
        <v>136.19999999999999</v>
      </c>
      <c r="M16">
        <v>16092.04</v>
      </c>
      <c r="N16" t="s">
        <v>2654</v>
      </c>
      <c r="O16" t="s">
        <v>2655</v>
      </c>
      <c r="P16">
        <v>8.5</v>
      </c>
      <c r="Q16" t="s">
        <v>2577</v>
      </c>
    </row>
    <row r="17" spans="1:17" x14ac:dyDescent="0.25">
      <c r="A17" t="s">
        <v>2656</v>
      </c>
      <c r="B17" t="s">
        <v>373</v>
      </c>
      <c r="C17" t="s">
        <v>2449</v>
      </c>
      <c r="D17" t="s">
        <v>2657</v>
      </c>
      <c r="E17" t="s">
        <v>2658</v>
      </c>
      <c r="F17">
        <v>243</v>
      </c>
      <c r="G17">
        <v>23</v>
      </c>
      <c r="H17">
        <v>220</v>
      </c>
      <c r="I17">
        <v>10</v>
      </c>
      <c r="J17">
        <v>281</v>
      </c>
      <c r="K17">
        <v>44</v>
      </c>
      <c r="L17">
        <v>240.84</v>
      </c>
      <c r="M17">
        <v>61910.85</v>
      </c>
      <c r="N17" t="s">
        <v>2659</v>
      </c>
      <c r="O17" t="s">
        <v>2641</v>
      </c>
      <c r="P17">
        <v>11.7</v>
      </c>
      <c r="Q17" t="s">
        <v>2623</v>
      </c>
    </row>
    <row r="18" spans="1:17" x14ac:dyDescent="0.25">
      <c r="A18" t="s">
        <v>2660</v>
      </c>
      <c r="B18" t="s">
        <v>253</v>
      </c>
      <c r="C18" t="s">
        <v>2440</v>
      </c>
      <c r="D18" t="s">
        <v>2661</v>
      </c>
      <c r="E18" t="s">
        <v>2662</v>
      </c>
      <c r="F18">
        <v>56</v>
      </c>
      <c r="G18">
        <v>33</v>
      </c>
      <c r="H18">
        <v>23</v>
      </c>
      <c r="I18">
        <v>27</v>
      </c>
      <c r="J18">
        <v>247</v>
      </c>
      <c r="K18">
        <v>55</v>
      </c>
      <c r="L18">
        <v>374.96</v>
      </c>
      <c r="M18">
        <v>2001.27</v>
      </c>
      <c r="N18" t="s">
        <v>2663</v>
      </c>
      <c r="O18" t="s">
        <v>2664</v>
      </c>
      <c r="P18">
        <v>6.4</v>
      </c>
      <c r="Q18" t="s">
        <v>2633</v>
      </c>
    </row>
    <row r="19" spans="1:17" x14ac:dyDescent="0.25">
      <c r="A19" t="s">
        <v>2665</v>
      </c>
      <c r="B19" t="s">
        <v>880</v>
      </c>
      <c r="C19" t="s">
        <v>2416</v>
      </c>
      <c r="D19" t="s">
        <v>2666</v>
      </c>
      <c r="E19" t="s">
        <v>2667</v>
      </c>
      <c r="F19">
        <v>227</v>
      </c>
      <c r="G19">
        <v>14</v>
      </c>
      <c r="H19">
        <v>213</v>
      </c>
      <c r="I19">
        <v>7</v>
      </c>
      <c r="J19">
        <v>343</v>
      </c>
      <c r="K19">
        <v>80</v>
      </c>
      <c r="L19">
        <v>355.61</v>
      </c>
      <c r="M19">
        <v>27835.64</v>
      </c>
      <c r="N19" t="s">
        <v>2668</v>
      </c>
      <c r="O19" t="s">
        <v>1794</v>
      </c>
      <c r="P19">
        <v>10.4</v>
      </c>
      <c r="Q19" t="s">
        <v>2595</v>
      </c>
    </row>
    <row r="20" spans="1:17" x14ac:dyDescent="0.25">
      <c r="A20" t="s">
        <v>2669</v>
      </c>
      <c r="B20" t="s">
        <v>672</v>
      </c>
      <c r="C20" t="s">
        <v>2449</v>
      </c>
      <c r="D20" t="s">
        <v>2670</v>
      </c>
      <c r="E20" t="s">
        <v>2671</v>
      </c>
      <c r="F20">
        <v>43</v>
      </c>
      <c r="G20">
        <v>7</v>
      </c>
      <c r="H20">
        <v>36</v>
      </c>
      <c r="I20">
        <v>8</v>
      </c>
      <c r="J20">
        <v>479</v>
      </c>
      <c r="K20">
        <v>79</v>
      </c>
      <c r="L20">
        <v>451.59</v>
      </c>
      <c r="M20">
        <v>4533.32</v>
      </c>
      <c r="N20" t="s">
        <v>2672</v>
      </c>
      <c r="O20" t="s">
        <v>2673</v>
      </c>
      <c r="P20">
        <v>3.8</v>
      </c>
      <c r="Q20" t="s">
        <v>2577</v>
      </c>
    </row>
    <row r="21" spans="1:17" x14ac:dyDescent="0.25">
      <c r="A21" t="s">
        <v>2674</v>
      </c>
      <c r="B21" t="s">
        <v>875</v>
      </c>
      <c r="C21" t="s">
        <v>2432</v>
      </c>
      <c r="D21" t="s">
        <v>2675</v>
      </c>
      <c r="E21" t="s">
        <v>2676</v>
      </c>
      <c r="F21">
        <v>62</v>
      </c>
      <c r="G21">
        <v>14</v>
      </c>
      <c r="H21">
        <v>48</v>
      </c>
      <c r="I21">
        <v>23</v>
      </c>
      <c r="J21">
        <v>239</v>
      </c>
      <c r="K21">
        <v>68</v>
      </c>
      <c r="L21">
        <v>405.27</v>
      </c>
      <c r="M21">
        <v>16306.75</v>
      </c>
      <c r="N21" t="s">
        <v>2677</v>
      </c>
      <c r="O21" t="s">
        <v>2678</v>
      </c>
      <c r="P21">
        <v>7.7</v>
      </c>
      <c r="Q21" t="s">
        <v>2595</v>
      </c>
    </row>
    <row r="22" spans="1:17" x14ac:dyDescent="0.25">
      <c r="A22" t="s">
        <v>2679</v>
      </c>
      <c r="B22" t="s">
        <v>734</v>
      </c>
      <c r="C22" t="s">
        <v>2449</v>
      </c>
      <c r="D22" t="s">
        <v>2680</v>
      </c>
      <c r="E22" t="s">
        <v>2681</v>
      </c>
      <c r="F22">
        <v>142</v>
      </c>
      <c r="G22">
        <v>9</v>
      </c>
      <c r="H22">
        <v>133</v>
      </c>
      <c r="I22">
        <v>20</v>
      </c>
      <c r="J22">
        <v>354</v>
      </c>
      <c r="K22">
        <v>34</v>
      </c>
      <c r="L22">
        <v>332.77</v>
      </c>
      <c r="M22">
        <v>14706.31</v>
      </c>
      <c r="N22" t="s">
        <v>2682</v>
      </c>
      <c r="O22" t="s">
        <v>2683</v>
      </c>
      <c r="P22">
        <v>1.7</v>
      </c>
      <c r="Q22" t="s">
        <v>2577</v>
      </c>
    </row>
    <row r="23" spans="1:17" x14ac:dyDescent="0.25">
      <c r="A23" t="s">
        <v>2684</v>
      </c>
      <c r="B23" t="s">
        <v>749</v>
      </c>
      <c r="C23" t="s">
        <v>2376</v>
      </c>
      <c r="D23" t="s">
        <v>2685</v>
      </c>
      <c r="E23" t="s">
        <v>2686</v>
      </c>
      <c r="F23">
        <v>91</v>
      </c>
      <c r="G23">
        <v>24</v>
      </c>
      <c r="H23">
        <v>67</v>
      </c>
      <c r="I23">
        <v>24</v>
      </c>
      <c r="J23">
        <v>149</v>
      </c>
      <c r="K23">
        <v>68</v>
      </c>
      <c r="L23">
        <v>84.43</v>
      </c>
      <c r="M23">
        <v>26011.03</v>
      </c>
      <c r="N23" t="s">
        <v>2687</v>
      </c>
      <c r="O23" t="s">
        <v>2663</v>
      </c>
      <c r="P23">
        <v>12.1</v>
      </c>
      <c r="Q23" t="s">
        <v>2577</v>
      </c>
    </row>
    <row r="24" spans="1:17" x14ac:dyDescent="0.25">
      <c r="A24" t="s">
        <v>2688</v>
      </c>
      <c r="B24" t="s">
        <v>485</v>
      </c>
      <c r="C24" t="s">
        <v>2440</v>
      </c>
      <c r="D24" t="s">
        <v>2689</v>
      </c>
      <c r="E24" t="s">
        <v>2690</v>
      </c>
      <c r="F24">
        <v>251</v>
      </c>
      <c r="G24">
        <v>32</v>
      </c>
      <c r="H24">
        <v>219</v>
      </c>
      <c r="I24">
        <v>22</v>
      </c>
      <c r="J24">
        <v>109</v>
      </c>
      <c r="K24">
        <v>80</v>
      </c>
      <c r="L24">
        <v>393.78</v>
      </c>
      <c r="M24">
        <v>108584.62</v>
      </c>
      <c r="N24" t="s">
        <v>2691</v>
      </c>
      <c r="O24" t="s">
        <v>2692</v>
      </c>
      <c r="P24">
        <v>2.7</v>
      </c>
      <c r="Q24" t="s">
        <v>2633</v>
      </c>
    </row>
    <row r="25" spans="1:17" x14ac:dyDescent="0.25">
      <c r="A25" t="s">
        <v>2693</v>
      </c>
      <c r="B25" t="s">
        <v>510</v>
      </c>
      <c r="C25" t="s">
        <v>2432</v>
      </c>
      <c r="D25" t="s">
        <v>2694</v>
      </c>
      <c r="E25" t="s">
        <v>2695</v>
      </c>
      <c r="F25">
        <v>226</v>
      </c>
      <c r="G25">
        <v>29</v>
      </c>
      <c r="H25">
        <v>197</v>
      </c>
      <c r="I25">
        <v>26</v>
      </c>
      <c r="J25">
        <v>499</v>
      </c>
      <c r="K25">
        <v>39</v>
      </c>
      <c r="L25">
        <v>448.12</v>
      </c>
      <c r="M25">
        <v>24401.39</v>
      </c>
      <c r="N25" t="s">
        <v>2696</v>
      </c>
      <c r="O25" t="s">
        <v>2697</v>
      </c>
      <c r="P25">
        <v>5.4</v>
      </c>
      <c r="Q25" t="s">
        <v>2595</v>
      </c>
    </row>
    <row r="26" spans="1:17" x14ac:dyDescent="0.25">
      <c r="A26" t="s">
        <v>2698</v>
      </c>
      <c r="B26" t="s">
        <v>734</v>
      </c>
      <c r="C26" t="s">
        <v>2388</v>
      </c>
      <c r="D26" t="s">
        <v>2591</v>
      </c>
      <c r="E26" t="s">
        <v>2699</v>
      </c>
      <c r="F26">
        <v>291</v>
      </c>
      <c r="G26">
        <v>43</v>
      </c>
      <c r="H26">
        <v>248</v>
      </c>
      <c r="I26">
        <v>23</v>
      </c>
      <c r="J26">
        <v>340</v>
      </c>
      <c r="K26">
        <v>50</v>
      </c>
      <c r="L26">
        <v>303.01</v>
      </c>
      <c r="M26">
        <v>29844.3</v>
      </c>
      <c r="N26" t="s">
        <v>1964</v>
      </c>
      <c r="O26" t="s">
        <v>2700</v>
      </c>
      <c r="P26">
        <v>4.7</v>
      </c>
      <c r="Q26" t="s">
        <v>2595</v>
      </c>
    </row>
    <row r="27" spans="1:17" x14ac:dyDescent="0.25">
      <c r="A27" t="s">
        <v>2701</v>
      </c>
      <c r="B27" t="s">
        <v>900</v>
      </c>
      <c r="C27" t="s">
        <v>2425</v>
      </c>
      <c r="D27" t="s">
        <v>2607</v>
      </c>
      <c r="E27" t="s">
        <v>2618</v>
      </c>
      <c r="F27">
        <v>145</v>
      </c>
      <c r="G27">
        <v>20</v>
      </c>
      <c r="H27">
        <v>125</v>
      </c>
      <c r="I27">
        <v>9</v>
      </c>
      <c r="J27">
        <v>287</v>
      </c>
      <c r="K27">
        <v>42</v>
      </c>
      <c r="L27">
        <v>414.3</v>
      </c>
      <c r="M27">
        <v>39098.14</v>
      </c>
      <c r="N27" t="s">
        <v>2702</v>
      </c>
      <c r="O27" t="s">
        <v>2703</v>
      </c>
      <c r="P27">
        <v>9.8000000000000007</v>
      </c>
      <c r="Q27" t="s">
        <v>2595</v>
      </c>
    </row>
    <row r="28" spans="1:17" x14ac:dyDescent="0.25">
      <c r="A28" t="s">
        <v>2704</v>
      </c>
      <c r="B28" t="s">
        <v>209</v>
      </c>
      <c r="C28" t="s">
        <v>2432</v>
      </c>
      <c r="D28" t="s">
        <v>2705</v>
      </c>
      <c r="E28" t="s">
        <v>2706</v>
      </c>
      <c r="F28">
        <v>176</v>
      </c>
      <c r="G28">
        <v>22</v>
      </c>
      <c r="H28">
        <v>154</v>
      </c>
      <c r="I28">
        <v>12</v>
      </c>
      <c r="J28">
        <v>220</v>
      </c>
      <c r="K28">
        <v>61</v>
      </c>
      <c r="L28">
        <v>190.44</v>
      </c>
      <c r="M28">
        <v>13586.46</v>
      </c>
      <c r="N28" t="s">
        <v>2707</v>
      </c>
      <c r="O28" t="s">
        <v>2646</v>
      </c>
      <c r="P28">
        <v>13.2</v>
      </c>
      <c r="Q28" t="s">
        <v>2577</v>
      </c>
    </row>
    <row r="29" spans="1:17" x14ac:dyDescent="0.25">
      <c r="A29" t="s">
        <v>2708</v>
      </c>
      <c r="B29" t="s">
        <v>540</v>
      </c>
      <c r="C29" t="s">
        <v>2398</v>
      </c>
      <c r="D29" t="s">
        <v>2709</v>
      </c>
      <c r="E29" t="s">
        <v>2710</v>
      </c>
      <c r="F29">
        <v>10</v>
      </c>
      <c r="G29">
        <v>8</v>
      </c>
      <c r="H29">
        <v>2</v>
      </c>
      <c r="I29">
        <v>23</v>
      </c>
      <c r="J29">
        <v>363</v>
      </c>
      <c r="K29">
        <v>77</v>
      </c>
      <c r="L29">
        <v>239.53</v>
      </c>
      <c r="M29">
        <v>118.36</v>
      </c>
      <c r="N29" t="s">
        <v>2711</v>
      </c>
      <c r="O29" t="s">
        <v>2712</v>
      </c>
      <c r="P29">
        <v>1.3</v>
      </c>
      <c r="Q29" t="s">
        <v>2623</v>
      </c>
    </row>
    <row r="30" spans="1:17" x14ac:dyDescent="0.25">
      <c r="A30" t="s">
        <v>2713</v>
      </c>
      <c r="B30" t="s">
        <v>591</v>
      </c>
      <c r="C30" t="s">
        <v>2456</v>
      </c>
      <c r="D30" t="s">
        <v>2714</v>
      </c>
      <c r="E30" t="s">
        <v>2715</v>
      </c>
      <c r="F30">
        <v>199</v>
      </c>
      <c r="G30">
        <v>20</v>
      </c>
      <c r="H30">
        <v>179</v>
      </c>
      <c r="I30">
        <v>15</v>
      </c>
      <c r="J30">
        <v>354</v>
      </c>
      <c r="K30">
        <v>52</v>
      </c>
      <c r="L30">
        <v>415.16</v>
      </c>
      <c r="M30">
        <v>62708.07</v>
      </c>
      <c r="N30" t="s">
        <v>2716</v>
      </c>
      <c r="O30" t="s">
        <v>2717</v>
      </c>
      <c r="P30">
        <v>5.2</v>
      </c>
      <c r="Q30" t="s">
        <v>2595</v>
      </c>
    </row>
    <row r="31" spans="1:17" x14ac:dyDescent="0.25">
      <c r="A31" t="s">
        <v>2718</v>
      </c>
      <c r="B31" t="s">
        <v>358</v>
      </c>
      <c r="C31" t="s">
        <v>2440</v>
      </c>
      <c r="D31" t="s">
        <v>2719</v>
      </c>
      <c r="E31" t="s">
        <v>2720</v>
      </c>
      <c r="F31">
        <v>38</v>
      </c>
      <c r="G31">
        <v>34</v>
      </c>
      <c r="H31">
        <v>4</v>
      </c>
      <c r="I31">
        <v>14</v>
      </c>
      <c r="J31">
        <v>393</v>
      </c>
      <c r="K31">
        <v>45</v>
      </c>
      <c r="L31">
        <v>412.07</v>
      </c>
      <c r="M31">
        <v>1324.23</v>
      </c>
      <c r="N31" t="s">
        <v>2721</v>
      </c>
      <c r="O31" t="s">
        <v>2722</v>
      </c>
      <c r="P31">
        <v>11</v>
      </c>
      <c r="Q31" t="s">
        <v>2577</v>
      </c>
    </row>
    <row r="32" spans="1:17" x14ac:dyDescent="0.25">
      <c r="A32" t="s">
        <v>2723</v>
      </c>
      <c r="B32" t="s">
        <v>870</v>
      </c>
      <c r="C32" t="s">
        <v>2425</v>
      </c>
      <c r="D32" t="s">
        <v>2724</v>
      </c>
      <c r="E32" t="s">
        <v>2598</v>
      </c>
      <c r="F32">
        <v>139</v>
      </c>
      <c r="G32">
        <v>4</v>
      </c>
      <c r="H32">
        <v>135</v>
      </c>
      <c r="I32">
        <v>30</v>
      </c>
      <c r="J32">
        <v>139</v>
      </c>
      <c r="K32">
        <v>61</v>
      </c>
      <c r="L32">
        <v>420.68</v>
      </c>
      <c r="M32">
        <v>37406.85</v>
      </c>
      <c r="N32" t="s">
        <v>1756</v>
      </c>
      <c r="O32" t="s">
        <v>2725</v>
      </c>
      <c r="P32">
        <v>10.3</v>
      </c>
      <c r="Q32" t="s">
        <v>2623</v>
      </c>
    </row>
    <row r="33" spans="1:17" x14ac:dyDescent="0.25">
      <c r="A33" t="s">
        <v>2726</v>
      </c>
      <c r="B33" t="s">
        <v>358</v>
      </c>
      <c r="C33" t="s">
        <v>2432</v>
      </c>
      <c r="D33" t="s">
        <v>2591</v>
      </c>
      <c r="E33" t="s">
        <v>2727</v>
      </c>
      <c r="F33">
        <v>205</v>
      </c>
      <c r="G33">
        <v>16</v>
      </c>
      <c r="H33">
        <v>189</v>
      </c>
      <c r="I33">
        <v>25</v>
      </c>
      <c r="J33">
        <v>460</v>
      </c>
      <c r="K33">
        <v>53</v>
      </c>
      <c r="L33">
        <v>438.22</v>
      </c>
      <c r="M33">
        <v>58510.52</v>
      </c>
      <c r="N33" t="s">
        <v>2728</v>
      </c>
      <c r="O33" t="s">
        <v>2729</v>
      </c>
      <c r="P33">
        <v>14.5</v>
      </c>
      <c r="Q33" t="s">
        <v>2633</v>
      </c>
    </row>
    <row r="34" spans="1:17" x14ac:dyDescent="0.25">
      <c r="A34" t="s">
        <v>2730</v>
      </c>
      <c r="B34" t="s">
        <v>448</v>
      </c>
      <c r="C34" t="s">
        <v>2449</v>
      </c>
      <c r="D34" t="s">
        <v>2731</v>
      </c>
      <c r="E34" t="s">
        <v>2732</v>
      </c>
      <c r="F34">
        <v>222</v>
      </c>
      <c r="G34">
        <v>36</v>
      </c>
      <c r="H34">
        <v>186</v>
      </c>
      <c r="I34">
        <v>19</v>
      </c>
      <c r="J34">
        <v>175</v>
      </c>
      <c r="K34">
        <v>35</v>
      </c>
      <c r="L34">
        <v>117.71</v>
      </c>
      <c r="M34">
        <v>66660.17</v>
      </c>
      <c r="N34" t="s">
        <v>1756</v>
      </c>
      <c r="O34" t="s">
        <v>2733</v>
      </c>
      <c r="P34">
        <v>7.1</v>
      </c>
      <c r="Q34" t="s">
        <v>2623</v>
      </c>
    </row>
    <row r="35" spans="1:17" x14ac:dyDescent="0.25">
      <c r="A35" t="s">
        <v>2734</v>
      </c>
      <c r="B35" t="s">
        <v>159</v>
      </c>
      <c r="C35" t="s">
        <v>2407</v>
      </c>
      <c r="D35" t="s">
        <v>2617</v>
      </c>
      <c r="E35" t="s">
        <v>2735</v>
      </c>
      <c r="F35">
        <v>211</v>
      </c>
      <c r="G35">
        <v>17</v>
      </c>
      <c r="H35">
        <v>194</v>
      </c>
      <c r="I35">
        <v>12</v>
      </c>
      <c r="J35">
        <v>307</v>
      </c>
      <c r="K35">
        <v>35</v>
      </c>
      <c r="L35">
        <v>101.1</v>
      </c>
      <c r="M35">
        <v>26454.27</v>
      </c>
      <c r="N35" t="s">
        <v>2736</v>
      </c>
      <c r="O35" t="s">
        <v>2737</v>
      </c>
      <c r="P35">
        <v>12.6</v>
      </c>
      <c r="Q35" t="s">
        <v>2633</v>
      </c>
    </row>
    <row r="36" spans="1:17" x14ac:dyDescent="0.25">
      <c r="A36" t="s">
        <v>2738</v>
      </c>
      <c r="B36" t="s">
        <v>734</v>
      </c>
      <c r="C36" t="s">
        <v>2449</v>
      </c>
      <c r="D36" t="s">
        <v>2739</v>
      </c>
      <c r="E36" t="s">
        <v>2740</v>
      </c>
      <c r="F36">
        <v>223</v>
      </c>
      <c r="G36">
        <v>27</v>
      </c>
      <c r="H36">
        <v>196</v>
      </c>
      <c r="I36">
        <v>9</v>
      </c>
      <c r="J36">
        <v>114</v>
      </c>
      <c r="K36">
        <v>36</v>
      </c>
      <c r="L36">
        <v>405.35</v>
      </c>
      <c r="M36">
        <v>34299.49</v>
      </c>
      <c r="N36" t="s">
        <v>2741</v>
      </c>
      <c r="O36" t="s">
        <v>1989</v>
      </c>
      <c r="P36">
        <v>10</v>
      </c>
      <c r="Q36" t="s">
        <v>2577</v>
      </c>
    </row>
    <row r="37" spans="1:17" x14ac:dyDescent="0.25">
      <c r="A37" t="s">
        <v>2742</v>
      </c>
      <c r="B37" t="s">
        <v>1036</v>
      </c>
      <c r="C37" t="s">
        <v>2440</v>
      </c>
      <c r="D37" t="s">
        <v>2743</v>
      </c>
      <c r="E37" t="s">
        <v>2744</v>
      </c>
      <c r="F37">
        <v>10</v>
      </c>
      <c r="G37">
        <v>0</v>
      </c>
      <c r="H37">
        <v>10</v>
      </c>
      <c r="I37">
        <v>7</v>
      </c>
      <c r="J37">
        <v>308</v>
      </c>
      <c r="K37">
        <v>77</v>
      </c>
      <c r="L37">
        <v>213.55</v>
      </c>
      <c r="M37">
        <v>3458.44</v>
      </c>
      <c r="N37" t="s">
        <v>2745</v>
      </c>
      <c r="O37" t="s">
        <v>2746</v>
      </c>
      <c r="P37">
        <v>14.2</v>
      </c>
      <c r="Q37" t="s">
        <v>2577</v>
      </c>
    </row>
    <row r="38" spans="1:17" x14ac:dyDescent="0.25">
      <c r="A38" t="s">
        <v>2747</v>
      </c>
      <c r="B38" t="s">
        <v>405</v>
      </c>
      <c r="C38" t="s">
        <v>2388</v>
      </c>
      <c r="D38" t="s">
        <v>2748</v>
      </c>
      <c r="E38" t="s">
        <v>2645</v>
      </c>
      <c r="F38">
        <v>292</v>
      </c>
      <c r="G38">
        <v>47</v>
      </c>
      <c r="H38">
        <v>245</v>
      </c>
      <c r="I38">
        <v>29</v>
      </c>
      <c r="J38">
        <v>368</v>
      </c>
      <c r="K38">
        <v>36</v>
      </c>
      <c r="L38">
        <v>273.39999999999998</v>
      </c>
      <c r="M38">
        <v>22199.93</v>
      </c>
      <c r="N38" t="s">
        <v>2749</v>
      </c>
      <c r="O38" t="s">
        <v>2750</v>
      </c>
      <c r="P38">
        <v>11.8</v>
      </c>
      <c r="Q38" t="s">
        <v>2623</v>
      </c>
    </row>
    <row r="39" spans="1:17" x14ac:dyDescent="0.25">
      <c r="A39" t="s">
        <v>2751</v>
      </c>
      <c r="B39" t="s">
        <v>530</v>
      </c>
      <c r="C39" t="s">
        <v>2456</v>
      </c>
      <c r="D39" t="s">
        <v>2752</v>
      </c>
      <c r="E39" t="s">
        <v>2753</v>
      </c>
      <c r="F39">
        <v>199</v>
      </c>
      <c r="G39">
        <v>47</v>
      </c>
      <c r="H39">
        <v>152</v>
      </c>
      <c r="I39">
        <v>8</v>
      </c>
      <c r="J39">
        <v>189</v>
      </c>
      <c r="K39">
        <v>33</v>
      </c>
      <c r="L39">
        <v>486.47</v>
      </c>
      <c r="M39">
        <v>37660.120000000003</v>
      </c>
      <c r="N39" t="s">
        <v>2754</v>
      </c>
      <c r="O39" t="s">
        <v>2755</v>
      </c>
      <c r="P39">
        <v>9.3000000000000007</v>
      </c>
      <c r="Q39" t="s">
        <v>2633</v>
      </c>
    </row>
    <row r="40" spans="1:17" x14ac:dyDescent="0.25">
      <c r="A40" t="s">
        <v>2756</v>
      </c>
      <c r="B40" t="s">
        <v>794</v>
      </c>
      <c r="C40" t="s">
        <v>2425</v>
      </c>
      <c r="D40" t="s">
        <v>2675</v>
      </c>
      <c r="E40" t="s">
        <v>2757</v>
      </c>
      <c r="F40">
        <v>57</v>
      </c>
      <c r="G40">
        <v>20</v>
      </c>
      <c r="H40">
        <v>37</v>
      </c>
      <c r="I40">
        <v>13</v>
      </c>
      <c r="J40">
        <v>174</v>
      </c>
      <c r="K40">
        <v>43</v>
      </c>
      <c r="L40">
        <v>263.85000000000002</v>
      </c>
      <c r="M40">
        <v>7972.86</v>
      </c>
      <c r="N40" t="s">
        <v>2758</v>
      </c>
      <c r="O40" t="s">
        <v>2759</v>
      </c>
      <c r="P40">
        <v>10</v>
      </c>
      <c r="Q40" t="s">
        <v>2577</v>
      </c>
    </row>
    <row r="41" spans="1:17" x14ac:dyDescent="0.25">
      <c r="A41" t="s">
        <v>2760</v>
      </c>
      <c r="B41" t="s">
        <v>1061</v>
      </c>
      <c r="C41" t="s">
        <v>2376</v>
      </c>
      <c r="D41" t="s">
        <v>2666</v>
      </c>
      <c r="E41" t="s">
        <v>2761</v>
      </c>
      <c r="F41">
        <v>122</v>
      </c>
      <c r="G41">
        <v>16</v>
      </c>
      <c r="H41">
        <v>106</v>
      </c>
      <c r="I41">
        <v>30</v>
      </c>
      <c r="J41">
        <v>450</v>
      </c>
      <c r="K41">
        <v>27</v>
      </c>
      <c r="L41">
        <v>290.70999999999998</v>
      </c>
      <c r="M41">
        <v>16575.419999999998</v>
      </c>
      <c r="N41" t="s">
        <v>2762</v>
      </c>
      <c r="O41" t="s">
        <v>2763</v>
      </c>
      <c r="P41">
        <v>1.1000000000000001</v>
      </c>
      <c r="Q41" t="s">
        <v>2595</v>
      </c>
    </row>
    <row r="42" spans="1:17" x14ac:dyDescent="0.25">
      <c r="A42" t="s">
        <v>2764</v>
      </c>
      <c r="B42" t="s">
        <v>432</v>
      </c>
      <c r="C42" t="s">
        <v>2416</v>
      </c>
      <c r="D42" t="s">
        <v>2765</v>
      </c>
      <c r="E42" t="s">
        <v>2766</v>
      </c>
      <c r="F42">
        <v>46</v>
      </c>
      <c r="G42">
        <v>15</v>
      </c>
      <c r="H42">
        <v>31</v>
      </c>
      <c r="I42">
        <v>25</v>
      </c>
      <c r="J42">
        <v>262</v>
      </c>
      <c r="K42">
        <v>76</v>
      </c>
      <c r="L42">
        <v>415.51</v>
      </c>
      <c r="M42">
        <v>10539.79</v>
      </c>
      <c r="N42" t="s">
        <v>2767</v>
      </c>
      <c r="O42" t="s">
        <v>2768</v>
      </c>
      <c r="P42">
        <v>4.8</v>
      </c>
      <c r="Q42" t="s">
        <v>2577</v>
      </c>
    </row>
    <row r="43" spans="1:17" x14ac:dyDescent="0.25">
      <c r="A43" t="s">
        <v>2769</v>
      </c>
      <c r="B43" t="s">
        <v>1111</v>
      </c>
      <c r="C43" t="s">
        <v>2440</v>
      </c>
      <c r="D43" t="s">
        <v>2770</v>
      </c>
      <c r="E43" t="s">
        <v>2771</v>
      </c>
      <c r="F43">
        <v>241</v>
      </c>
      <c r="G43">
        <v>47</v>
      </c>
      <c r="H43">
        <v>194</v>
      </c>
      <c r="I43">
        <v>8</v>
      </c>
      <c r="J43">
        <v>182</v>
      </c>
      <c r="K43">
        <v>64</v>
      </c>
      <c r="L43">
        <v>167.44</v>
      </c>
      <c r="M43">
        <v>15493.86</v>
      </c>
      <c r="N43" t="s">
        <v>2772</v>
      </c>
      <c r="O43" t="s">
        <v>2773</v>
      </c>
      <c r="P43">
        <v>11.2</v>
      </c>
      <c r="Q43" t="s">
        <v>2623</v>
      </c>
    </row>
    <row r="44" spans="1:17" x14ac:dyDescent="0.25">
      <c r="A44" t="s">
        <v>2774</v>
      </c>
      <c r="B44" t="s">
        <v>693</v>
      </c>
      <c r="C44" t="s">
        <v>2376</v>
      </c>
      <c r="D44" t="s">
        <v>2657</v>
      </c>
      <c r="E44" t="s">
        <v>2775</v>
      </c>
      <c r="F44">
        <v>26</v>
      </c>
      <c r="G44">
        <v>20</v>
      </c>
      <c r="H44">
        <v>6</v>
      </c>
      <c r="I44">
        <v>5</v>
      </c>
      <c r="J44">
        <v>305</v>
      </c>
      <c r="K44">
        <v>32</v>
      </c>
      <c r="L44">
        <v>332.73</v>
      </c>
      <c r="M44">
        <v>1147.05</v>
      </c>
      <c r="N44" t="s">
        <v>2776</v>
      </c>
      <c r="O44" t="s">
        <v>2777</v>
      </c>
      <c r="P44">
        <v>3.2</v>
      </c>
      <c r="Q44" t="s">
        <v>2577</v>
      </c>
    </row>
    <row r="45" spans="1:17" x14ac:dyDescent="0.25">
      <c r="A45" t="s">
        <v>2778</v>
      </c>
      <c r="B45" t="s">
        <v>875</v>
      </c>
      <c r="C45" t="s">
        <v>2432</v>
      </c>
      <c r="D45" t="s">
        <v>2779</v>
      </c>
      <c r="E45" t="s">
        <v>2780</v>
      </c>
      <c r="F45">
        <v>163</v>
      </c>
      <c r="G45">
        <v>28</v>
      </c>
      <c r="H45">
        <v>135</v>
      </c>
      <c r="I45">
        <v>26</v>
      </c>
      <c r="J45">
        <v>403</v>
      </c>
      <c r="K45">
        <v>72</v>
      </c>
      <c r="L45">
        <v>197.41</v>
      </c>
      <c r="M45">
        <v>23869.19</v>
      </c>
      <c r="N45" t="s">
        <v>2781</v>
      </c>
      <c r="O45" t="s">
        <v>2782</v>
      </c>
      <c r="P45">
        <v>6.1</v>
      </c>
      <c r="Q45" t="s">
        <v>2595</v>
      </c>
    </row>
    <row r="46" spans="1:17" x14ac:dyDescent="0.25">
      <c r="A46" t="s">
        <v>2783</v>
      </c>
      <c r="B46" t="s">
        <v>591</v>
      </c>
      <c r="C46" t="s">
        <v>2456</v>
      </c>
      <c r="D46" t="s">
        <v>2784</v>
      </c>
      <c r="E46" t="s">
        <v>2785</v>
      </c>
      <c r="F46">
        <v>114</v>
      </c>
      <c r="G46">
        <v>1</v>
      </c>
      <c r="H46">
        <v>113</v>
      </c>
      <c r="I46">
        <v>25</v>
      </c>
      <c r="J46">
        <v>217</v>
      </c>
      <c r="K46">
        <v>78</v>
      </c>
      <c r="L46">
        <v>90.04</v>
      </c>
      <c r="M46">
        <v>29164.31</v>
      </c>
      <c r="N46" t="s">
        <v>2786</v>
      </c>
      <c r="O46" t="s">
        <v>2787</v>
      </c>
      <c r="P46">
        <v>12.9</v>
      </c>
      <c r="Q46" t="s">
        <v>2577</v>
      </c>
    </row>
    <row r="47" spans="1:17" x14ac:dyDescent="0.25">
      <c r="A47" t="s">
        <v>2788</v>
      </c>
      <c r="B47" t="s">
        <v>621</v>
      </c>
      <c r="C47" t="s">
        <v>2456</v>
      </c>
      <c r="D47" t="s">
        <v>2789</v>
      </c>
      <c r="E47" t="s">
        <v>2790</v>
      </c>
      <c r="F47">
        <v>219</v>
      </c>
      <c r="G47">
        <v>38</v>
      </c>
      <c r="H47">
        <v>181</v>
      </c>
      <c r="I47">
        <v>10</v>
      </c>
      <c r="J47">
        <v>390</v>
      </c>
      <c r="K47">
        <v>27</v>
      </c>
      <c r="L47">
        <v>56.35</v>
      </c>
      <c r="M47">
        <v>51879.48</v>
      </c>
      <c r="N47" t="s">
        <v>2791</v>
      </c>
      <c r="O47" t="s">
        <v>2792</v>
      </c>
      <c r="P47">
        <v>14</v>
      </c>
      <c r="Q47" t="s">
        <v>2633</v>
      </c>
    </row>
    <row r="48" spans="1:17" x14ac:dyDescent="0.25">
      <c r="A48" t="s">
        <v>2793</v>
      </c>
      <c r="B48" t="s">
        <v>248</v>
      </c>
      <c r="C48" t="s">
        <v>2407</v>
      </c>
      <c r="D48" t="s">
        <v>2794</v>
      </c>
      <c r="E48" t="s">
        <v>2795</v>
      </c>
      <c r="F48">
        <v>104</v>
      </c>
      <c r="G48">
        <v>12</v>
      </c>
      <c r="H48">
        <v>92</v>
      </c>
      <c r="I48">
        <v>17</v>
      </c>
      <c r="J48">
        <v>166</v>
      </c>
      <c r="K48">
        <v>47</v>
      </c>
      <c r="L48">
        <v>435.35</v>
      </c>
      <c r="M48">
        <v>29443.43</v>
      </c>
      <c r="N48" t="s">
        <v>1487</v>
      </c>
      <c r="O48" t="s">
        <v>2796</v>
      </c>
      <c r="P48">
        <v>11.2</v>
      </c>
      <c r="Q48" t="s">
        <v>2577</v>
      </c>
    </row>
    <row r="49" spans="1:17" x14ac:dyDescent="0.25">
      <c r="A49" t="s">
        <v>2797</v>
      </c>
      <c r="B49" t="s">
        <v>646</v>
      </c>
      <c r="C49" t="s">
        <v>2398</v>
      </c>
      <c r="D49" t="s">
        <v>2798</v>
      </c>
      <c r="E49" t="s">
        <v>2799</v>
      </c>
      <c r="F49">
        <v>209</v>
      </c>
      <c r="G49">
        <v>50</v>
      </c>
      <c r="H49">
        <v>159</v>
      </c>
      <c r="I49">
        <v>12</v>
      </c>
      <c r="J49">
        <v>416</v>
      </c>
      <c r="K49">
        <v>48</v>
      </c>
      <c r="L49">
        <v>458.3</v>
      </c>
      <c r="M49">
        <v>34397.58</v>
      </c>
      <c r="N49" t="s">
        <v>2800</v>
      </c>
      <c r="O49" t="s">
        <v>2801</v>
      </c>
      <c r="P49">
        <v>7.4</v>
      </c>
      <c r="Q49" t="s">
        <v>2577</v>
      </c>
    </row>
    <row r="50" spans="1:17" x14ac:dyDescent="0.25">
      <c r="A50" t="s">
        <v>2802</v>
      </c>
      <c r="B50" t="s">
        <v>713</v>
      </c>
      <c r="C50" t="s">
        <v>2398</v>
      </c>
      <c r="D50" t="s">
        <v>2803</v>
      </c>
      <c r="E50" t="s">
        <v>2771</v>
      </c>
      <c r="F50">
        <v>165</v>
      </c>
      <c r="G50">
        <v>44</v>
      </c>
      <c r="H50">
        <v>121</v>
      </c>
      <c r="I50">
        <v>27</v>
      </c>
      <c r="J50">
        <v>316</v>
      </c>
      <c r="K50">
        <v>67</v>
      </c>
      <c r="L50">
        <v>318.74</v>
      </c>
      <c r="M50">
        <v>10027.879999999999</v>
      </c>
      <c r="N50" t="s">
        <v>2804</v>
      </c>
      <c r="O50" t="s">
        <v>2805</v>
      </c>
      <c r="P50">
        <v>1.7</v>
      </c>
      <c r="Q50" t="s">
        <v>2577</v>
      </c>
    </row>
    <row r="51" spans="1:17" x14ac:dyDescent="0.25">
      <c r="A51" t="s">
        <v>2806</v>
      </c>
      <c r="B51" t="s">
        <v>713</v>
      </c>
      <c r="C51" t="s">
        <v>2425</v>
      </c>
      <c r="D51" t="s">
        <v>2620</v>
      </c>
      <c r="E51" t="s">
        <v>2807</v>
      </c>
      <c r="F51">
        <v>23</v>
      </c>
      <c r="G51">
        <v>0</v>
      </c>
      <c r="H51">
        <v>23</v>
      </c>
      <c r="I51">
        <v>14</v>
      </c>
      <c r="J51">
        <v>302</v>
      </c>
      <c r="K51">
        <v>62</v>
      </c>
      <c r="L51">
        <v>216.91</v>
      </c>
      <c r="M51">
        <v>11169.4</v>
      </c>
      <c r="N51" t="s">
        <v>2808</v>
      </c>
      <c r="O51" t="s">
        <v>2604</v>
      </c>
      <c r="P51">
        <v>9.1</v>
      </c>
      <c r="Q51" t="s">
        <v>2605</v>
      </c>
    </row>
    <row r="52" spans="1:17" x14ac:dyDescent="0.25">
      <c r="A52" t="s">
        <v>2809</v>
      </c>
      <c r="B52" t="s">
        <v>316</v>
      </c>
      <c r="C52" t="s">
        <v>2449</v>
      </c>
      <c r="D52" t="s">
        <v>2779</v>
      </c>
      <c r="E52" t="s">
        <v>2790</v>
      </c>
      <c r="F52">
        <v>252</v>
      </c>
      <c r="G52">
        <v>21</v>
      </c>
      <c r="H52">
        <v>231</v>
      </c>
      <c r="I52">
        <v>27</v>
      </c>
      <c r="J52">
        <v>371</v>
      </c>
      <c r="K52">
        <v>47</v>
      </c>
      <c r="L52">
        <v>113.81</v>
      </c>
      <c r="M52">
        <v>23695.73</v>
      </c>
      <c r="N52" t="s">
        <v>2810</v>
      </c>
      <c r="O52" t="s">
        <v>2811</v>
      </c>
      <c r="P52">
        <v>8</v>
      </c>
      <c r="Q52" t="s">
        <v>2605</v>
      </c>
    </row>
    <row r="53" spans="1:17" x14ac:dyDescent="0.25">
      <c r="A53" t="s">
        <v>2812</v>
      </c>
      <c r="B53" t="s">
        <v>1071</v>
      </c>
      <c r="C53" t="s">
        <v>2425</v>
      </c>
      <c r="D53" t="s">
        <v>2813</v>
      </c>
      <c r="E53" t="s">
        <v>2662</v>
      </c>
      <c r="F53">
        <v>220</v>
      </c>
      <c r="G53">
        <v>18</v>
      </c>
      <c r="H53">
        <v>202</v>
      </c>
      <c r="I53">
        <v>21</v>
      </c>
      <c r="J53">
        <v>260</v>
      </c>
      <c r="K53">
        <v>47</v>
      </c>
      <c r="L53">
        <v>451.7</v>
      </c>
      <c r="M53">
        <v>38782.85</v>
      </c>
      <c r="N53" t="s">
        <v>1794</v>
      </c>
      <c r="O53" t="s">
        <v>2702</v>
      </c>
      <c r="P53">
        <v>14.3</v>
      </c>
      <c r="Q53" t="s">
        <v>2633</v>
      </c>
    </row>
    <row r="54" spans="1:17" x14ac:dyDescent="0.25">
      <c r="A54" t="s">
        <v>2814</v>
      </c>
      <c r="B54" t="s">
        <v>139</v>
      </c>
      <c r="C54" t="s">
        <v>2407</v>
      </c>
      <c r="D54" t="s">
        <v>2649</v>
      </c>
      <c r="E54" t="s">
        <v>2815</v>
      </c>
      <c r="F54">
        <v>76</v>
      </c>
      <c r="G54">
        <v>3</v>
      </c>
      <c r="H54">
        <v>73</v>
      </c>
      <c r="I54">
        <v>13</v>
      </c>
      <c r="J54">
        <v>183</v>
      </c>
      <c r="K54">
        <v>65</v>
      </c>
      <c r="L54">
        <v>260.20999999999998</v>
      </c>
      <c r="M54">
        <v>7461.39</v>
      </c>
      <c r="N54" t="s">
        <v>2816</v>
      </c>
      <c r="O54" t="s">
        <v>2817</v>
      </c>
      <c r="P54">
        <v>7.9</v>
      </c>
      <c r="Q54" t="s">
        <v>2633</v>
      </c>
    </row>
    <row r="55" spans="1:17" x14ac:dyDescent="0.25">
      <c r="A55" t="s">
        <v>2818</v>
      </c>
      <c r="B55" t="s">
        <v>566</v>
      </c>
      <c r="C55" t="s">
        <v>2449</v>
      </c>
      <c r="D55" t="s">
        <v>2680</v>
      </c>
      <c r="E55" t="s">
        <v>2819</v>
      </c>
      <c r="F55">
        <v>248</v>
      </c>
      <c r="G55">
        <v>29</v>
      </c>
      <c r="H55">
        <v>219</v>
      </c>
      <c r="I55">
        <v>8</v>
      </c>
      <c r="J55">
        <v>278</v>
      </c>
      <c r="K55">
        <v>25</v>
      </c>
      <c r="L55">
        <v>141.68</v>
      </c>
      <c r="M55">
        <v>38949.68</v>
      </c>
      <c r="N55" t="s">
        <v>2820</v>
      </c>
      <c r="O55" t="s">
        <v>2821</v>
      </c>
      <c r="P55">
        <v>11.5</v>
      </c>
      <c r="Q55" t="s">
        <v>2605</v>
      </c>
    </row>
    <row r="56" spans="1:17" x14ac:dyDescent="0.25">
      <c r="A56" t="s">
        <v>2822</v>
      </c>
      <c r="B56" t="s">
        <v>834</v>
      </c>
      <c r="C56" t="s">
        <v>2456</v>
      </c>
      <c r="D56" t="s">
        <v>2731</v>
      </c>
      <c r="E56" t="s">
        <v>2823</v>
      </c>
      <c r="F56">
        <v>108</v>
      </c>
      <c r="G56">
        <v>37</v>
      </c>
      <c r="H56">
        <v>71</v>
      </c>
      <c r="I56">
        <v>10</v>
      </c>
      <c r="J56">
        <v>313</v>
      </c>
      <c r="K56">
        <v>78</v>
      </c>
      <c r="L56">
        <v>84.58</v>
      </c>
      <c r="M56">
        <v>28095.7</v>
      </c>
      <c r="N56" t="s">
        <v>2824</v>
      </c>
      <c r="O56" t="s">
        <v>2825</v>
      </c>
      <c r="P56">
        <v>13.4</v>
      </c>
      <c r="Q56" t="s">
        <v>2577</v>
      </c>
    </row>
    <row r="57" spans="1:17" x14ac:dyDescent="0.25">
      <c r="A57" t="s">
        <v>2826</v>
      </c>
      <c r="B57" t="s">
        <v>468</v>
      </c>
      <c r="C57" t="s">
        <v>2388</v>
      </c>
      <c r="D57" t="s">
        <v>2743</v>
      </c>
      <c r="E57" t="s">
        <v>2827</v>
      </c>
      <c r="F57">
        <v>201</v>
      </c>
      <c r="G57">
        <v>23</v>
      </c>
      <c r="H57">
        <v>178</v>
      </c>
      <c r="I57">
        <v>7</v>
      </c>
      <c r="J57">
        <v>335</v>
      </c>
      <c r="K57">
        <v>73</v>
      </c>
      <c r="L57">
        <v>368.47</v>
      </c>
      <c r="M57">
        <v>47336.39</v>
      </c>
      <c r="N57" t="s">
        <v>2615</v>
      </c>
      <c r="O57" t="s">
        <v>2828</v>
      </c>
      <c r="P57">
        <v>4.8</v>
      </c>
      <c r="Q57" t="s">
        <v>2577</v>
      </c>
    </row>
    <row r="58" spans="1:17" x14ac:dyDescent="0.25">
      <c r="A58" t="s">
        <v>2829</v>
      </c>
      <c r="B58" t="s">
        <v>530</v>
      </c>
      <c r="C58" t="s">
        <v>2376</v>
      </c>
      <c r="D58" t="s">
        <v>2830</v>
      </c>
      <c r="E58" t="s">
        <v>2831</v>
      </c>
      <c r="F58">
        <v>231</v>
      </c>
      <c r="G58">
        <v>20</v>
      </c>
      <c r="H58">
        <v>211</v>
      </c>
      <c r="I58">
        <v>15</v>
      </c>
      <c r="J58">
        <v>128</v>
      </c>
      <c r="K58">
        <v>67</v>
      </c>
      <c r="L58">
        <v>81.83</v>
      </c>
      <c r="M58">
        <v>100932.92</v>
      </c>
      <c r="N58" t="s">
        <v>2832</v>
      </c>
      <c r="O58" t="s">
        <v>2722</v>
      </c>
      <c r="P58">
        <v>6.6</v>
      </c>
      <c r="Q58" t="s">
        <v>2577</v>
      </c>
    </row>
    <row r="59" spans="1:17" x14ac:dyDescent="0.25">
      <c r="A59" t="s">
        <v>2833</v>
      </c>
      <c r="B59" t="s">
        <v>410</v>
      </c>
      <c r="C59" t="s">
        <v>2432</v>
      </c>
      <c r="D59" t="s">
        <v>2649</v>
      </c>
      <c r="E59" t="s">
        <v>2834</v>
      </c>
      <c r="F59">
        <v>45</v>
      </c>
      <c r="G59">
        <v>1</v>
      </c>
      <c r="H59">
        <v>44</v>
      </c>
      <c r="I59">
        <v>14</v>
      </c>
      <c r="J59">
        <v>431</v>
      </c>
      <c r="K59">
        <v>68</v>
      </c>
      <c r="L59">
        <v>479.49</v>
      </c>
      <c r="M59">
        <v>5251.87</v>
      </c>
      <c r="N59" t="s">
        <v>2835</v>
      </c>
      <c r="O59" t="s">
        <v>1794</v>
      </c>
      <c r="P59">
        <v>12.2</v>
      </c>
      <c r="Q59" t="s">
        <v>2605</v>
      </c>
    </row>
    <row r="60" spans="1:17" x14ac:dyDescent="0.25">
      <c r="A60" t="s">
        <v>2836</v>
      </c>
      <c r="B60" t="s">
        <v>990</v>
      </c>
      <c r="C60" t="s">
        <v>2456</v>
      </c>
      <c r="D60" t="s">
        <v>2837</v>
      </c>
      <c r="E60" t="s">
        <v>2838</v>
      </c>
      <c r="F60">
        <v>67</v>
      </c>
      <c r="G60">
        <v>22</v>
      </c>
      <c r="H60">
        <v>45</v>
      </c>
      <c r="I60">
        <v>20</v>
      </c>
      <c r="J60">
        <v>328</v>
      </c>
      <c r="K60">
        <v>76</v>
      </c>
      <c r="L60">
        <v>224.64</v>
      </c>
      <c r="M60">
        <v>7686.71</v>
      </c>
      <c r="N60" t="s">
        <v>2749</v>
      </c>
      <c r="O60" t="s">
        <v>2839</v>
      </c>
      <c r="P60">
        <v>2.2999999999999998</v>
      </c>
      <c r="Q60" t="s">
        <v>2595</v>
      </c>
    </row>
    <row r="61" spans="1:17" x14ac:dyDescent="0.25">
      <c r="A61" t="s">
        <v>2840</v>
      </c>
      <c r="B61" t="s">
        <v>581</v>
      </c>
      <c r="C61" t="s">
        <v>2456</v>
      </c>
      <c r="D61" t="s">
        <v>2841</v>
      </c>
      <c r="E61" t="s">
        <v>2842</v>
      </c>
      <c r="F61">
        <v>95</v>
      </c>
      <c r="G61">
        <v>27</v>
      </c>
      <c r="H61">
        <v>68</v>
      </c>
      <c r="I61">
        <v>15</v>
      </c>
      <c r="J61">
        <v>337</v>
      </c>
      <c r="K61">
        <v>63</v>
      </c>
      <c r="L61">
        <v>150.9</v>
      </c>
      <c r="M61">
        <v>24398.84</v>
      </c>
      <c r="N61" t="s">
        <v>2843</v>
      </c>
      <c r="O61" t="s">
        <v>2844</v>
      </c>
      <c r="P61">
        <v>7.9</v>
      </c>
      <c r="Q61" t="s">
        <v>2577</v>
      </c>
    </row>
    <row r="62" spans="1:17" x14ac:dyDescent="0.25">
      <c r="A62" t="s">
        <v>2845</v>
      </c>
      <c r="B62" t="s">
        <v>479</v>
      </c>
      <c r="C62" t="s">
        <v>2440</v>
      </c>
      <c r="D62" t="s">
        <v>2846</v>
      </c>
      <c r="E62" t="s">
        <v>2847</v>
      </c>
      <c r="F62">
        <v>223</v>
      </c>
      <c r="G62">
        <v>5</v>
      </c>
      <c r="H62">
        <v>218</v>
      </c>
      <c r="I62">
        <v>26</v>
      </c>
      <c r="J62">
        <v>253</v>
      </c>
      <c r="K62">
        <v>73</v>
      </c>
      <c r="L62">
        <v>161.88999999999999</v>
      </c>
      <c r="M62">
        <v>52860.49</v>
      </c>
      <c r="N62" t="s">
        <v>2848</v>
      </c>
      <c r="O62" t="s">
        <v>2849</v>
      </c>
      <c r="P62">
        <v>8.6999999999999993</v>
      </c>
      <c r="Q62" t="s">
        <v>2577</v>
      </c>
    </row>
    <row r="63" spans="1:17" x14ac:dyDescent="0.25">
      <c r="A63" t="s">
        <v>2850</v>
      </c>
      <c r="B63" t="s">
        <v>769</v>
      </c>
      <c r="C63" t="s">
        <v>2388</v>
      </c>
      <c r="D63" t="s">
        <v>2851</v>
      </c>
      <c r="E63" t="s">
        <v>2852</v>
      </c>
      <c r="F63">
        <v>261</v>
      </c>
      <c r="G63">
        <v>27</v>
      </c>
      <c r="H63">
        <v>234</v>
      </c>
      <c r="I63">
        <v>13</v>
      </c>
      <c r="J63">
        <v>281</v>
      </c>
      <c r="K63">
        <v>36</v>
      </c>
      <c r="L63">
        <v>313.51</v>
      </c>
      <c r="M63">
        <v>92638.51</v>
      </c>
      <c r="N63" t="s">
        <v>2853</v>
      </c>
      <c r="O63" t="s">
        <v>2854</v>
      </c>
      <c r="P63">
        <v>11.4</v>
      </c>
      <c r="Q63" t="s">
        <v>2633</v>
      </c>
    </row>
    <row r="64" spans="1:17" x14ac:dyDescent="0.25">
      <c r="A64" t="s">
        <v>2855</v>
      </c>
      <c r="B64" t="s">
        <v>327</v>
      </c>
      <c r="C64" t="s">
        <v>2398</v>
      </c>
      <c r="D64" t="s">
        <v>2856</v>
      </c>
      <c r="E64" t="s">
        <v>2857</v>
      </c>
      <c r="F64">
        <v>201</v>
      </c>
      <c r="G64">
        <v>2</v>
      </c>
      <c r="H64">
        <v>199</v>
      </c>
      <c r="I64">
        <v>15</v>
      </c>
      <c r="J64">
        <v>400</v>
      </c>
      <c r="K64">
        <v>66</v>
      </c>
      <c r="L64">
        <v>254.75</v>
      </c>
      <c r="M64">
        <v>69971.77</v>
      </c>
      <c r="N64" t="s">
        <v>2858</v>
      </c>
      <c r="O64" t="s">
        <v>2859</v>
      </c>
      <c r="P64">
        <v>4.7</v>
      </c>
      <c r="Q64" t="s">
        <v>2577</v>
      </c>
    </row>
    <row r="65" spans="1:17" x14ac:dyDescent="0.25">
      <c r="A65" t="s">
        <v>2860</v>
      </c>
      <c r="B65" t="s">
        <v>373</v>
      </c>
      <c r="C65" t="s">
        <v>2398</v>
      </c>
      <c r="D65" t="s">
        <v>2861</v>
      </c>
      <c r="E65" t="s">
        <v>2862</v>
      </c>
      <c r="F65">
        <v>40</v>
      </c>
      <c r="G65">
        <v>38</v>
      </c>
      <c r="H65">
        <v>2</v>
      </c>
      <c r="I65">
        <v>5</v>
      </c>
      <c r="J65">
        <v>102</v>
      </c>
      <c r="K65">
        <v>45</v>
      </c>
      <c r="L65">
        <v>102.51</v>
      </c>
      <c r="M65">
        <v>254.56</v>
      </c>
      <c r="N65" t="s">
        <v>2863</v>
      </c>
      <c r="O65" t="s">
        <v>2864</v>
      </c>
      <c r="P65">
        <v>10.7</v>
      </c>
      <c r="Q65" t="s">
        <v>2633</v>
      </c>
    </row>
    <row r="66" spans="1:17" x14ac:dyDescent="0.25">
      <c r="A66" t="s">
        <v>2865</v>
      </c>
      <c r="B66" t="s">
        <v>495</v>
      </c>
      <c r="C66" t="s">
        <v>2456</v>
      </c>
      <c r="D66" t="s">
        <v>2666</v>
      </c>
      <c r="E66" t="s">
        <v>2592</v>
      </c>
      <c r="F66">
        <v>184</v>
      </c>
      <c r="G66">
        <v>44</v>
      </c>
      <c r="H66">
        <v>140</v>
      </c>
      <c r="I66">
        <v>9</v>
      </c>
      <c r="J66">
        <v>107</v>
      </c>
      <c r="K66">
        <v>32</v>
      </c>
      <c r="L66">
        <v>100.36</v>
      </c>
      <c r="M66">
        <v>8000.77</v>
      </c>
      <c r="N66" t="s">
        <v>1543</v>
      </c>
      <c r="O66" t="s">
        <v>2866</v>
      </c>
      <c r="P66">
        <v>13</v>
      </c>
      <c r="Q66" t="s">
        <v>2577</v>
      </c>
    </row>
    <row r="67" spans="1:17" x14ac:dyDescent="0.25">
      <c r="A67" t="s">
        <v>2867</v>
      </c>
      <c r="B67" t="s">
        <v>728</v>
      </c>
      <c r="C67" t="s">
        <v>2398</v>
      </c>
      <c r="D67" t="s">
        <v>2868</v>
      </c>
      <c r="E67" t="s">
        <v>2869</v>
      </c>
      <c r="F67">
        <v>123</v>
      </c>
      <c r="G67">
        <v>27</v>
      </c>
      <c r="H67">
        <v>96</v>
      </c>
      <c r="I67">
        <v>9</v>
      </c>
      <c r="J67">
        <v>342</v>
      </c>
      <c r="K67">
        <v>47</v>
      </c>
      <c r="L67">
        <v>59.82</v>
      </c>
      <c r="M67">
        <v>11975.76</v>
      </c>
      <c r="N67" t="s">
        <v>2870</v>
      </c>
      <c r="O67" t="s">
        <v>2871</v>
      </c>
      <c r="P67">
        <v>10.8</v>
      </c>
      <c r="Q67" t="s">
        <v>2633</v>
      </c>
    </row>
    <row r="68" spans="1:17" x14ac:dyDescent="0.25">
      <c r="A68" t="s">
        <v>2872</v>
      </c>
      <c r="B68" t="s">
        <v>713</v>
      </c>
      <c r="C68" t="s">
        <v>2376</v>
      </c>
      <c r="D68" t="s">
        <v>2630</v>
      </c>
      <c r="E68" t="s">
        <v>2873</v>
      </c>
      <c r="F68">
        <v>230</v>
      </c>
      <c r="G68">
        <v>37</v>
      </c>
      <c r="H68">
        <v>193</v>
      </c>
      <c r="I68">
        <v>17</v>
      </c>
      <c r="J68">
        <v>126</v>
      </c>
      <c r="K68">
        <v>41</v>
      </c>
      <c r="L68">
        <v>53.54</v>
      </c>
      <c r="M68">
        <v>64401.1</v>
      </c>
      <c r="N68" t="s">
        <v>2874</v>
      </c>
      <c r="O68" t="s">
        <v>2725</v>
      </c>
      <c r="P68">
        <v>14.7</v>
      </c>
      <c r="Q68" t="s">
        <v>2633</v>
      </c>
    </row>
    <row r="69" spans="1:17" x14ac:dyDescent="0.25">
      <c r="A69" t="s">
        <v>2875</v>
      </c>
      <c r="B69" t="s">
        <v>1056</v>
      </c>
      <c r="C69" t="s">
        <v>2456</v>
      </c>
      <c r="D69" t="s">
        <v>2876</v>
      </c>
      <c r="E69" t="s">
        <v>2877</v>
      </c>
      <c r="F69">
        <v>283</v>
      </c>
      <c r="G69">
        <v>18</v>
      </c>
      <c r="H69">
        <v>265</v>
      </c>
      <c r="I69">
        <v>21</v>
      </c>
      <c r="J69">
        <v>402</v>
      </c>
      <c r="K69">
        <v>66</v>
      </c>
      <c r="L69">
        <v>325.17</v>
      </c>
      <c r="M69">
        <v>94181.15</v>
      </c>
      <c r="N69" t="s">
        <v>2878</v>
      </c>
      <c r="O69" t="s">
        <v>2879</v>
      </c>
      <c r="P69">
        <v>7.8</v>
      </c>
      <c r="Q69" t="s">
        <v>2577</v>
      </c>
    </row>
    <row r="70" spans="1:17" x14ac:dyDescent="0.25">
      <c r="A70" t="s">
        <v>2880</v>
      </c>
      <c r="B70" t="s">
        <v>789</v>
      </c>
      <c r="C70" t="s">
        <v>2376</v>
      </c>
      <c r="D70" t="s">
        <v>2881</v>
      </c>
      <c r="E70" t="s">
        <v>2882</v>
      </c>
      <c r="F70">
        <v>216</v>
      </c>
      <c r="G70">
        <v>36</v>
      </c>
      <c r="H70">
        <v>180</v>
      </c>
      <c r="I70">
        <v>25</v>
      </c>
      <c r="J70">
        <v>313</v>
      </c>
      <c r="K70">
        <v>76</v>
      </c>
      <c r="L70">
        <v>263</v>
      </c>
      <c r="M70">
        <v>49077.89</v>
      </c>
      <c r="N70" t="s">
        <v>2883</v>
      </c>
      <c r="O70" t="s">
        <v>2884</v>
      </c>
      <c r="P70">
        <v>5.9</v>
      </c>
      <c r="Q70" t="s">
        <v>2595</v>
      </c>
    </row>
    <row r="71" spans="1:17" x14ac:dyDescent="0.25">
      <c r="A71" t="s">
        <v>2885</v>
      </c>
      <c r="B71" t="s">
        <v>77</v>
      </c>
      <c r="C71" t="s">
        <v>2398</v>
      </c>
      <c r="D71" t="s">
        <v>2886</v>
      </c>
      <c r="E71" t="s">
        <v>2887</v>
      </c>
      <c r="F71">
        <v>147</v>
      </c>
      <c r="G71">
        <v>46</v>
      </c>
      <c r="H71">
        <v>101</v>
      </c>
      <c r="I71">
        <v>12</v>
      </c>
      <c r="J71">
        <v>359</v>
      </c>
      <c r="K71">
        <v>34</v>
      </c>
      <c r="L71">
        <v>314.45</v>
      </c>
      <c r="M71">
        <v>36182.07</v>
      </c>
      <c r="N71" t="s">
        <v>2792</v>
      </c>
      <c r="O71" t="s">
        <v>2773</v>
      </c>
      <c r="P71">
        <v>12.9</v>
      </c>
      <c r="Q71" t="s">
        <v>2633</v>
      </c>
    </row>
    <row r="72" spans="1:17" x14ac:dyDescent="0.25">
      <c r="A72" t="s">
        <v>2888</v>
      </c>
      <c r="B72" t="s">
        <v>264</v>
      </c>
      <c r="C72" t="s">
        <v>2416</v>
      </c>
      <c r="D72" t="s">
        <v>2889</v>
      </c>
      <c r="E72" t="s">
        <v>2890</v>
      </c>
      <c r="F72">
        <v>199</v>
      </c>
      <c r="G72">
        <v>26</v>
      </c>
      <c r="H72">
        <v>173</v>
      </c>
      <c r="I72">
        <v>11</v>
      </c>
      <c r="J72">
        <v>244</v>
      </c>
      <c r="K72">
        <v>64</v>
      </c>
      <c r="L72">
        <v>387.16</v>
      </c>
      <c r="M72">
        <v>60580.34</v>
      </c>
      <c r="N72" t="s">
        <v>2891</v>
      </c>
      <c r="O72" t="s">
        <v>2892</v>
      </c>
      <c r="P72">
        <v>3.8</v>
      </c>
      <c r="Q72" t="s">
        <v>2633</v>
      </c>
    </row>
    <row r="73" spans="1:17" x14ac:dyDescent="0.25">
      <c r="A73" t="s">
        <v>2893</v>
      </c>
      <c r="B73" t="s">
        <v>215</v>
      </c>
      <c r="C73" t="s">
        <v>2432</v>
      </c>
      <c r="D73" t="s">
        <v>2630</v>
      </c>
      <c r="E73" t="s">
        <v>2894</v>
      </c>
      <c r="F73">
        <v>252</v>
      </c>
      <c r="G73">
        <v>19</v>
      </c>
      <c r="H73">
        <v>233</v>
      </c>
      <c r="I73">
        <v>5</v>
      </c>
      <c r="J73">
        <v>283</v>
      </c>
      <c r="K73">
        <v>76</v>
      </c>
      <c r="L73">
        <v>167.36</v>
      </c>
      <c r="M73">
        <v>82625.89</v>
      </c>
      <c r="N73" t="s">
        <v>2895</v>
      </c>
      <c r="O73" t="s">
        <v>2896</v>
      </c>
      <c r="P73">
        <v>13</v>
      </c>
      <c r="Q73" t="s">
        <v>2577</v>
      </c>
    </row>
    <row r="74" spans="1:17" x14ac:dyDescent="0.25">
      <c r="A74" t="s">
        <v>2897</v>
      </c>
      <c r="B74" t="s">
        <v>159</v>
      </c>
      <c r="C74" t="s">
        <v>2425</v>
      </c>
      <c r="D74" t="s">
        <v>2898</v>
      </c>
      <c r="E74" t="s">
        <v>2899</v>
      </c>
      <c r="F74">
        <v>220</v>
      </c>
      <c r="G74">
        <v>7</v>
      </c>
      <c r="H74">
        <v>213</v>
      </c>
      <c r="I74">
        <v>20</v>
      </c>
      <c r="J74">
        <v>232</v>
      </c>
      <c r="K74">
        <v>41</v>
      </c>
      <c r="L74">
        <v>403.2</v>
      </c>
      <c r="M74">
        <v>84394.49</v>
      </c>
      <c r="N74" t="s">
        <v>2900</v>
      </c>
      <c r="O74" t="s">
        <v>2901</v>
      </c>
      <c r="P74">
        <v>8.8000000000000007</v>
      </c>
      <c r="Q74" t="s">
        <v>2577</v>
      </c>
    </row>
    <row r="75" spans="1:17" x14ac:dyDescent="0.25">
      <c r="A75" t="s">
        <v>2902</v>
      </c>
      <c r="B75" t="s">
        <v>995</v>
      </c>
      <c r="C75" t="s">
        <v>2449</v>
      </c>
      <c r="D75" t="s">
        <v>2903</v>
      </c>
      <c r="E75" t="s">
        <v>2904</v>
      </c>
      <c r="F75">
        <v>53</v>
      </c>
      <c r="G75">
        <v>45</v>
      </c>
      <c r="H75">
        <v>8</v>
      </c>
      <c r="I75">
        <v>8</v>
      </c>
      <c r="J75">
        <v>500</v>
      </c>
      <c r="K75">
        <v>59</v>
      </c>
      <c r="L75">
        <v>324.35000000000002</v>
      </c>
      <c r="M75">
        <v>3490.19</v>
      </c>
      <c r="N75" t="s">
        <v>2905</v>
      </c>
      <c r="O75" t="s">
        <v>1487</v>
      </c>
      <c r="P75">
        <v>8.9</v>
      </c>
      <c r="Q75" t="s">
        <v>2577</v>
      </c>
    </row>
    <row r="76" spans="1:17" x14ac:dyDescent="0.25">
      <c r="A76" t="s">
        <v>2906</v>
      </c>
      <c r="B76" t="s">
        <v>311</v>
      </c>
      <c r="C76" t="s">
        <v>2388</v>
      </c>
      <c r="D76" t="s">
        <v>2907</v>
      </c>
      <c r="E76" t="s">
        <v>2771</v>
      </c>
      <c r="F76">
        <v>105</v>
      </c>
      <c r="G76">
        <v>23</v>
      </c>
      <c r="H76">
        <v>82</v>
      </c>
      <c r="I76">
        <v>29</v>
      </c>
      <c r="J76">
        <v>359</v>
      </c>
      <c r="K76">
        <v>51</v>
      </c>
      <c r="L76">
        <v>379.65</v>
      </c>
      <c r="M76">
        <v>7763.96</v>
      </c>
      <c r="N76" t="s">
        <v>2801</v>
      </c>
      <c r="O76" t="s">
        <v>2672</v>
      </c>
      <c r="P76">
        <v>5.7</v>
      </c>
      <c r="Q76" t="s">
        <v>2577</v>
      </c>
    </row>
    <row r="77" spans="1:17" x14ac:dyDescent="0.25">
      <c r="A77" t="s">
        <v>2908</v>
      </c>
      <c r="B77" t="s">
        <v>253</v>
      </c>
      <c r="C77" t="s">
        <v>2407</v>
      </c>
      <c r="D77" t="s">
        <v>2909</v>
      </c>
      <c r="E77" t="s">
        <v>2910</v>
      </c>
      <c r="F77">
        <v>224</v>
      </c>
      <c r="G77">
        <v>26</v>
      </c>
      <c r="H77">
        <v>198</v>
      </c>
      <c r="I77">
        <v>14</v>
      </c>
      <c r="J77">
        <v>358</v>
      </c>
      <c r="K77">
        <v>30</v>
      </c>
      <c r="L77">
        <v>88.36</v>
      </c>
      <c r="M77">
        <v>43084.08</v>
      </c>
      <c r="N77" t="s">
        <v>2655</v>
      </c>
      <c r="O77" t="s">
        <v>2782</v>
      </c>
      <c r="P77">
        <v>6</v>
      </c>
      <c r="Q77" t="s">
        <v>2577</v>
      </c>
    </row>
    <row r="78" spans="1:17" x14ac:dyDescent="0.25">
      <c r="A78" t="s">
        <v>2911</v>
      </c>
      <c r="B78" t="s">
        <v>290</v>
      </c>
      <c r="C78" t="s">
        <v>2449</v>
      </c>
      <c r="D78" t="s">
        <v>2912</v>
      </c>
      <c r="E78" t="s">
        <v>2913</v>
      </c>
      <c r="F78">
        <v>215</v>
      </c>
      <c r="G78">
        <v>50</v>
      </c>
      <c r="H78">
        <v>165</v>
      </c>
      <c r="I78">
        <v>18</v>
      </c>
      <c r="J78">
        <v>334</v>
      </c>
      <c r="K78">
        <v>80</v>
      </c>
      <c r="L78">
        <v>433.58</v>
      </c>
      <c r="M78">
        <v>67249.600000000006</v>
      </c>
      <c r="N78" t="s">
        <v>2914</v>
      </c>
      <c r="O78" t="s">
        <v>2915</v>
      </c>
      <c r="P78">
        <v>1.4</v>
      </c>
      <c r="Q78" t="s">
        <v>2577</v>
      </c>
    </row>
    <row r="79" spans="1:17" x14ac:dyDescent="0.25">
      <c r="A79" t="s">
        <v>2916</v>
      </c>
      <c r="B79" t="s">
        <v>1101</v>
      </c>
      <c r="C79" t="s">
        <v>2376</v>
      </c>
      <c r="D79" t="s">
        <v>2743</v>
      </c>
      <c r="E79" t="s">
        <v>2917</v>
      </c>
      <c r="F79">
        <v>264</v>
      </c>
      <c r="G79">
        <v>4</v>
      </c>
      <c r="H79">
        <v>260</v>
      </c>
      <c r="I79">
        <v>29</v>
      </c>
      <c r="J79">
        <v>184</v>
      </c>
      <c r="K79">
        <v>47</v>
      </c>
      <c r="L79">
        <v>77.66</v>
      </c>
      <c r="M79">
        <v>101825.51</v>
      </c>
      <c r="N79" t="s">
        <v>2729</v>
      </c>
      <c r="O79" t="s">
        <v>2918</v>
      </c>
      <c r="P79">
        <v>10</v>
      </c>
      <c r="Q79" t="s">
        <v>2577</v>
      </c>
    </row>
    <row r="80" spans="1:17" x14ac:dyDescent="0.25">
      <c r="A80" t="s">
        <v>2919</v>
      </c>
      <c r="B80" t="s">
        <v>920</v>
      </c>
      <c r="C80" t="s">
        <v>2449</v>
      </c>
      <c r="D80" t="s">
        <v>2920</v>
      </c>
      <c r="E80" t="s">
        <v>2636</v>
      </c>
      <c r="F80">
        <v>151</v>
      </c>
      <c r="G80">
        <v>26</v>
      </c>
      <c r="H80">
        <v>125</v>
      </c>
      <c r="I80">
        <v>16</v>
      </c>
      <c r="J80">
        <v>104</v>
      </c>
      <c r="K80">
        <v>72</v>
      </c>
      <c r="L80">
        <v>175.9</v>
      </c>
      <c r="M80">
        <v>35938.29</v>
      </c>
      <c r="N80" t="s">
        <v>2792</v>
      </c>
      <c r="O80" t="s">
        <v>1552</v>
      </c>
      <c r="P80">
        <v>10.8</v>
      </c>
      <c r="Q80" t="s">
        <v>2633</v>
      </c>
    </row>
    <row r="81" spans="1:17" x14ac:dyDescent="0.25">
      <c r="A81" t="s">
        <v>2921</v>
      </c>
      <c r="B81" t="s">
        <v>935</v>
      </c>
      <c r="C81" t="s">
        <v>2407</v>
      </c>
      <c r="D81" t="s">
        <v>2635</v>
      </c>
      <c r="E81" t="s">
        <v>2922</v>
      </c>
      <c r="F81">
        <v>278</v>
      </c>
      <c r="G81">
        <v>39</v>
      </c>
      <c r="H81">
        <v>239</v>
      </c>
      <c r="I81">
        <v>29</v>
      </c>
      <c r="J81">
        <v>201</v>
      </c>
      <c r="K81">
        <v>76</v>
      </c>
      <c r="L81">
        <v>185.69</v>
      </c>
      <c r="M81">
        <v>15926.14</v>
      </c>
      <c r="N81" t="s">
        <v>2923</v>
      </c>
      <c r="O81" t="s">
        <v>2924</v>
      </c>
      <c r="P81">
        <v>11.2</v>
      </c>
      <c r="Q81" t="s">
        <v>2577</v>
      </c>
    </row>
    <row r="82" spans="1:17" x14ac:dyDescent="0.25">
      <c r="A82" t="s">
        <v>2925</v>
      </c>
      <c r="B82" t="s">
        <v>779</v>
      </c>
      <c r="C82" t="s">
        <v>2449</v>
      </c>
      <c r="D82" t="s">
        <v>2748</v>
      </c>
      <c r="E82" t="s">
        <v>2926</v>
      </c>
      <c r="F82">
        <v>145</v>
      </c>
      <c r="G82">
        <v>13</v>
      </c>
      <c r="H82">
        <v>132</v>
      </c>
      <c r="I82">
        <v>21</v>
      </c>
      <c r="J82">
        <v>274</v>
      </c>
      <c r="K82">
        <v>68</v>
      </c>
      <c r="L82">
        <v>336.06</v>
      </c>
      <c r="M82">
        <v>7991.25</v>
      </c>
      <c r="N82" t="s">
        <v>2927</v>
      </c>
      <c r="O82" t="s">
        <v>2033</v>
      </c>
      <c r="P82">
        <v>8.6</v>
      </c>
      <c r="Q82" t="s">
        <v>2605</v>
      </c>
    </row>
    <row r="83" spans="1:17" x14ac:dyDescent="0.25">
      <c r="A83" t="s">
        <v>2928</v>
      </c>
      <c r="B83" t="s">
        <v>410</v>
      </c>
      <c r="C83" t="s">
        <v>2416</v>
      </c>
      <c r="D83" t="s">
        <v>2644</v>
      </c>
      <c r="E83" t="s">
        <v>2929</v>
      </c>
      <c r="F83">
        <v>216</v>
      </c>
      <c r="G83">
        <v>32</v>
      </c>
      <c r="H83">
        <v>184</v>
      </c>
      <c r="I83">
        <v>25</v>
      </c>
      <c r="J83">
        <v>359</v>
      </c>
      <c r="K83">
        <v>42</v>
      </c>
      <c r="L83">
        <v>105.72</v>
      </c>
      <c r="M83">
        <v>71843.16</v>
      </c>
      <c r="N83" t="s">
        <v>2930</v>
      </c>
      <c r="O83" t="s">
        <v>2931</v>
      </c>
      <c r="P83">
        <v>7.3</v>
      </c>
      <c r="Q83" t="s">
        <v>2577</v>
      </c>
    </row>
    <row r="84" spans="1:17" x14ac:dyDescent="0.25">
      <c r="A84" t="s">
        <v>2932</v>
      </c>
      <c r="B84" t="s">
        <v>693</v>
      </c>
      <c r="C84" t="s">
        <v>2425</v>
      </c>
      <c r="D84" t="s">
        <v>2933</v>
      </c>
      <c r="E84" t="s">
        <v>2636</v>
      </c>
      <c r="F84">
        <v>120</v>
      </c>
      <c r="G84">
        <v>47</v>
      </c>
      <c r="H84">
        <v>73</v>
      </c>
      <c r="I84">
        <v>26</v>
      </c>
      <c r="J84">
        <v>466</v>
      </c>
      <c r="K84">
        <v>56</v>
      </c>
      <c r="L84">
        <v>352.6</v>
      </c>
      <c r="M84">
        <v>27116.43</v>
      </c>
      <c r="N84" t="s">
        <v>2244</v>
      </c>
      <c r="O84" t="s">
        <v>2683</v>
      </c>
      <c r="P84">
        <v>4.5</v>
      </c>
      <c r="Q84" t="s">
        <v>2623</v>
      </c>
    </row>
    <row r="85" spans="1:17" x14ac:dyDescent="0.25">
      <c r="A85" t="s">
        <v>2934</v>
      </c>
      <c r="B85" t="s">
        <v>774</v>
      </c>
      <c r="C85" t="s">
        <v>2456</v>
      </c>
      <c r="D85" t="s">
        <v>2935</v>
      </c>
      <c r="E85" t="s">
        <v>2715</v>
      </c>
      <c r="F85">
        <v>98</v>
      </c>
      <c r="G85">
        <v>49</v>
      </c>
      <c r="H85">
        <v>49</v>
      </c>
      <c r="I85">
        <v>27</v>
      </c>
      <c r="J85">
        <v>317</v>
      </c>
      <c r="K85">
        <v>73</v>
      </c>
      <c r="L85">
        <v>235.42</v>
      </c>
      <c r="M85">
        <v>4484.08</v>
      </c>
      <c r="N85" t="s">
        <v>2936</v>
      </c>
      <c r="O85" t="s">
        <v>2937</v>
      </c>
      <c r="P85">
        <v>2.8</v>
      </c>
      <c r="Q85" t="s">
        <v>2577</v>
      </c>
    </row>
    <row r="86" spans="1:17" x14ac:dyDescent="0.25">
      <c r="A86" t="s">
        <v>2938</v>
      </c>
      <c r="B86" t="s">
        <v>682</v>
      </c>
      <c r="C86" t="s">
        <v>2388</v>
      </c>
      <c r="D86" t="s">
        <v>2939</v>
      </c>
      <c r="E86" t="s">
        <v>2631</v>
      </c>
      <c r="F86">
        <v>189</v>
      </c>
      <c r="G86">
        <v>43</v>
      </c>
      <c r="H86">
        <v>146</v>
      </c>
      <c r="I86">
        <v>29</v>
      </c>
      <c r="J86">
        <v>302</v>
      </c>
      <c r="K86">
        <v>75</v>
      </c>
      <c r="L86">
        <v>168.66</v>
      </c>
      <c r="M86">
        <v>40072.949999999997</v>
      </c>
      <c r="N86" t="s">
        <v>2839</v>
      </c>
      <c r="O86" t="s">
        <v>2940</v>
      </c>
      <c r="P86">
        <v>10.6</v>
      </c>
      <c r="Q86" t="s">
        <v>2633</v>
      </c>
    </row>
    <row r="87" spans="1:17" x14ac:dyDescent="0.25">
      <c r="A87" t="s">
        <v>2941</v>
      </c>
      <c r="B87" t="s">
        <v>1051</v>
      </c>
      <c r="C87" t="s">
        <v>2432</v>
      </c>
      <c r="D87" t="s">
        <v>2661</v>
      </c>
      <c r="E87" t="s">
        <v>2771</v>
      </c>
      <c r="F87">
        <v>83</v>
      </c>
      <c r="G87">
        <v>9</v>
      </c>
      <c r="H87">
        <v>74</v>
      </c>
      <c r="I87">
        <v>9</v>
      </c>
      <c r="J87">
        <v>460</v>
      </c>
      <c r="K87">
        <v>52</v>
      </c>
      <c r="L87">
        <v>438.47</v>
      </c>
      <c r="M87">
        <v>7631.34</v>
      </c>
      <c r="N87" t="s">
        <v>2942</v>
      </c>
      <c r="O87" t="s">
        <v>2943</v>
      </c>
      <c r="P87">
        <v>7.6</v>
      </c>
      <c r="Q87" t="s">
        <v>2577</v>
      </c>
    </row>
    <row r="88" spans="1:17" x14ac:dyDescent="0.25">
      <c r="A88" t="s">
        <v>2944</v>
      </c>
      <c r="B88" t="s">
        <v>829</v>
      </c>
      <c r="C88" t="s">
        <v>2425</v>
      </c>
      <c r="D88" t="s">
        <v>2851</v>
      </c>
      <c r="E88" t="s">
        <v>2681</v>
      </c>
      <c r="F88">
        <v>60</v>
      </c>
      <c r="G88">
        <v>38</v>
      </c>
      <c r="H88">
        <v>22</v>
      </c>
      <c r="I88">
        <v>23</v>
      </c>
      <c r="J88">
        <v>248</v>
      </c>
      <c r="K88">
        <v>22</v>
      </c>
      <c r="L88">
        <v>285.25</v>
      </c>
      <c r="M88">
        <v>2265.65</v>
      </c>
      <c r="N88" t="s">
        <v>2945</v>
      </c>
      <c r="O88" t="s">
        <v>2946</v>
      </c>
      <c r="P88">
        <v>5.2</v>
      </c>
      <c r="Q88" t="s">
        <v>2633</v>
      </c>
    </row>
    <row r="89" spans="1:17" x14ac:dyDescent="0.25">
      <c r="A89" t="s">
        <v>2947</v>
      </c>
      <c r="B89" t="s">
        <v>95</v>
      </c>
      <c r="C89" t="s">
        <v>2398</v>
      </c>
      <c r="D89" t="s">
        <v>2948</v>
      </c>
      <c r="E89" t="s">
        <v>2636</v>
      </c>
      <c r="F89">
        <v>72</v>
      </c>
      <c r="G89">
        <v>50</v>
      </c>
      <c r="H89">
        <v>22</v>
      </c>
      <c r="I89">
        <v>11</v>
      </c>
      <c r="J89">
        <v>193</v>
      </c>
      <c r="K89">
        <v>72</v>
      </c>
      <c r="L89">
        <v>382.85</v>
      </c>
      <c r="M89">
        <v>1120.6500000000001</v>
      </c>
      <c r="N89" t="s">
        <v>2949</v>
      </c>
      <c r="O89" t="s">
        <v>2950</v>
      </c>
      <c r="P89">
        <v>1.9</v>
      </c>
      <c r="Q89" t="s">
        <v>2577</v>
      </c>
    </row>
    <row r="90" spans="1:17" x14ac:dyDescent="0.25">
      <c r="A90" t="s">
        <v>2951</v>
      </c>
      <c r="B90" t="s">
        <v>641</v>
      </c>
      <c r="C90" t="s">
        <v>2440</v>
      </c>
      <c r="D90" t="s">
        <v>2952</v>
      </c>
      <c r="E90" t="s">
        <v>2834</v>
      </c>
      <c r="F90">
        <v>293</v>
      </c>
      <c r="G90">
        <v>19</v>
      </c>
      <c r="H90">
        <v>274</v>
      </c>
      <c r="I90">
        <v>28</v>
      </c>
      <c r="J90">
        <v>410</v>
      </c>
      <c r="K90">
        <v>28</v>
      </c>
      <c r="L90">
        <v>392.88</v>
      </c>
      <c r="M90">
        <v>75937.38</v>
      </c>
      <c r="N90" t="s">
        <v>2864</v>
      </c>
      <c r="O90" t="s">
        <v>2953</v>
      </c>
      <c r="P90">
        <v>7.3</v>
      </c>
      <c r="Q90" t="s">
        <v>2633</v>
      </c>
    </row>
    <row r="91" spans="1:17" x14ac:dyDescent="0.25">
      <c r="A91" t="s">
        <v>2954</v>
      </c>
      <c r="B91" t="s">
        <v>290</v>
      </c>
      <c r="C91" t="s">
        <v>2425</v>
      </c>
      <c r="D91" t="s">
        <v>2955</v>
      </c>
      <c r="E91" t="s">
        <v>2956</v>
      </c>
      <c r="F91">
        <v>45</v>
      </c>
      <c r="G91">
        <v>39</v>
      </c>
      <c r="H91">
        <v>6</v>
      </c>
      <c r="I91">
        <v>15</v>
      </c>
      <c r="J91">
        <v>376</v>
      </c>
      <c r="K91">
        <v>22</v>
      </c>
      <c r="L91">
        <v>481.14</v>
      </c>
      <c r="M91">
        <v>2703.12</v>
      </c>
      <c r="N91" t="s">
        <v>2957</v>
      </c>
      <c r="O91" t="s">
        <v>2958</v>
      </c>
      <c r="P91">
        <v>10</v>
      </c>
      <c r="Q91" t="s">
        <v>2577</v>
      </c>
    </row>
    <row r="92" spans="1:17" x14ac:dyDescent="0.25">
      <c r="A92" t="s">
        <v>2959</v>
      </c>
      <c r="B92" t="s">
        <v>1021</v>
      </c>
      <c r="C92" t="s">
        <v>2376</v>
      </c>
      <c r="D92" t="s">
        <v>2689</v>
      </c>
      <c r="E92" t="s">
        <v>2960</v>
      </c>
      <c r="F92">
        <v>292</v>
      </c>
      <c r="G92">
        <v>40</v>
      </c>
      <c r="H92">
        <v>252</v>
      </c>
      <c r="I92">
        <v>25</v>
      </c>
      <c r="J92">
        <v>386</v>
      </c>
      <c r="K92">
        <v>25</v>
      </c>
      <c r="L92">
        <v>136.59</v>
      </c>
      <c r="M92">
        <v>82761.039999999994</v>
      </c>
      <c r="N92" t="s">
        <v>2961</v>
      </c>
      <c r="O92" t="s">
        <v>2599</v>
      </c>
      <c r="P92">
        <v>1.7</v>
      </c>
      <c r="Q92" t="s">
        <v>2577</v>
      </c>
    </row>
    <row r="93" spans="1:17" x14ac:dyDescent="0.25">
      <c r="A93" t="s">
        <v>2962</v>
      </c>
      <c r="B93" t="s">
        <v>1076</v>
      </c>
      <c r="C93" t="s">
        <v>2440</v>
      </c>
      <c r="D93" t="s">
        <v>2963</v>
      </c>
      <c r="E93" t="s">
        <v>2727</v>
      </c>
      <c r="F93">
        <v>257</v>
      </c>
      <c r="G93">
        <v>1</v>
      </c>
      <c r="H93">
        <v>256</v>
      </c>
      <c r="I93">
        <v>13</v>
      </c>
      <c r="J93">
        <v>205</v>
      </c>
      <c r="K93">
        <v>35</v>
      </c>
      <c r="L93">
        <v>423.36</v>
      </c>
      <c r="M93">
        <v>109443.29</v>
      </c>
      <c r="N93" t="s">
        <v>2651</v>
      </c>
      <c r="O93" t="s">
        <v>2964</v>
      </c>
      <c r="P93">
        <v>2.2000000000000002</v>
      </c>
      <c r="Q93" t="s">
        <v>2623</v>
      </c>
    </row>
    <row r="94" spans="1:17" x14ac:dyDescent="0.25">
      <c r="A94" t="s">
        <v>2965</v>
      </c>
      <c r="B94" t="s">
        <v>621</v>
      </c>
      <c r="C94" t="s">
        <v>2456</v>
      </c>
      <c r="D94" t="s">
        <v>2966</v>
      </c>
      <c r="E94" t="s">
        <v>2667</v>
      </c>
      <c r="F94">
        <v>23</v>
      </c>
      <c r="G94">
        <v>15</v>
      </c>
      <c r="H94">
        <v>8</v>
      </c>
      <c r="I94">
        <v>18</v>
      </c>
      <c r="J94">
        <v>112</v>
      </c>
      <c r="K94">
        <v>75</v>
      </c>
      <c r="L94">
        <v>287.56</v>
      </c>
      <c r="M94">
        <v>1775.24</v>
      </c>
      <c r="N94" t="s">
        <v>2745</v>
      </c>
      <c r="O94" t="s">
        <v>2854</v>
      </c>
      <c r="P94">
        <v>14.7</v>
      </c>
      <c r="Q94" t="s">
        <v>2577</v>
      </c>
    </row>
    <row r="95" spans="1:17" x14ac:dyDescent="0.25">
      <c r="A95" t="s">
        <v>2967</v>
      </c>
      <c r="B95" t="s">
        <v>473</v>
      </c>
      <c r="C95" t="s">
        <v>2398</v>
      </c>
      <c r="D95" t="s">
        <v>2597</v>
      </c>
      <c r="E95" t="s">
        <v>2869</v>
      </c>
      <c r="F95">
        <v>93</v>
      </c>
      <c r="G95">
        <v>16</v>
      </c>
      <c r="H95">
        <v>77</v>
      </c>
      <c r="I95">
        <v>26</v>
      </c>
      <c r="J95">
        <v>186</v>
      </c>
      <c r="K95">
        <v>23</v>
      </c>
      <c r="L95">
        <v>326.51</v>
      </c>
      <c r="M95">
        <v>15121.32</v>
      </c>
      <c r="N95" t="s">
        <v>2968</v>
      </c>
      <c r="O95" t="s">
        <v>2874</v>
      </c>
      <c r="P95">
        <v>1.8</v>
      </c>
      <c r="Q95" t="s">
        <v>2595</v>
      </c>
    </row>
    <row r="96" spans="1:17" x14ac:dyDescent="0.25">
      <c r="A96" t="s">
        <v>2969</v>
      </c>
      <c r="B96" t="s">
        <v>215</v>
      </c>
      <c r="C96" t="s">
        <v>2425</v>
      </c>
      <c r="D96" t="s">
        <v>2970</v>
      </c>
      <c r="E96" t="s">
        <v>2971</v>
      </c>
      <c r="F96">
        <v>72</v>
      </c>
      <c r="G96">
        <v>26</v>
      </c>
      <c r="H96">
        <v>46</v>
      </c>
      <c r="I96">
        <v>6</v>
      </c>
      <c r="J96">
        <v>203</v>
      </c>
      <c r="K96">
        <v>35</v>
      </c>
      <c r="L96">
        <v>388.46</v>
      </c>
      <c r="M96">
        <v>14430.8</v>
      </c>
      <c r="N96" t="s">
        <v>2663</v>
      </c>
      <c r="O96" t="s">
        <v>2972</v>
      </c>
      <c r="P96">
        <v>11.5</v>
      </c>
      <c r="Q96" t="s">
        <v>2595</v>
      </c>
    </row>
    <row r="97" spans="1:17" x14ac:dyDescent="0.25">
      <c r="A97" t="s">
        <v>2973</v>
      </c>
      <c r="B97" t="s">
        <v>240</v>
      </c>
      <c r="C97" t="s">
        <v>2416</v>
      </c>
      <c r="D97" t="s">
        <v>2591</v>
      </c>
      <c r="E97" t="s">
        <v>2974</v>
      </c>
      <c r="F97">
        <v>31</v>
      </c>
      <c r="G97">
        <v>20</v>
      </c>
      <c r="H97">
        <v>11</v>
      </c>
      <c r="I97">
        <v>20</v>
      </c>
      <c r="J97">
        <v>114</v>
      </c>
      <c r="K97">
        <v>46</v>
      </c>
      <c r="L97">
        <v>335.09</v>
      </c>
      <c r="M97">
        <v>5072.99</v>
      </c>
      <c r="N97" t="s">
        <v>2975</v>
      </c>
      <c r="O97" t="s">
        <v>2976</v>
      </c>
      <c r="P97">
        <v>8.8000000000000007</v>
      </c>
      <c r="Q97" t="s">
        <v>2577</v>
      </c>
    </row>
    <row r="98" spans="1:17" x14ac:dyDescent="0.25">
      <c r="A98" t="s">
        <v>2977</v>
      </c>
      <c r="B98" t="s">
        <v>420</v>
      </c>
      <c r="C98" t="s">
        <v>2449</v>
      </c>
      <c r="D98" t="s">
        <v>2978</v>
      </c>
      <c r="E98" t="s">
        <v>2979</v>
      </c>
      <c r="F98">
        <v>64</v>
      </c>
      <c r="G98">
        <v>19</v>
      </c>
      <c r="H98">
        <v>45</v>
      </c>
      <c r="I98">
        <v>11</v>
      </c>
      <c r="J98">
        <v>500</v>
      </c>
      <c r="K98">
        <v>29</v>
      </c>
      <c r="L98">
        <v>217.99</v>
      </c>
      <c r="M98">
        <v>22202.5</v>
      </c>
      <c r="N98" t="s">
        <v>2980</v>
      </c>
      <c r="O98" t="s">
        <v>2736</v>
      </c>
      <c r="P98">
        <v>8.5</v>
      </c>
      <c r="Q98" t="s">
        <v>2595</v>
      </c>
    </row>
    <row r="99" spans="1:17" x14ac:dyDescent="0.25">
      <c r="A99" t="s">
        <v>2981</v>
      </c>
      <c r="B99" t="s">
        <v>824</v>
      </c>
      <c r="C99" t="s">
        <v>2440</v>
      </c>
      <c r="D99" t="s">
        <v>2982</v>
      </c>
      <c r="E99" t="s">
        <v>2983</v>
      </c>
      <c r="F99">
        <v>21</v>
      </c>
      <c r="G99">
        <v>0</v>
      </c>
      <c r="H99">
        <v>21</v>
      </c>
      <c r="I99">
        <v>5</v>
      </c>
      <c r="J99">
        <v>130</v>
      </c>
      <c r="K99">
        <v>79</v>
      </c>
      <c r="L99">
        <v>464.81</v>
      </c>
      <c r="M99">
        <v>3632.71</v>
      </c>
      <c r="N99" t="s">
        <v>2984</v>
      </c>
      <c r="O99" t="s">
        <v>2985</v>
      </c>
      <c r="P99">
        <v>10.5</v>
      </c>
      <c r="Q99" t="s">
        <v>2623</v>
      </c>
    </row>
    <row r="100" spans="1:17" x14ac:dyDescent="0.25">
      <c r="A100" t="s">
        <v>2986</v>
      </c>
      <c r="B100" t="s">
        <v>920</v>
      </c>
      <c r="C100" t="s">
        <v>2407</v>
      </c>
      <c r="D100" t="s">
        <v>2987</v>
      </c>
      <c r="E100" t="s">
        <v>2890</v>
      </c>
      <c r="F100">
        <v>299</v>
      </c>
      <c r="G100">
        <v>32</v>
      </c>
      <c r="H100">
        <v>267</v>
      </c>
      <c r="I100">
        <v>23</v>
      </c>
      <c r="J100">
        <v>135</v>
      </c>
      <c r="K100">
        <v>39</v>
      </c>
      <c r="L100">
        <v>90.37</v>
      </c>
      <c r="M100">
        <v>97266.28</v>
      </c>
      <c r="N100" t="s">
        <v>2988</v>
      </c>
      <c r="O100" t="s">
        <v>2989</v>
      </c>
      <c r="P100">
        <v>11.2</v>
      </c>
      <c r="Q100" t="s">
        <v>2605</v>
      </c>
    </row>
    <row r="101" spans="1:17" x14ac:dyDescent="0.25">
      <c r="A101" t="s">
        <v>2990</v>
      </c>
      <c r="B101" t="s">
        <v>662</v>
      </c>
      <c r="C101" t="s">
        <v>2407</v>
      </c>
      <c r="D101" t="s">
        <v>2970</v>
      </c>
      <c r="E101" t="s">
        <v>2991</v>
      </c>
      <c r="F101">
        <v>258</v>
      </c>
      <c r="G101">
        <v>20</v>
      </c>
      <c r="H101">
        <v>238</v>
      </c>
      <c r="I101">
        <v>13</v>
      </c>
      <c r="J101">
        <v>225</v>
      </c>
      <c r="K101">
        <v>62</v>
      </c>
      <c r="L101">
        <v>492.36</v>
      </c>
      <c r="M101">
        <v>48488.55</v>
      </c>
      <c r="N101" t="s">
        <v>2864</v>
      </c>
      <c r="O101" t="s">
        <v>2992</v>
      </c>
      <c r="P101">
        <v>9.4</v>
      </c>
      <c r="Q101" t="s">
        <v>2577</v>
      </c>
    </row>
    <row r="102" spans="1:17" x14ac:dyDescent="0.25">
      <c r="A102" t="s">
        <v>2993</v>
      </c>
      <c r="B102" t="s">
        <v>1000</v>
      </c>
      <c r="C102" t="s">
        <v>2398</v>
      </c>
      <c r="D102" t="s">
        <v>2607</v>
      </c>
      <c r="E102" t="s">
        <v>2757</v>
      </c>
      <c r="F102">
        <v>1</v>
      </c>
      <c r="G102">
        <v>1</v>
      </c>
      <c r="H102">
        <v>0</v>
      </c>
      <c r="I102">
        <v>18</v>
      </c>
      <c r="J102">
        <v>384</v>
      </c>
      <c r="K102">
        <v>77</v>
      </c>
      <c r="L102">
        <v>363.42</v>
      </c>
      <c r="M102">
        <v>0</v>
      </c>
      <c r="N102" t="s">
        <v>2994</v>
      </c>
      <c r="O102" t="s">
        <v>2995</v>
      </c>
      <c r="P102">
        <v>2.1</v>
      </c>
      <c r="Q102" t="s">
        <v>2577</v>
      </c>
    </row>
    <row r="103" spans="1:17" x14ac:dyDescent="0.25">
      <c r="A103" t="s">
        <v>2996</v>
      </c>
      <c r="B103" t="s">
        <v>799</v>
      </c>
      <c r="C103" t="s">
        <v>2376</v>
      </c>
      <c r="D103" t="s">
        <v>2837</v>
      </c>
      <c r="E103" t="s">
        <v>2997</v>
      </c>
      <c r="F103">
        <v>227</v>
      </c>
      <c r="G103">
        <v>43</v>
      </c>
      <c r="H103">
        <v>184</v>
      </c>
      <c r="I103">
        <v>16</v>
      </c>
      <c r="J103">
        <v>298</v>
      </c>
      <c r="K103">
        <v>31</v>
      </c>
      <c r="L103">
        <v>427.62</v>
      </c>
      <c r="M103">
        <v>76422.81</v>
      </c>
      <c r="N103" t="s">
        <v>2369</v>
      </c>
      <c r="O103" t="s">
        <v>2931</v>
      </c>
      <c r="P103">
        <v>7.5</v>
      </c>
      <c r="Q103" t="s">
        <v>2577</v>
      </c>
    </row>
    <row r="104" spans="1:17" x14ac:dyDescent="0.25">
      <c r="A104" t="s">
        <v>2998</v>
      </c>
      <c r="B104" t="s">
        <v>677</v>
      </c>
      <c r="C104" t="s">
        <v>2376</v>
      </c>
      <c r="D104" t="s">
        <v>2999</v>
      </c>
      <c r="E104" t="s">
        <v>3000</v>
      </c>
      <c r="F104">
        <v>113</v>
      </c>
      <c r="G104">
        <v>47</v>
      </c>
      <c r="H104">
        <v>66</v>
      </c>
      <c r="I104">
        <v>11</v>
      </c>
      <c r="J104">
        <v>146</v>
      </c>
      <c r="K104">
        <v>72</v>
      </c>
      <c r="L104">
        <v>326.05</v>
      </c>
      <c r="M104">
        <v>12304.4</v>
      </c>
      <c r="N104" t="s">
        <v>3001</v>
      </c>
      <c r="O104" t="s">
        <v>3002</v>
      </c>
      <c r="P104">
        <v>4.3</v>
      </c>
      <c r="Q104" t="s">
        <v>2633</v>
      </c>
    </row>
    <row r="105" spans="1:17" x14ac:dyDescent="0.25">
      <c r="A105" t="s">
        <v>3003</v>
      </c>
      <c r="B105" t="s">
        <v>571</v>
      </c>
      <c r="C105" t="s">
        <v>2376</v>
      </c>
      <c r="D105" t="s">
        <v>3004</v>
      </c>
      <c r="E105" t="s">
        <v>3005</v>
      </c>
      <c r="F105">
        <v>143</v>
      </c>
      <c r="G105">
        <v>31</v>
      </c>
      <c r="H105">
        <v>112</v>
      </c>
      <c r="I105">
        <v>8</v>
      </c>
      <c r="J105">
        <v>242</v>
      </c>
      <c r="K105">
        <v>56</v>
      </c>
      <c r="L105">
        <v>275.14999999999998</v>
      </c>
      <c r="M105">
        <v>14192.05</v>
      </c>
      <c r="N105" t="s">
        <v>3006</v>
      </c>
      <c r="O105" t="s">
        <v>3007</v>
      </c>
      <c r="P105">
        <v>11.3</v>
      </c>
      <c r="Q105" t="s">
        <v>2577</v>
      </c>
    </row>
    <row r="106" spans="1:17" x14ac:dyDescent="0.25">
      <c r="A106" t="s">
        <v>3008</v>
      </c>
      <c r="B106" t="s">
        <v>159</v>
      </c>
      <c r="C106" t="s">
        <v>2456</v>
      </c>
      <c r="D106" t="s">
        <v>2597</v>
      </c>
      <c r="E106" t="s">
        <v>2735</v>
      </c>
      <c r="F106">
        <v>65</v>
      </c>
      <c r="G106">
        <v>47</v>
      </c>
      <c r="H106">
        <v>18</v>
      </c>
      <c r="I106">
        <v>12</v>
      </c>
      <c r="J106">
        <v>367</v>
      </c>
      <c r="K106">
        <v>66</v>
      </c>
      <c r="L106">
        <v>402.01</v>
      </c>
      <c r="M106">
        <v>2454</v>
      </c>
      <c r="N106" t="s">
        <v>3009</v>
      </c>
      <c r="O106" t="s">
        <v>3010</v>
      </c>
      <c r="P106">
        <v>14.9</v>
      </c>
      <c r="Q106" t="s">
        <v>2605</v>
      </c>
    </row>
    <row r="107" spans="1:17" x14ac:dyDescent="0.25">
      <c r="A107" t="s">
        <v>3011</v>
      </c>
      <c r="B107" t="s">
        <v>985</v>
      </c>
      <c r="C107" t="s">
        <v>2449</v>
      </c>
      <c r="D107" t="s">
        <v>2948</v>
      </c>
      <c r="E107" t="s">
        <v>2917</v>
      </c>
      <c r="F107">
        <v>232</v>
      </c>
      <c r="G107">
        <v>0</v>
      </c>
      <c r="H107">
        <v>232</v>
      </c>
      <c r="I107">
        <v>18</v>
      </c>
      <c r="J107">
        <v>240</v>
      </c>
      <c r="K107">
        <v>27</v>
      </c>
      <c r="L107">
        <v>356.08</v>
      </c>
      <c r="M107">
        <v>60311.65</v>
      </c>
      <c r="N107" t="s">
        <v>2914</v>
      </c>
      <c r="O107" t="s">
        <v>3012</v>
      </c>
      <c r="P107">
        <v>11.6</v>
      </c>
      <c r="Q107" t="s">
        <v>2577</v>
      </c>
    </row>
    <row r="108" spans="1:17" x14ac:dyDescent="0.25">
      <c r="A108" t="s">
        <v>3013</v>
      </c>
      <c r="B108" t="s">
        <v>131</v>
      </c>
      <c r="C108" t="s">
        <v>2416</v>
      </c>
      <c r="D108" t="s">
        <v>2952</v>
      </c>
      <c r="E108" t="s">
        <v>3014</v>
      </c>
      <c r="F108">
        <v>215</v>
      </c>
      <c r="G108">
        <v>34</v>
      </c>
      <c r="H108">
        <v>181</v>
      </c>
      <c r="I108">
        <v>11</v>
      </c>
      <c r="J108">
        <v>271</v>
      </c>
      <c r="K108">
        <v>25</v>
      </c>
      <c r="L108">
        <v>446.04</v>
      </c>
      <c r="M108">
        <v>74834.960000000006</v>
      </c>
      <c r="N108" t="s">
        <v>2683</v>
      </c>
      <c r="O108" t="s">
        <v>2563</v>
      </c>
      <c r="P108">
        <v>14.7</v>
      </c>
      <c r="Q108" t="s">
        <v>2595</v>
      </c>
    </row>
    <row r="109" spans="1:17" x14ac:dyDescent="0.25">
      <c r="A109" t="s">
        <v>3015</v>
      </c>
      <c r="B109" t="s">
        <v>180</v>
      </c>
      <c r="C109" t="s">
        <v>2407</v>
      </c>
      <c r="D109" t="s">
        <v>3016</v>
      </c>
      <c r="E109" t="s">
        <v>3017</v>
      </c>
      <c r="F109">
        <v>100</v>
      </c>
      <c r="G109">
        <v>10</v>
      </c>
      <c r="H109">
        <v>90</v>
      </c>
      <c r="I109">
        <v>5</v>
      </c>
      <c r="J109">
        <v>345</v>
      </c>
      <c r="K109">
        <v>47</v>
      </c>
      <c r="L109">
        <v>413.63</v>
      </c>
      <c r="M109">
        <v>28497.5</v>
      </c>
      <c r="N109" t="s">
        <v>3018</v>
      </c>
      <c r="O109" t="s">
        <v>3019</v>
      </c>
      <c r="P109">
        <v>5.7</v>
      </c>
      <c r="Q109" t="s">
        <v>2605</v>
      </c>
    </row>
    <row r="110" spans="1:17" x14ac:dyDescent="0.25">
      <c r="A110" t="s">
        <v>3020</v>
      </c>
      <c r="B110" t="s">
        <v>420</v>
      </c>
      <c r="C110" t="s">
        <v>2388</v>
      </c>
      <c r="D110" t="s">
        <v>2709</v>
      </c>
      <c r="E110" t="s">
        <v>2690</v>
      </c>
      <c r="F110">
        <v>242</v>
      </c>
      <c r="G110">
        <v>15</v>
      </c>
      <c r="H110">
        <v>227</v>
      </c>
      <c r="I110">
        <v>30</v>
      </c>
      <c r="J110">
        <v>221</v>
      </c>
      <c r="K110">
        <v>80</v>
      </c>
      <c r="L110">
        <v>82.81</v>
      </c>
      <c r="M110">
        <v>72636.39</v>
      </c>
      <c r="N110" t="s">
        <v>3021</v>
      </c>
      <c r="O110" t="s">
        <v>2702</v>
      </c>
      <c r="P110">
        <v>2.2999999999999998</v>
      </c>
      <c r="Q110" t="s">
        <v>2633</v>
      </c>
    </row>
    <row r="111" spans="1:17" x14ac:dyDescent="0.25">
      <c r="A111" t="s">
        <v>3022</v>
      </c>
      <c r="B111" t="s">
        <v>855</v>
      </c>
      <c r="C111" t="s">
        <v>2388</v>
      </c>
      <c r="D111" t="s">
        <v>3023</v>
      </c>
      <c r="E111" t="s">
        <v>3024</v>
      </c>
      <c r="F111">
        <v>43</v>
      </c>
      <c r="G111">
        <v>3</v>
      </c>
      <c r="H111">
        <v>40</v>
      </c>
      <c r="I111">
        <v>30</v>
      </c>
      <c r="J111">
        <v>165</v>
      </c>
      <c r="K111">
        <v>23</v>
      </c>
      <c r="L111">
        <v>463.6</v>
      </c>
      <c r="M111">
        <v>9954.5300000000007</v>
      </c>
      <c r="N111" t="s">
        <v>2647</v>
      </c>
      <c r="O111" t="s">
        <v>3025</v>
      </c>
      <c r="P111">
        <v>9.8000000000000007</v>
      </c>
      <c r="Q111" t="s">
        <v>2577</v>
      </c>
    </row>
    <row r="112" spans="1:17" x14ac:dyDescent="0.25">
      <c r="A112" t="s">
        <v>3026</v>
      </c>
      <c r="B112" t="s">
        <v>221</v>
      </c>
      <c r="C112" t="s">
        <v>2376</v>
      </c>
      <c r="D112" t="s">
        <v>3027</v>
      </c>
      <c r="E112" t="s">
        <v>3028</v>
      </c>
      <c r="F112">
        <v>286</v>
      </c>
      <c r="G112">
        <v>3</v>
      </c>
      <c r="H112">
        <v>283</v>
      </c>
      <c r="I112">
        <v>24</v>
      </c>
      <c r="J112">
        <v>485</v>
      </c>
      <c r="K112">
        <v>46</v>
      </c>
      <c r="L112">
        <v>154.9</v>
      </c>
      <c r="M112">
        <v>90505.98</v>
      </c>
      <c r="N112" t="s">
        <v>3007</v>
      </c>
      <c r="O112" t="s">
        <v>2858</v>
      </c>
      <c r="P112">
        <v>1.1000000000000001</v>
      </c>
      <c r="Q112" t="s">
        <v>2595</v>
      </c>
    </row>
    <row r="113" spans="1:17" x14ac:dyDescent="0.25">
      <c r="A113" t="s">
        <v>3029</v>
      </c>
      <c r="B113" t="s">
        <v>703</v>
      </c>
      <c r="C113" t="s">
        <v>2432</v>
      </c>
      <c r="D113" t="s">
        <v>2903</v>
      </c>
      <c r="E113" t="s">
        <v>3030</v>
      </c>
      <c r="F113">
        <v>51</v>
      </c>
      <c r="G113">
        <v>21</v>
      </c>
      <c r="H113">
        <v>30</v>
      </c>
      <c r="I113">
        <v>23</v>
      </c>
      <c r="J113">
        <v>198</v>
      </c>
      <c r="K113">
        <v>26</v>
      </c>
      <c r="L113">
        <v>96.21</v>
      </c>
      <c r="M113">
        <v>9534.86</v>
      </c>
      <c r="N113" t="s">
        <v>3031</v>
      </c>
      <c r="O113" t="s">
        <v>3032</v>
      </c>
      <c r="P113">
        <v>12.1</v>
      </c>
      <c r="Q113" t="s">
        <v>2577</v>
      </c>
    </row>
    <row r="114" spans="1:17" x14ac:dyDescent="0.25">
      <c r="A114" t="s">
        <v>3033</v>
      </c>
      <c r="B114" t="s">
        <v>844</v>
      </c>
      <c r="C114" t="s">
        <v>2398</v>
      </c>
      <c r="D114" t="s">
        <v>3034</v>
      </c>
      <c r="E114" t="s">
        <v>3035</v>
      </c>
      <c r="F114">
        <v>260</v>
      </c>
      <c r="G114">
        <v>16</v>
      </c>
      <c r="H114">
        <v>244</v>
      </c>
      <c r="I114">
        <v>19</v>
      </c>
      <c r="J114">
        <v>195</v>
      </c>
      <c r="K114">
        <v>35</v>
      </c>
      <c r="L114">
        <v>111.95</v>
      </c>
      <c r="M114">
        <v>17038.97</v>
      </c>
      <c r="N114" t="s">
        <v>2811</v>
      </c>
      <c r="O114" t="s">
        <v>3036</v>
      </c>
      <c r="P114">
        <v>9.1999999999999993</v>
      </c>
      <c r="Q114" t="s">
        <v>2623</v>
      </c>
    </row>
    <row r="115" spans="1:17" x14ac:dyDescent="0.25">
      <c r="A115" t="s">
        <v>3037</v>
      </c>
      <c r="B115" t="s">
        <v>505</v>
      </c>
      <c r="C115" t="s">
        <v>2456</v>
      </c>
      <c r="D115" t="s">
        <v>3038</v>
      </c>
      <c r="E115" t="s">
        <v>2910</v>
      </c>
      <c r="F115">
        <v>277</v>
      </c>
      <c r="G115">
        <v>49</v>
      </c>
      <c r="H115">
        <v>228</v>
      </c>
      <c r="I115">
        <v>24</v>
      </c>
      <c r="J115">
        <v>275</v>
      </c>
      <c r="K115">
        <v>38</v>
      </c>
      <c r="L115">
        <v>215.97</v>
      </c>
      <c r="M115">
        <v>12229.2</v>
      </c>
      <c r="N115" t="s">
        <v>2252</v>
      </c>
      <c r="O115" t="s">
        <v>3039</v>
      </c>
      <c r="P115">
        <v>10.5</v>
      </c>
      <c r="Q115" t="s">
        <v>2577</v>
      </c>
    </row>
    <row r="116" spans="1:17" x14ac:dyDescent="0.25">
      <c r="A116" t="s">
        <v>3040</v>
      </c>
      <c r="B116" t="s">
        <v>405</v>
      </c>
      <c r="C116" t="s">
        <v>2449</v>
      </c>
      <c r="D116" t="s">
        <v>2705</v>
      </c>
      <c r="E116" t="s">
        <v>3041</v>
      </c>
      <c r="F116">
        <v>286</v>
      </c>
      <c r="G116">
        <v>3</v>
      </c>
      <c r="H116">
        <v>283</v>
      </c>
      <c r="I116">
        <v>25</v>
      </c>
      <c r="J116">
        <v>203</v>
      </c>
      <c r="K116">
        <v>70</v>
      </c>
      <c r="L116">
        <v>80.78</v>
      </c>
      <c r="M116">
        <v>38264.43</v>
      </c>
      <c r="N116" t="s">
        <v>1522</v>
      </c>
      <c r="O116" t="s">
        <v>3042</v>
      </c>
      <c r="P116">
        <v>10.7</v>
      </c>
      <c r="Q116" t="s">
        <v>2633</v>
      </c>
    </row>
    <row r="117" spans="1:17" x14ac:dyDescent="0.25">
      <c r="A117" t="s">
        <v>3043</v>
      </c>
      <c r="B117" t="s">
        <v>880</v>
      </c>
      <c r="C117" t="s">
        <v>2425</v>
      </c>
      <c r="D117" t="s">
        <v>2586</v>
      </c>
      <c r="E117" t="s">
        <v>2869</v>
      </c>
      <c r="F117">
        <v>296</v>
      </c>
      <c r="G117">
        <v>36</v>
      </c>
      <c r="H117">
        <v>260</v>
      </c>
      <c r="I117">
        <v>15</v>
      </c>
      <c r="J117">
        <v>183</v>
      </c>
      <c r="K117">
        <v>26</v>
      </c>
      <c r="L117">
        <v>254.44</v>
      </c>
      <c r="M117">
        <v>105335.39</v>
      </c>
      <c r="N117" t="s">
        <v>2604</v>
      </c>
      <c r="O117" t="s">
        <v>3044</v>
      </c>
      <c r="P117">
        <v>4.0999999999999996</v>
      </c>
      <c r="Q117" t="s">
        <v>2577</v>
      </c>
    </row>
    <row r="118" spans="1:17" x14ac:dyDescent="0.25">
      <c r="A118" t="s">
        <v>3045</v>
      </c>
      <c r="B118" t="s">
        <v>930</v>
      </c>
      <c r="C118" t="s">
        <v>2407</v>
      </c>
      <c r="D118" t="s">
        <v>3046</v>
      </c>
      <c r="E118" t="s">
        <v>2910</v>
      </c>
      <c r="F118">
        <v>117</v>
      </c>
      <c r="G118">
        <v>29</v>
      </c>
      <c r="H118">
        <v>88</v>
      </c>
      <c r="I118">
        <v>30</v>
      </c>
      <c r="J118">
        <v>478</v>
      </c>
      <c r="K118">
        <v>44</v>
      </c>
      <c r="L118">
        <v>142.38999999999999</v>
      </c>
      <c r="M118">
        <v>11696.08</v>
      </c>
      <c r="N118" t="s">
        <v>3047</v>
      </c>
      <c r="O118" t="s">
        <v>2914</v>
      </c>
      <c r="P118">
        <v>1.1000000000000001</v>
      </c>
      <c r="Q118" t="s">
        <v>2623</v>
      </c>
    </row>
    <row r="119" spans="1:17" x14ac:dyDescent="0.25">
      <c r="A119" t="s">
        <v>3048</v>
      </c>
      <c r="B119" t="s">
        <v>95</v>
      </c>
      <c r="C119" t="s">
        <v>2449</v>
      </c>
      <c r="D119" t="s">
        <v>3049</v>
      </c>
      <c r="E119" t="s">
        <v>3050</v>
      </c>
      <c r="F119">
        <v>58</v>
      </c>
      <c r="G119">
        <v>9</v>
      </c>
      <c r="H119">
        <v>49</v>
      </c>
      <c r="I119">
        <v>29</v>
      </c>
      <c r="J119">
        <v>284</v>
      </c>
      <c r="K119">
        <v>22</v>
      </c>
      <c r="L119">
        <v>488.89</v>
      </c>
      <c r="M119">
        <v>6840.66</v>
      </c>
      <c r="N119" t="s">
        <v>3051</v>
      </c>
      <c r="O119" t="s">
        <v>2895</v>
      </c>
      <c r="P119">
        <v>4.0999999999999996</v>
      </c>
      <c r="Q119" t="s">
        <v>2605</v>
      </c>
    </row>
    <row r="120" spans="1:17" x14ac:dyDescent="0.25">
      <c r="A120" t="s">
        <v>3052</v>
      </c>
      <c r="B120" t="s">
        <v>1036</v>
      </c>
      <c r="C120" t="s">
        <v>2398</v>
      </c>
      <c r="D120" t="s">
        <v>2649</v>
      </c>
      <c r="E120" t="s">
        <v>3053</v>
      </c>
      <c r="F120">
        <v>173</v>
      </c>
      <c r="G120">
        <v>35</v>
      </c>
      <c r="H120">
        <v>138</v>
      </c>
      <c r="I120">
        <v>10</v>
      </c>
      <c r="J120">
        <v>234</v>
      </c>
      <c r="K120">
        <v>78</v>
      </c>
      <c r="L120">
        <v>95.54</v>
      </c>
      <c r="M120">
        <v>58532.78</v>
      </c>
      <c r="N120" t="s">
        <v>1639</v>
      </c>
      <c r="O120" t="s">
        <v>3054</v>
      </c>
      <c r="P120">
        <v>10.199999999999999</v>
      </c>
      <c r="Q120" t="s">
        <v>2577</v>
      </c>
    </row>
    <row r="121" spans="1:17" x14ac:dyDescent="0.25">
      <c r="A121" t="s">
        <v>3055</v>
      </c>
      <c r="B121" t="s">
        <v>540</v>
      </c>
      <c r="C121" t="s">
        <v>2407</v>
      </c>
      <c r="D121" t="s">
        <v>2933</v>
      </c>
      <c r="E121" t="s">
        <v>3056</v>
      </c>
      <c r="F121">
        <v>156</v>
      </c>
      <c r="G121">
        <v>29</v>
      </c>
      <c r="H121">
        <v>127</v>
      </c>
      <c r="I121">
        <v>21</v>
      </c>
      <c r="J121">
        <v>419</v>
      </c>
      <c r="K121">
        <v>76</v>
      </c>
      <c r="L121">
        <v>245.17</v>
      </c>
      <c r="M121">
        <v>46980.34</v>
      </c>
      <c r="N121" t="s">
        <v>3057</v>
      </c>
      <c r="O121" t="s">
        <v>3058</v>
      </c>
      <c r="P121">
        <v>13.4</v>
      </c>
      <c r="Q121" t="s">
        <v>2577</v>
      </c>
    </row>
    <row r="122" spans="1:17" x14ac:dyDescent="0.25">
      <c r="A122" t="s">
        <v>3059</v>
      </c>
      <c r="B122" t="s">
        <v>343</v>
      </c>
      <c r="C122" t="s">
        <v>2407</v>
      </c>
      <c r="D122" t="s">
        <v>3060</v>
      </c>
      <c r="E122" t="s">
        <v>3061</v>
      </c>
      <c r="F122">
        <v>272</v>
      </c>
      <c r="G122">
        <v>24</v>
      </c>
      <c r="H122">
        <v>248</v>
      </c>
      <c r="I122">
        <v>25</v>
      </c>
      <c r="J122">
        <v>225</v>
      </c>
      <c r="K122">
        <v>78</v>
      </c>
      <c r="L122">
        <v>70.790000000000006</v>
      </c>
      <c r="M122">
        <v>81148.73</v>
      </c>
      <c r="N122" t="s">
        <v>2866</v>
      </c>
      <c r="O122" t="s">
        <v>3062</v>
      </c>
      <c r="P122">
        <v>8.5</v>
      </c>
      <c r="Q122" t="s">
        <v>2577</v>
      </c>
    </row>
    <row r="123" spans="1:17" x14ac:dyDescent="0.25">
      <c r="A123" t="s">
        <v>3063</v>
      </c>
      <c r="B123" t="s">
        <v>525</v>
      </c>
      <c r="C123" t="s">
        <v>2407</v>
      </c>
      <c r="D123" t="s">
        <v>2789</v>
      </c>
      <c r="E123" t="s">
        <v>3064</v>
      </c>
      <c r="F123">
        <v>27</v>
      </c>
      <c r="G123">
        <v>20</v>
      </c>
      <c r="H123">
        <v>7</v>
      </c>
      <c r="I123">
        <v>20</v>
      </c>
      <c r="J123">
        <v>207</v>
      </c>
      <c r="K123">
        <v>66</v>
      </c>
      <c r="L123">
        <v>86.63</v>
      </c>
      <c r="M123">
        <v>1832.6</v>
      </c>
      <c r="N123" t="s">
        <v>3065</v>
      </c>
      <c r="O123" t="s">
        <v>2717</v>
      </c>
      <c r="P123">
        <v>1.9</v>
      </c>
      <c r="Q123" t="s">
        <v>2595</v>
      </c>
    </row>
    <row r="124" spans="1:17" x14ac:dyDescent="0.25">
      <c r="A124" t="s">
        <v>3066</v>
      </c>
      <c r="B124" t="s">
        <v>1076</v>
      </c>
      <c r="C124" t="s">
        <v>2449</v>
      </c>
      <c r="D124" t="s">
        <v>3067</v>
      </c>
      <c r="E124" t="s">
        <v>3068</v>
      </c>
      <c r="F124">
        <v>191</v>
      </c>
      <c r="G124">
        <v>31</v>
      </c>
      <c r="H124">
        <v>160</v>
      </c>
      <c r="I124">
        <v>21</v>
      </c>
      <c r="J124">
        <v>455</v>
      </c>
      <c r="K124">
        <v>50</v>
      </c>
      <c r="L124">
        <v>372.04</v>
      </c>
      <c r="M124">
        <v>43625.03</v>
      </c>
      <c r="N124" t="s">
        <v>2976</v>
      </c>
      <c r="O124" t="s">
        <v>3069</v>
      </c>
      <c r="P124">
        <v>6.6</v>
      </c>
      <c r="Q124" t="s">
        <v>2577</v>
      </c>
    </row>
    <row r="125" spans="1:17" x14ac:dyDescent="0.25">
      <c r="A125" t="s">
        <v>3070</v>
      </c>
      <c r="B125" t="s">
        <v>368</v>
      </c>
      <c r="C125" t="s">
        <v>2407</v>
      </c>
      <c r="D125" t="s">
        <v>3071</v>
      </c>
      <c r="E125" t="s">
        <v>2598</v>
      </c>
      <c r="F125">
        <v>103</v>
      </c>
      <c r="G125">
        <v>28</v>
      </c>
      <c r="H125">
        <v>75</v>
      </c>
      <c r="I125">
        <v>18</v>
      </c>
      <c r="J125">
        <v>293</v>
      </c>
      <c r="K125">
        <v>56</v>
      </c>
      <c r="L125">
        <v>120.74</v>
      </c>
      <c r="M125">
        <v>32182.07</v>
      </c>
      <c r="N125" t="s">
        <v>2754</v>
      </c>
      <c r="O125" t="s">
        <v>2741</v>
      </c>
      <c r="P125">
        <v>2.2000000000000002</v>
      </c>
      <c r="Q125" t="s">
        <v>2577</v>
      </c>
    </row>
    <row r="126" spans="1:17" x14ac:dyDescent="0.25">
      <c r="A126" t="s">
        <v>3072</v>
      </c>
      <c r="B126" t="s">
        <v>485</v>
      </c>
      <c r="C126" t="s">
        <v>2440</v>
      </c>
      <c r="D126" t="s">
        <v>3073</v>
      </c>
      <c r="E126" t="s">
        <v>2815</v>
      </c>
      <c r="F126">
        <v>265</v>
      </c>
      <c r="G126">
        <v>22</v>
      </c>
      <c r="H126">
        <v>243</v>
      </c>
      <c r="I126">
        <v>21</v>
      </c>
      <c r="J126">
        <v>418</v>
      </c>
      <c r="K126">
        <v>41</v>
      </c>
      <c r="L126">
        <v>241.75</v>
      </c>
      <c r="M126">
        <v>63276.7</v>
      </c>
      <c r="N126" t="s">
        <v>3074</v>
      </c>
      <c r="O126" t="s">
        <v>3075</v>
      </c>
      <c r="P126">
        <v>12.3</v>
      </c>
      <c r="Q126" t="s">
        <v>2623</v>
      </c>
    </row>
    <row r="127" spans="1:17" x14ac:dyDescent="0.25">
      <c r="A127" t="s">
        <v>3076</v>
      </c>
      <c r="B127" t="s">
        <v>453</v>
      </c>
      <c r="C127" t="s">
        <v>2432</v>
      </c>
      <c r="D127" t="s">
        <v>3077</v>
      </c>
      <c r="E127" t="s">
        <v>2720</v>
      </c>
      <c r="F127">
        <v>12</v>
      </c>
      <c r="G127">
        <v>2</v>
      </c>
      <c r="H127">
        <v>10</v>
      </c>
      <c r="I127">
        <v>16</v>
      </c>
      <c r="J127">
        <v>142</v>
      </c>
      <c r="K127">
        <v>38</v>
      </c>
      <c r="L127">
        <v>429.17</v>
      </c>
      <c r="M127">
        <v>2807.56</v>
      </c>
      <c r="N127" t="s">
        <v>3078</v>
      </c>
      <c r="O127" t="s">
        <v>3079</v>
      </c>
      <c r="P127">
        <v>12</v>
      </c>
      <c r="Q127" t="s">
        <v>2577</v>
      </c>
    </row>
    <row r="128" spans="1:17" x14ac:dyDescent="0.25">
      <c r="A128" t="s">
        <v>3080</v>
      </c>
      <c r="B128" t="s">
        <v>215</v>
      </c>
      <c r="C128" t="s">
        <v>2388</v>
      </c>
      <c r="D128" t="s">
        <v>2784</v>
      </c>
      <c r="E128" t="s">
        <v>2732</v>
      </c>
      <c r="F128">
        <v>36</v>
      </c>
      <c r="G128">
        <v>23</v>
      </c>
      <c r="H128">
        <v>13</v>
      </c>
      <c r="I128">
        <v>11</v>
      </c>
      <c r="J128">
        <v>445</v>
      </c>
      <c r="K128">
        <v>41</v>
      </c>
      <c r="L128">
        <v>162.51</v>
      </c>
      <c r="M128">
        <v>5009.49</v>
      </c>
      <c r="N128" t="s">
        <v>3081</v>
      </c>
      <c r="O128" t="s">
        <v>3082</v>
      </c>
      <c r="P128">
        <v>12.8</v>
      </c>
      <c r="Q128" t="s">
        <v>2577</v>
      </c>
    </row>
    <row r="129" spans="1:17" x14ac:dyDescent="0.25">
      <c r="A129" t="s">
        <v>3083</v>
      </c>
      <c r="B129" t="s">
        <v>1015</v>
      </c>
      <c r="C129" t="s">
        <v>2456</v>
      </c>
      <c r="D129" t="s">
        <v>3084</v>
      </c>
      <c r="E129" t="s">
        <v>3085</v>
      </c>
      <c r="F129">
        <v>70</v>
      </c>
      <c r="G129">
        <v>48</v>
      </c>
      <c r="H129">
        <v>22</v>
      </c>
      <c r="I129">
        <v>14</v>
      </c>
      <c r="J129">
        <v>277</v>
      </c>
      <c r="K129">
        <v>70</v>
      </c>
      <c r="L129">
        <v>498.58</v>
      </c>
      <c r="M129">
        <v>10463.57</v>
      </c>
      <c r="N129" t="s">
        <v>3086</v>
      </c>
      <c r="O129" t="s">
        <v>2651</v>
      </c>
      <c r="P129">
        <v>11.6</v>
      </c>
      <c r="Q129" t="s">
        <v>2577</v>
      </c>
    </row>
    <row r="130" spans="1:17" x14ac:dyDescent="0.25">
      <c r="A130" t="s">
        <v>3087</v>
      </c>
      <c r="B130" t="s">
        <v>713</v>
      </c>
      <c r="C130" t="s">
        <v>2449</v>
      </c>
      <c r="D130" t="s">
        <v>3046</v>
      </c>
      <c r="E130" t="s">
        <v>2819</v>
      </c>
      <c r="F130">
        <v>76</v>
      </c>
      <c r="G130">
        <v>25</v>
      </c>
      <c r="H130">
        <v>51</v>
      </c>
      <c r="I130">
        <v>20</v>
      </c>
      <c r="J130">
        <v>219</v>
      </c>
      <c r="K130">
        <v>53</v>
      </c>
      <c r="L130">
        <v>314.14999999999998</v>
      </c>
      <c r="M130">
        <v>15232.52</v>
      </c>
      <c r="N130" t="s">
        <v>3088</v>
      </c>
      <c r="O130" t="s">
        <v>3089</v>
      </c>
      <c r="P130">
        <v>12.4</v>
      </c>
      <c r="Q130" t="s">
        <v>2623</v>
      </c>
    </row>
    <row r="131" spans="1:17" x14ac:dyDescent="0.25">
      <c r="A131" t="s">
        <v>3090</v>
      </c>
      <c r="B131" t="s">
        <v>192</v>
      </c>
      <c r="C131" t="s">
        <v>2425</v>
      </c>
      <c r="D131" t="s">
        <v>2803</v>
      </c>
      <c r="E131" t="s">
        <v>3091</v>
      </c>
      <c r="F131">
        <v>96</v>
      </c>
      <c r="G131">
        <v>27</v>
      </c>
      <c r="H131">
        <v>69</v>
      </c>
      <c r="I131">
        <v>22</v>
      </c>
      <c r="J131">
        <v>115</v>
      </c>
      <c r="K131">
        <v>43</v>
      </c>
      <c r="L131">
        <v>112.53</v>
      </c>
      <c r="M131">
        <v>30579.94</v>
      </c>
      <c r="N131" t="s">
        <v>2945</v>
      </c>
      <c r="O131" t="s">
        <v>3092</v>
      </c>
      <c r="P131">
        <v>11.3</v>
      </c>
      <c r="Q131" t="s">
        <v>2633</v>
      </c>
    </row>
    <row r="132" spans="1:17" x14ac:dyDescent="0.25">
      <c r="A132" t="s">
        <v>3093</v>
      </c>
      <c r="B132" t="s">
        <v>955</v>
      </c>
      <c r="C132" t="s">
        <v>2425</v>
      </c>
      <c r="D132" t="s">
        <v>3094</v>
      </c>
      <c r="E132" t="s">
        <v>3095</v>
      </c>
      <c r="F132">
        <v>173</v>
      </c>
      <c r="G132">
        <v>14</v>
      </c>
      <c r="H132">
        <v>159</v>
      </c>
      <c r="I132">
        <v>29</v>
      </c>
      <c r="J132">
        <v>498</v>
      </c>
      <c r="K132">
        <v>64</v>
      </c>
      <c r="L132">
        <v>291.92</v>
      </c>
      <c r="M132">
        <v>31280.99</v>
      </c>
      <c r="N132" t="s">
        <v>3010</v>
      </c>
      <c r="O132" t="s">
        <v>3096</v>
      </c>
      <c r="P132">
        <v>12</v>
      </c>
      <c r="Q132" t="s">
        <v>2577</v>
      </c>
    </row>
    <row r="133" spans="1:17" x14ac:dyDescent="0.25">
      <c r="A133" t="s">
        <v>3097</v>
      </c>
      <c r="B133" t="s">
        <v>295</v>
      </c>
      <c r="C133" t="s">
        <v>2425</v>
      </c>
      <c r="D133" t="s">
        <v>2955</v>
      </c>
      <c r="E133" t="s">
        <v>3098</v>
      </c>
      <c r="F133">
        <v>290</v>
      </c>
      <c r="G133">
        <v>40</v>
      </c>
      <c r="H133">
        <v>250</v>
      </c>
      <c r="I133">
        <v>7</v>
      </c>
      <c r="J133">
        <v>373</v>
      </c>
      <c r="K133">
        <v>44</v>
      </c>
      <c r="L133">
        <v>134.75</v>
      </c>
      <c r="M133">
        <v>24721.82</v>
      </c>
      <c r="N133" t="s">
        <v>2848</v>
      </c>
      <c r="O133" t="s">
        <v>3099</v>
      </c>
      <c r="P133">
        <v>7.3</v>
      </c>
      <c r="Q133" t="s">
        <v>2605</v>
      </c>
    </row>
    <row r="134" spans="1:17" x14ac:dyDescent="0.25">
      <c r="A134" t="s">
        <v>3100</v>
      </c>
      <c r="B134" t="s">
        <v>203</v>
      </c>
      <c r="C134" t="s">
        <v>2398</v>
      </c>
      <c r="D134" t="s">
        <v>3101</v>
      </c>
      <c r="E134" t="s">
        <v>3102</v>
      </c>
      <c r="F134">
        <v>53</v>
      </c>
      <c r="G134">
        <v>43</v>
      </c>
      <c r="H134">
        <v>10</v>
      </c>
      <c r="I134">
        <v>20</v>
      </c>
      <c r="J134">
        <v>113</v>
      </c>
      <c r="K134">
        <v>31</v>
      </c>
      <c r="L134">
        <v>139.55000000000001</v>
      </c>
      <c r="M134">
        <v>4601.05</v>
      </c>
      <c r="N134" t="s">
        <v>3103</v>
      </c>
      <c r="O134" t="s">
        <v>3051</v>
      </c>
      <c r="P134">
        <v>3.9</v>
      </c>
      <c r="Q134" t="s">
        <v>2605</v>
      </c>
    </row>
    <row r="135" spans="1:17" x14ac:dyDescent="0.25">
      <c r="A135" t="s">
        <v>3104</v>
      </c>
      <c r="B135" t="s">
        <v>955</v>
      </c>
      <c r="C135" t="s">
        <v>2449</v>
      </c>
      <c r="D135" t="s">
        <v>3105</v>
      </c>
      <c r="E135" t="s">
        <v>3106</v>
      </c>
      <c r="F135">
        <v>35</v>
      </c>
      <c r="G135">
        <v>29</v>
      </c>
      <c r="H135">
        <v>6</v>
      </c>
      <c r="I135">
        <v>10</v>
      </c>
      <c r="J135">
        <v>267</v>
      </c>
      <c r="K135">
        <v>75</v>
      </c>
      <c r="L135">
        <v>459.42</v>
      </c>
      <c r="M135">
        <v>1355.98</v>
      </c>
      <c r="N135" t="s">
        <v>2777</v>
      </c>
      <c r="O135" t="s">
        <v>2891</v>
      </c>
      <c r="P135">
        <v>8.5</v>
      </c>
      <c r="Q135" t="s">
        <v>2633</v>
      </c>
    </row>
    <row r="136" spans="1:17" x14ac:dyDescent="0.25">
      <c r="A136" t="s">
        <v>3107</v>
      </c>
      <c r="B136" t="s">
        <v>1066</v>
      </c>
      <c r="C136" t="s">
        <v>2388</v>
      </c>
      <c r="D136" t="s">
        <v>2830</v>
      </c>
      <c r="E136" t="s">
        <v>2869</v>
      </c>
      <c r="F136">
        <v>199</v>
      </c>
      <c r="G136">
        <v>13</v>
      </c>
      <c r="H136">
        <v>186</v>
      </c>
      <c r="I136">
        <v>27</v>
      </c>
      <c r="J136">
        <v>440</v>
      </c>
      <c r="K136">
        <v>50</v>
      </c>
      <c r="L136">
        <v>121.45</v>
      </c>
      <c r="M136">
        <v>57435.15</v>
      </c>
      <c r="N136" t="s">
        <v>3108</v>
      </c>
      <c r="O136" t="s">
        <v>2252</v>
      </c>
      <c r="P136">
        <v>3.8</v>
      </c>
      <c r="Q136" t="s">
        <v>2633</v>
      </c>
    </row>
    <row r="137" spans="1:17" x14ac:dyDescent="0.25">
      <c r="A137" t="s">
        <v>3109</v>
      </c>
      <c r="B137" t="s">
        <v>458</v>
      </c>
      <c r="C137" t="s">
        <v>2407</v>
      </c>
      <c r="D137" t="s">
        <v>3110</v>
      </c>
      <c r="E137" t="s">
        <v>2671</v>
      </c>
      <c r="F137">
        <v>3</v>
      </c>
      <c r="G137">
        <v>1</v>
      </c>
      <c r="H137">
        <v>2</v>
      </c>
      <c r="I137">
        <v>30</v>
      </c>
      <c r="J137">
        <v>226</v>
      </c>
      <c r="K137">
        <v>53</v>
      </c>
      <c r="L137">
        <v>198</v>
      </c>
      <c r="M137">
        <v>612.30999999999995</v>
      </c>
      <c r="N137" t="s">
        <v>1794</v>
      </c>
      <c r="O137" t="s">
        <v>2864</v>
      </c>
      <c r="P137">
        <v>7.5</v>
      </c>
      <c r="Q137" t="s">
        <v>2577</v>
      </c>
    </row>
    <row r="138" spans="1:17" x14ac:dyDescent="0.25">
      <c r="A138" t="s">
        <v>3111</v>
      </c>
      <c r="B138" t="s">
        <v>1056</v>
      </c>
      <c r="C138" t="s">
        <v>2388</v>
      </c>
      <c r="D138" t="s">
        <v>2635</v>
      </c>
      <c r="E138" t="s">
        <v>3112</v>
      </c>
      <c r="F138">
        <v>147</v>
      </c>
      <c r="G138">
        <v>41</v>
      </c>
      <c r="H138">
        <v>106</v>
      </c>
      <c r="I138">
        <v>17</v>
      </c>
      <c r="J138">
        <v>413</v>
      </c>
      <c r="K138">
        <v>72</v>
      </c>
      <c r="L138">
        <v>414.49</v>
      </c>
      <c r="M138">
        <v>13653.52</v>
      </c>
      <c r="N138" t="s">
        <v>3113</v>
      </c>
      <c r="O138" t="s">
        <v>3114</v>
      </c>
      <c r="P138">
        <v>13.6</v>
      </c>
      <c r="Q138" t="s">
        <v>2595</v>
      </c>
    </row>
    <row r="139" spans="1:17" x14ac:dyDescent="0.25">
      <c r="A139" t="s">
        <v>3115</v>
      </c>
      <c r="B139" t="s">
        <v>698</v>
      </c>
      <c r="C139" t="s">
        <v>2432</v>
      </c>
      <c r="D139" t="s">
        <v>3116</v>
      </c>
      <c r="E139" t="s">
        <v>3117</v>
      </c>
      <c r="F139">
        <v>93</v>
      </c>
      <c r="G139">
        <v>44</v>
      </c>
      <c r="H139">
        <v>49</v>
      </c>
      <c r="I139">
        <v>12</v>
      </c>
      <c r="J139">
        <v>180</v>
      </c>
      <c r="K139">
        <v>37</v>
      </c>
      <c r="L139">
        <v>447.15</v>
      </c>
      <c r="M139">
        <v>14307.11</v>
      </c>
      <c r="N139" t="s">
        <v>3118</v>
      </c>
      <c r="O139" t="s">
        <v>3119</v>
      </c>
      <c r="P139">
        <v>1.9</v>
      </c>
      <c r="Q139" t="s">
        <v>2577</v>
      </c>
    </row>
    <row r="140" spans="1:17" x14ac:dyDescent="0.25">
      <c r="A140" t="s">
        <v>3120</v>
      </c>
      <c r="B140" t="s">
        <v>744</v>
      </c>
      <c r="C140" t="s">
        <v>2432</v>
      </c>
      <c r="D140" t="s">
        <v>3121</v>
      </c>
      <c r="E140" t="s">
        <v>3122</v>
      </c>
      <c r="F140">
        <v>283</v>
      </c>
      <c r="G140">
        <v>7</v>
      </c>
      <c r="H140">
        <v>276</v>
      </c>
      <c r="I140">
        <v>21</v>
      </c>
      <c r="J140">
        <v>492</v>
      </c>
      <c r="K140">
        <v>69</v>
      </c>
      <c r="L140">
        <v>196.71</v>
      </c>
      <c r="M140">
        <v>69806.25</v>
      </c>
      <c r="N140" t="s">
        <v>3123</v>
      </c>
      <c r="O140" t="s">
        <v>3124</v>
      </c>
      <c r="P140">
        <v>8.1</v>
      </c>
      <c r="Q140" t="s">
        <v>2633</v>
      </c>
    </row>
    <row r="141" spans="1:17" x14ac:dyDescent="0.25">
      <c r="A141" t="s">
        <v>3125</v>
      </c>
      <c r="B141" t="s">
        <v>87</v>
      </c>
      <c r="C141" t="s">
        <v>2388</v>
      </c>
      <c r="D141" t="s">
        <v>3126</v>
      </c>
      <c r="E141" t="s">
        <v>3005</v>
      </c>
      <c r="F141">
        <v>236</v>
      </c>
      <c r="G141">
        <v>24</v>
      </c>
      <c r="H141">
        <v>212</v>
      </c>
      <c r="I141">
        <v>6</v>
      </c>
      <c r="J141">
        <v>105</v>
      </c>
      <c r="K141">
        <v>36</v>
      </c>
      <c r="L141">
        <v>101.61</v>
      </c>
      <c r="M141">
        <v>98094.87</v>
      </c>
      <c r="N141" t="s">
        <v>3127</v>
      </c>
      <c r="O141" t="s">
        <v>3128</v>
      </c>
      <c r="P141">
        <v>11.5</v>
      </c>
      <c r="Q141" t="s">
        <v>2633</v>
      </c>
    </row>
    <row r="142" spans="1:17" x14ac:dyDescent="0.25">
      <c r="A142" t="s">
        <v>3129</v>
      </c>
      <c r="B142" t="s">
        <v>703</v>
      </c>
      <c r="C142" t="s">
        <v>2388</v>
      </c>
      <c r="D142" t="s">
        <v>3130</v>
      </c>
      <c r="E142" t="s">
        <v>3131</v>
      </c>
      <c r="F142">
        <v>42</v>
      </c>
      <c r="G142">
        <v>35</v>
      </c>
      <c r="H142">
        <v>7</v>
      </c>
      <c r="I142">
        <v>13</v>
      </c>
      <c r="J142">
        <v>182</v>
      </c>
      <c r="K142">
        <v>30</v>
      </c>
      <c r="L142">
        <v>427.32</v>
      </c>
      <c r="M142">
        <v>2262.0100000000002</v>
      </c>
      <c r="N142" t="s">
        <v>1989</v>
      </c>
      <c r="O142" t="s">
        <v>3132</v>
      </c>
      <c r="P142">
        <v>2.7</v>
      </c>
      <c r="Q142" t="s">
        <v>2595</v>
      </c>
    </row>
    <row r="143" spans="1:17" x14ac:dyDescent="0.25">
      <c r="A143" t="s">
        <v>3133</v>
      </c>
      <c r="B143" t="s">
        <v>316</v>
      </c>
      <c r="C143" t="s">
        <v>2388</v>
      </c>
      <c r="D143" t="s">
        <v>2789</v>
      </c>
      <c r="E143" t="s">
        <v>3134</v>
      </c>
      <c r="F143">
        <v>5</v>
      </c>
      <c r="G143">
        <v>5</v>
      </c>
      <c r="H143">
        <v>0</v>
      </c>
      <c r="I143">
        <v>10</v>
      </c>
      <c r="J143">
        <v>210</v>
      </c>
      <c r="K143">
        <v>65</v>
      </c>
      <c r="L143">
        <v>65.5</v>
      </c>
      <c r="M143">
        <v>0</v>
      </c>
      <c r="N143" t="s">
        <v>3135</v>
      </c>
      <c r="O143" t="s">
        <v>2762</v>
      </c>
      <c r="P143">
        <v>10.8</v>
      </c>
      <c r="Q143" t="s">
        <v>2577</v>
      </c>
    </row>
    <row r="144" spans="1:17" x14ac:dyDescent="0.25">
      <c r="A144" t="s">
        <v>3136</v>
      </c>
      <c r="B144" t="s">
        <v>606</v>
      </c>
      <c r="C144" t="s">
        <v>2416</v>
      </c>
      <c r="D144" t="s">
        <v>2694</v>
      </c>
      <c r="E144" t="s">
        <v>3137</v>
      </c>
      <c r="F144">
        <v>227</v>
      </c>
      <c r="G144">
        <v>3</v>
      </c>
      <c r="H144">
        <v>224</v>
      </c>
      <c r="I144">
        <v>29</v>
      </c>
      <c r="J144">
        <v>203</v>
      </c>
      <c r="K144">
        <v>79</v>
      </c>
      <c r="L144">
        <v>162.36000000000001</v>
      </c>
      <c r="M144">
        <v>102802.64</v>
      </c>
      <c r="N144" t="s">
        <v>3138</v>
      </c>
      <c r="O144" t="s">
        <v>2745</v>
      </c>
      <c r="P144">
        <v>1.2</v>
      </c>
      <c r="Q144" t="s">
        <v>2577</v>
      </c>
    </row>
    <row r="145" spans="1:17" x14ac:dyDescent="0.25">
      <c r="A145" t="s">
        <v>3139</v>
      </c>
      <c r="B145" t="s">
        <v>62</v>
      </c>
      <c r="C145" t="s">
        <v>2425</v>
      </c>
      <c r="D145" t="s">
        <v>3140</v>
      </c>
      <c r="E145" t="s">
        <v>2715</v>
      </c>
      <c r="F145">
        <v>98</v>
      </c>
      <c r="G145">
        <v>43</v>
      </c>
      <c r="H145">
        <v>55</v>
      </c>
      <c r="I145">
        <v>28</v>
      </c>
      <c r="J145">
        <v>185</v>
      </c>
      <c r="K145">
        <v>22</v>
      </c>
      <c r="L145">
        <v>237.06</v>
      </c>
      <c r="M145">
        <v>5415.17</v>
      </c>
      <c r="N145" t="s">
        <v>3127</v>
      </c>
      <c r="O145" t="s">
        <v>3141</v>
      </c>
      <c r="P145">
        <v>8.9</v>
      </c>
      <c r="Q145" t="s">
        <v>2577</v>
      </c>
    </row>
    <row r="146" spans="1:17" x14ac:dyDescent="0.25">
      <c r="A146" t="s">
        <v>3142</v>
      </c>
      <c r="B146" t="s">
        <v>910</v>
      </c>
      <c r="C146" t="s">
        <v>2407</v>
      </c>
      <c r="D146" t="s">
        <v>2851</v>
      </c>
      <c r="E146" t="s">
        <v>3143</v>
      </c>
      <c r="F146">
        <v>277</v>
      </c>
      <c r="G146">
        <v>25</v>
      </c>
      <c r="H146">
        <v>252</v>
      </c>
      <c r="I146">
        <v>8</v>
      </c>
      <c r="J146">
        <v>282</v>
      </c>
      <c r="K146">
        <v>40</v>
      </c>
      <c r="L146">
        <v>128.13</v>
      </c>
      <c r="M146">
        <v>58202.62</v>
      </c>
      <c r="N146" t="s">
        <v>3144</v>
      </c>
      <c r="O146" t="s">
        <v>3145</v>
      </c>
      <c r="P146">
        <v>6.4</v>
      </c>
      <c r="Q146" t="s">
        <v>2633</v>
      </c>
    </row>
    <row r="147" spans="1:17" x14ac:dyDescent="0.25">
      <c r="A147" t="s">
        <v>3146</v>
      </c>
      <c r="B147" t="s">
        <v>384</v>
      </c>
      <c r="C147" t="s">
        <v>2388</v>
      </c>
      <c r="D147" t="s">
        <v>2709</v>
      </c>
      <c r="E147" t="s">
        <v>3147</v>
      </c>
      <c r="F147">
        <v>142</v>
      </c>
      <c r="G147">
        <v>41</v>
      </c>
      <c r="H147">
        <v>101</v>
      </c>
      <c r="I147">
        <v>18</v>
      </c>
      <c r="J147">
        <v>254</v>
      </c>
      <c r="K147">
        <v>69</v>
      </c>
      <c r="L147">
        <v>319.49</v>
      </c>
      <c r="M147">
        <v>49732.01</v>
      </c>
      <c r="N147" t="s">
        <v>2905</v>
      </c>
      <c r="O147" t="s">
        <v>3148</v>
      </c>
      <c r="P147">
        <v>8.5</v>
      </c>
      <c r="Q147" t="s">
        <v>2577</v>
      </c>
    </row>
    <row r="148" spans="1:17" x14ac:dyDescent="0.25">
      <c r="A148" t="s">
        <v>3149</v>
      </c>
      <c r="B148" t="s">
        <v>426</v>
      </c>
      <c r="C148" t="s">
        <v>2388</v>
      </c>
      <c r="D148" t="s">
        <v>3150</v>
      </c>
      <c r="E148" t="s">
        <v>3151</v>
      </c>
      <c r="F148">
        <v>166</v>
      </c>
      <c r="G148">
        <v>40</v>
      </c>
      <c r="H148">
        <v>126</v>
      </c>
      <c r="I148">
        <v>25</v>
      </c>
      <c r="J148">
        <v>489</v>
      </c>
      <c r="K148">
        <v>76</v>
      </c>
      <c r="L148">
        <v>359.43</v>
      </c>
      <c r="M148">
        <v>61753.82</v>
      </c>
      <c r="N148" t="s">
        <v>3118</v>
      </c>
      <c r="O148" t="s">
        <v>3152</v>
      </c>
      <c r="P148">
        <v>1.9</v>
      </c>
      <c r="Q148" t="s">
        <v>2577</v>
      </c>
    </row>
    <row r="149" spans="1:17" x14ac:dyDescent="0.25">
      <c r="A149" t="s">
        <v>3153</v>
      </c>
      <c r="B149" t="s">
        <v>890</v>
      </c>
      <c r="C149" t="s">
        <v>2456</v>
      </c>
      <c r="D149" t="s">
        <v>3154</v>
      </c>
      <c r="E149" t="s">
        <v>2618</v>
      </c>
      <c r="F149">
        <v>229</v>
      </c>
      <c r="G149">
        <v>24</v>
      </c>
      <c r="H149">
        <v>205</v>
      </c>
      <c r="I149">
        <v>12</v>
      </c>
      <c r="J149">
        <v>110</v>
      </c>
      <c r="K149">
        <v>59</v>
      </c>
      <c r="L149">
        <v>391.52</v>
      </c>
      <c r="M149">
        <v>21694.18</v>
      </c>
      <c r="N149" t="s">
        <v>3155</v>
      </c>
      <c r="O149" t="s">
        <v>2683</v>
      </c>
      <c r="P149">
        <v>7</v>
      </c>
      <c r="Q149" t="s">
        <v>2577</v>
      </c>
    </row>
    <row r="150" spans="1:17" x14ac:dyDescent="0.25">
      <c r="A150" t="s">
        <v>3156</v>
      </c>
      <c r="B150" t="s">
        <v>905</v>
      </c>
      <c r="C150" t="s">
        <v>2388</v>
      </c>
      <c r="D150" t="s">
        <v>2889</v>
      </c>
      <c r="E150" t="s">
        <v>2983</v>
      </c>
      <c r="F150">
        <v>30</v>
      </c>
      <c r="G150">
        <v>4</v>
      </c>
      <c r="H150">
        <v>26</v>
      </c>
      <c r="I150">
        <v>9</v>
      </c>
      <c r="J150">
        <v>292</v>
      </c>
      <c r="K150">
        <v>33</v>
      </c>
      <c r="L150">
        <v>338.92</v>
      </c>
      <c r="M150">
        <v>4085.35</v>
      </c>
      <c r="N150" t="s">
        <v>3157</v>
      </c>
      <c r="O150" t="s">
        <v>2622</v>
      </c>
      <c r="P150">
        <v>14.8</v>
      </c>
      <c r="Q150" t="s">
        <v>2633</v>
      </c>
    </row>
    <row r="151" spans="1:17" x14ac:dyDescent="0.25">
      <c r="A151" t="s">
        <v>3158</v>
      </c>
      <c r="B151" t="s">
        <v>1061</v>
      </c>
      <c r="C151" t="s">
        <v>2425</v>
      </c>
      <c r="D151" t="s">
        <v>2709</v>
      </c>
      <c r="E151" t="s">
        <v>3159</v>
      </c>
      <c r="F151">
        <v>68</v>
      </c>
      <c r="G151">
        <v>17</v>
      </c>
      <c r="H151">
        <v>51</v>
      </c>
      <c r="I151">
        <v>25</v>
      </c>
      <c r="J151">
        <v>247</v>
      </c>
      <c r="K151">
        <v>68</v>
      </c>
      <c r="L151">
        <v>60.66</v>
      </c>
      <c r="M151">
        <v>21987.15</v>
      </c>
      <c r="N151" t="s">
        <v>3160</v>
      </c>
      <c r="O151" t="s">
        <v>2637</v>
      </c>
      <c r="P151">
        <v>4.4000000000000004</v>
      </c>
      <c r="Q151" t="s">
        <v>2577</v>
      </c>
    </row>
    <row r="152" spans="1:17" x14ac:dyDescent="0.25">
      <c r="A152" t="s">
        <v>3161</v>
      </c>
      <c r="B152" t="s">
        <v>965</v>
      </c>
      <c r="C152" t="s">
        <v>2407</v>
      </c>
      <c r="D152" t="s">
        <v>3162</v>
      </c>
      <c r="E152" t="s">
        <v>3163</v>
      </c>
      <c r="F152">
        <v>113</v>
      </c>
      <c r="G152">
        <v>38</v>
      </c>
      <c r="H152">
        <v>75</v>
      </c>
      <c r="I152">
        <v>19</v>
      </c>
      <c r="J152">
        <v>422</v>
      </c>
      <c r="K152">
        <v>20</v>
      </c>
      <c r="L152">
        <v>79.08</v>
      </c>
      <c r="M152">
        <v>20342.93</v>
      </c>
      <c r="N152" t="s">
        <v>3164</v>
      </c>
      <c r="O152" t="s">
        <v>3165</v>
      </c>
      <c r="P152">
        <v>1.7</v>
      </c>
      <c r="Q152" t="s">
        <v>2577</v>
      </c>
    </row>
    <row r="153" spans="1:17" x14ac:dyDescent="0.25">
      <c r="A153" t="s">
        <v>3166</v>
      </c>
      <c r="B153" t="s">
        <v>363</v>
      </c>
      <c r="C153" t="s">
        <v>2398</v>
      </c>
      <c r="D153" t="s">
        <v>3046</v>
      </c>
      <c r="E153" t="s">
        <v>3167</v>
      </c>
      <c r="F153">
        <v>46</v>
      </c>
      <c r="G153">
        <v>11</v>
      </c>
      <c r="H153">
        <v>35</v>
      </c>
      <c r="I153">
        <v>18</v>
      </c>
      <c r="J153">
        <v>471</v>
      </c>
      <c r="K153">
        <v>49</v>
      </c>
      <c r="L153">
        <v>190.16</v>
      </c>
      <c r="M153">
        <v>13116.36</v>
      </c>
      <c r="N153" t="s">
        <v>2736</v>
      </c>
      <c r="O153" t="s">
        <v>2936</v>
      </c>
      <c r="P153">
        <v>3.5</v>
      </c>
      <c r="Q153" t="s">
        <v>2577</v>
      </c>
    </row>
    <row r="154" spans="1:17" x14ac:dyDescent="0.25">
      <c r="A154" t="s">
        <v>3168</v>
      </c>
      <c r="B154" t="s">
        <v>495</v>
      </c>
      <c r="C154" t="s">
        <v>2416</v>
      </c>
      <c r="D154" t="s">
        <v>3169</v>
      </c>
      <c r="E154" t="s">
        <v>3170</v>
      </c>
      <c r="F154">
        <v>295</v>
      </c>
      <c r="G154">
        <v>28</v>
      </c>
      <c r="H154">
        <v>267</v>
      </c>
      <c r="I154">
        <v>16</v>
      </c>
      <c r="J154">
        <v>303</v>
      </c>
      <c r="K154">
        <v>44</v>
      </c>
      <c r="L154">
        <v>125.49</v>
      </c>
      <c r="M154">
        <v>66381.33</v>
      </c>
      <c r="N154" t="s">
        <v>3171</v>
      </c>
      <c r="O154" t="s">
        <v>3025</v>
      </c>
      <c r="P154">
        <v>11.3</v>
      </c>
      <c r="Q154" t="s">
        <v>2577</v>
      </c>
    </row>
    <row r="155" spans="1:17" x14ac:dyDescent="0.25">
      <c r="A155" t="s">
        <v>3172</v>
      </c>
      <c r="B155" t="s">
        <v>728</v>
      </c>
      <c r="C155" t="s">
        <v>2376</v>
      </c>
      <c r="D155" t="s">
        <v>3173</v>
      </c>
      <c r="E155" t="s">
        <v>2587</v>
      </c>
      <c r="F155">
        <v>195</v>
      </c>
      <c r="G155">
        <v>27</v>
      </c>
      <c r="H155">
        <v>168</v>
      </c>
      <c r="I155">
        <v>9</v>
      </c>
      <c r="J155">
        <v>383</v>
      </c>
      <c r="K155">
        <v>66</v>
      </c>
      <c r="L155">
        <v>129.06</v>
      </c>
      <c r="M155">
        <v>37162.04</v>
      </c>
      <c r="N155" t="s">
        <v>2945</v>
      </c>
      <c r="O155" t="s">
        <v>3174</v>
      </c>
      <c r="P155">
        <v>5</v>
      </c>
      <c r="Q155" t="s">
        <v>2633</v>
      </c>
    </row>
    <row r="156" spans="1:17" x14ac:dyDescent="0.25">
      <c r="A156" t="s">
        <v>3175</v>
      </c>
      <c r="B156" t="s">
        <v>174</v>
      </c>
      <c r="C156" t="s">
        <v>2425</v>
      </c>
      <c r="D156" t="s">
        <v>3176</v>
      </c>
      <c r="E156" t="s">
        <v>2847</v>
      </c>
      <c r="F156">
        <v>69</v>
      </c>
      <c r="G156">
        <v>45</v>
      </c>
      <c r="H156">
        <v>24</v>
      </c>
      <c r="I156">
        <v>5</v>
      </c>
      <c r="J156">
        <v>106</v>
      </c>
      <c r="K156">
        <v>75</v>
      </c>
      <c r="L156">
        <v>275.31</v>
      </c>
      <c r="M156">
        <v>9033.73</v>
      </c>
      <c r="N156" t="s">
        <v>1794</v>
      </c>
      <c r="O156" t="s">
        <v>3177</v>
      </c>
      <c r="P156">
        <v>14</v>
      </c>
      <c r="Q156" t="s">
        <v>2595</v>
      </c>
    </row>
    <row r="157" spans="1:17" x14ac:dyDescent="0.25">
      <c r="A157" t="s">
        <v>3178</v>
      </c>
      <c r="B157" t="s">
        <v>1066</v>
      </c>
      <c r="C157" t="s">
        <v>2425</v>
      </c>
      <c r="D157" t="s">
        <v>3179</v>
      </c>
      <c r="E157" t="s">
        <v>3180</v>
      </c>
      <c r="F157">
        <v>196</v>
      </c>
      <c r="G157">
        <v>31</v>
      </c>
      <c r="H157">
        <v>165</v>
      </c>
      <c r="I157">
        <v>6</v>
      </c>
      <c r="J157">
        <v>163</v>
      </c>
      <c r="K157">
        <v>44</v>
      </c>
      <c r="L157">
        <v>469.46</v>
      </c>
      <c r="M157">
        <v>20305.41</v>
      </c>
      <c r="N157" t="s">
        <v>3181</v>
      </c>
      <c r="O157" t="s">
        <v>3182</v>
      </c>
      <c r="P157">
        <v>14.4</v>
      </c>
      <c r="Q157" t="s">
        <v>2623</v>
      </c>
    </row>
    <row r="158" spans="1:17" x14ac:dyDescent="0.25">
      <c r="A158" t="s">
        <v>3183</v>
      </c>
      <c r="B158" t="s">
        <v>764</v>
      </c>
      <c r="C158" t="s">
        <v>2440</v>
      </c>
      <c r="D158" t="s">
        <v>3023</v>
      </c>
      <c r="E158" t="s">
        <v>2667</v>
      </c>
      <c r="F158">
        <v>188</v>
      </c>
      <c r="G158">
        <v>44</v>
      </c>
      <c r="H158">
        <v>144</v>
      </c>
      <c r="I158">
        <v>12</v>
      </c>
      <c r="J158">
        <v>344</v>
      </c>
      <c r="K158">
        <v>22</v>
      </c>
      <c r="L158">
        <v>464.66</v>
      </c>
      <c r="M158">
        <v>30619.65</v>
      </c>
      <c r="N158" t="s">
        <v>3184</v>
      </c>
      <c r="O158" t="s">
        <v>2824</v>
      </c>
      <c r="P158">
        <v>1.4</v>
      </c>
      <c r="Q158" t="s">
        <v>2577</v>
      </c>
    </row>
    <row r="159" spans="1:17" x14ac:dyDescent="0.25">
      <c r="A159" t="s">
        <v>3185</v>
      </c>
      <c r="B159" t="s">
        <v>438</v>
      </c>
      <c r="C159" t="s">
        <v>2456</v>
      </c>
      <c r="D159" t="s">
        <v>3186</v>
      </c>
      <c r="E159" t="s">
        <v>3187</v>
      </c>
      <c r="F159">
        <v>233</v>
      </c>
      <c r="G159">
        <v>43</v>
      </c>
      <c r="H159">
        <v>190</v>
      </c>
      <c r="I159">
        <v>23</v>
      </c>
      <c r="J159">
        <v>439</v>
      </c>
      <c r="K159">
        <v>73</v>
      </c>
      <c r="L159">
        <v>122.64</v>
      </c>
      <c r="M159">
        <v>19480.47</v>
      </c>
      <c r="N159" t="s">
        <v>2722</v>
      </c>
      <c r="O159" t="s">
        <v>3078</v>
      </c>
      <c r="P159">
        <v>11</v>
      </c>
      <c r="Q159" t="s">
        <v>2595</v>
      </c>
    </row>
    <row r="160" spans="1:17" x14ac:dyDescent="0.25">
      <c r="A160" t="s">
        <v>3188</v>
      </c>
      <c r="B160" t="s">
        <v>616</v>
      </c>
      <c r="C160" t="s">
        <v>2456</v>
      </c>
      <c r="D160" t="s">
        <v>2752</v>
      </c>
      <c r="E160" t="s">
        <v>2766</v>
      </c>
      <c r="F160">
        <v>41</v>
      </c>
      <c r="G160">
        <v>33</v>
      </c>
      <c r="H160">
        <v>8</v>
      </c>
      <c r="I160">
        <v>13</v>
      </c>
      <c r="J160">
        <v>454</v>
      </c>
      <c r="K160">
        <v>39</v>
      </c>
      <c r="L160">
        <v>275.29000000000002</v>
      </c>
      <c r="M160">
        <v>2319.52</v>
      </c>
      <c r="N160" t="s">
        <v>3189</v>
      </c>
      <c r="O160" t="s">
        <v>2832</v>
      </c>
      <c r="P160">
        <v>9.1999999999999993</v>
      </c>
      <c r="Q160" t="s">
        <v>2595</v>
      </c>
    </row>
    <row r="161" spans="1:17" x14ac:dyDescent="0.25">
      <c r="A161" t="s">
        <v>3190</v>
      </c>
      <c r="B161" t="s">
        <v>1076</v>
      </c>
      <c r="C161" t="s">
        <v>2388</v>
      </c>
      <c r="D161" t="s">
        <v>2685</v>
      </c>
      <c r="E161" t="s">
        <v>3191</v>
      </c>
      <c r="F161">
        <v>55</v>
      </c>
      <c r="G161">
        <v>40</v>
      </c>
      <c r="H161">
        <v>15</v>
      </c>
      <c r="I161">
        <v>28</v>
      </c>
      <c r="J161">
        <v>303</v>
      </c>
      <c r="K161">
        <v>64</v>
      </c>
      <c r="L161">
        <v>188.65</v>
      </c>
      <c r="M161">
        <v>7412.42</v>
      </c>
      <c r="N161" t="s">
        <v>3192</v>
      </c>
      <c r="O161" t="s">
        <v>1794</v>
      </c>
      <c r="P161">
        <v>1</v>
      </c>
      <c r="Q161" t="s">
        <v>2577</v>
      </c>
    </row>
    <row r="162" spans="1:17" x14ac:dyDescent="0.25">
      <c r="A162" t="s">
        <v>3193</v>
      </c>
      <c r="B162" t="s">
        <v>1106</v>
      </c>
      <c r="C162" t="s">
        <v>2432</v>
      </c>
      <c r="D162" t="s">
        <v>3194</v>
      </c>
      <c r="E162" t="s">
        <v>3195</v>
      </c>
      <c r="F162">
        <v>268</v>
      </c>
      <c r="G162">
        <v>26</v>
      </c>
      <c r="H162">
        <v>242</v>
      </c>
      <c r="I162">
        <v>16</v>
      </c>
      <c r="J162">
        <v>195</v>
      </c>
      <c r="K162">
        <v>65</v>
      </c>
      <c r="L162">
        <v>110.45</v>
      </c>
      <c r="M162">
        <v>65076.72</v>
      </c>
      <c r="N162" t="s">
        <v>3196</v>
      </c>
      <c r="O162" t="s">
        <v>2343</v>
      </c>
      <c r="P162">
        <v>2.5</v>
      </c>
      <c r="Q162" t="s">
        <v>2577</v>
      </c>
    </row>
    <row r="163" spans="1:17" x14ac:dyDescent="0.25">
      <c r="A163" t="s">
        <v>3197</v>
      </c>
      <c r="B163" t="s">
        <v>337</v>
      </c>
      <c r="C163" t="s">
        <v>2407</v>
      </c>
      <c r="D163" t="s">
        <v>2830</v>
      </c>
      <c r="E163" t="s">
        <v>3198</v>
      </c>
      <c r="F163">
        <v>30</v>
      </c>
      <c r="G163">
        <v>23</v>
      </c>
      <c r="H163">
        <v>7</v>
      </c>
      <c r="I163">
        <v>19</v>
      </c>
      <c r="J163">
        <v>420</v>
      </c>
      <c r="K163">
        <v>78</v>
      </c>
      <c r="L163">
        <v>330.99</v>
      </c>
      <c r="M163">
        <v>3085.34</v>
      </c>
      <c r="N163" t="s">
        <v>2716</v>
      </c>
      <c r="O163" t="s">
        <v>3079</v>
      </c>
      <c r="P163">
        <v>5.0999999999999996</v>
      </c>
      <c r="Q163" t="s">
        <v>2595</v>
      </c>
    </row>
    <row r="164" spans="1:17" x14ac:dyDescent="0.25">
      <c r="A164" t="s">
        <v>3199</v>
      </c>
      <c r="B164" t="s">
        <v>253</v>
      </c>
      <c r="C164" t="s">
        <v>2416</v>
      </c>
      <c r="D164" t="s">
        <v>3200</v>
      </c>
      <c r="E164" t="s">
        <v>3201</v>
      </c>
      <c r="F164">
        <v>32</v>
      </c>
      <c r="G164">
        <v>21</v>
      </c>
      <c r="H164">
        <v>11</v>
      </c>
      <c r="I164">
        <v>20</v>
      </c>
      <c r="J164">
        <v>444</v>
      </c>
      <c r="K164">
        <v>68</v>
      </c>
      <c r="L164">
        <v>95.36</v>
      </c>
      <c r="M164">
        <v>852.23</v>
      </c>
      <c r="N164" t="s">
        <v>3202</v>
      </c>
      <c r="O164" t="s">
        <v>2828</v>
      </c>
      <c r="P164">
        <v>1.1000000000000001</v>
      </c>
      <c r="Q164" t="s">
        <v>2577</v>
      </c>
    </row>
    <row r="165" spans="1:17" x14ac:dyDescent="0.25">
      <c r="A165" t="s">
        <v>3203</v>
      </c>
      <c r="B165" t="s">
        <v>209</v>
      </c>
      <c r="C165" t="s">
        <v>2407</v>
      </c>
      <c r="D165" t="s">
        <v>3023</v>
      </c>
      <c r="E165" t="s">
        <v>2587</v>
      </c>
      <c r="F165">
        <v>267</v>
      </c>
      <c r="G165">
        <v>50</v>
      </c>
      <c r="H165">
        <v>217</v>
      </c>
      <c r="I165">
        <v>29</v>
      </c>
      <c r="J165">
        <v>236</v>
      </c>
      <c r="K165">
        <v>79</v>
      </c>
      <c r="L165">
        <v>268.67</v>
      </c>
      <c r="M165">
        <v>84762.42</v>
      </c>
      <c r="N165" t="s">
        <v>3204</v>
      </c>
      <c r="O165" t="s">
        <v>3205</v>
      </c>
      <c r="P165">
        <v>5.7</v>
      </c>
      <c r="Q165" t="s">
        <v>2623</v>
      </c>
    </row>
    <row r="166" spans="1:17" x14ac:dyDescent="0.25">
      <c r="A166" t="s">
        <v>3206</v>
      </c>
      <c r="B166" t="s">
        <v>510</v>
      </c>
      <c r="C166" t="s">
        <v>2407</v>
      </c>
      <c r="D166" t="s">
        <v>2955</v>
      </c>
      <c r="E166" t="s">
        <v>3207</v>
      </c>
      <c r="F166">
        <v>184</v>
      </c>
      <c r="G166">
        <v>42</v>
      </c>
      <c r="H166">
        <v>142</v>
      </c>
      <c r="I166">
        <v>16</v>
      </c>
      <c r="J166">
        <v>269</v>
      </c>
      <c r="K166">
        <v>71</v>
      </c>
      <c r="L166">
        <v>95.08</v>
      </c>
      <c r="M166">
        <v>36297.14</v>
      </c>
      <c r="N166" t="s">
        <v>3208</v>
      </c>
      <c r="O166" t="s">
        <v>3209</v>
      </c>
      <c r="P166">
        <v>11.2</v>
      </c>
      <c r="Q166" t="s">
        <v>2577</v>
      </c>
    </row>
    <row r="167" spans="1:17" x14ac:dyDescent="0.25">
      <c r="A167" t="s">
        <v>3210</v>
      </c>
      <c r="B167" t="s">
        <v>87</v>
      </c>
      <c r="C167" t="s">
        <v>2456</v>
      </c>
      <c r="D167" t="s">
        <v>3211</v>
      </c>
      <c r="E167" t="s">
        <v>3212</v>
      </c>
      <c r="F167">
        <v>62</v>
      </c>
      <c r="G167">
        <v>33</v>
      </c>
      <c r="H167">
        <v>29</v>
      </c>
      <c r="I167">
        <v>24</v>
      </c>
      <c r="J167">
        <v>451</v>
      </c>
      <c r="K167">
        <v>62</v>
      </c>
      <c r="L167">
        <v>441.43</v>
      </c>
      <c r="M167">
        <v>8169.63</v>
      </c>
      <c r="N167" t="s">
        <v>2729</v>
      </c>
      <c r="O167" t="s">
        <v>2866</v>
      </c>
      <c r="P167">
        <v>1</v>
      </c>
      <c r="Q167" t="s">
        <v>2623</v>
      </c>
    </row>
    <row r="168" spans="1:17" x14ac:dyDescent="0.25">
      <c r="A168" t="s">
        <v>3213</v>
      </c>
      <c r="B168" t="s">
        <v>69</v>
      </c>
      <c r="C168" t="s">
        <v>2425</v>
      </c>
      <c r="D168" t="s">
        <v>2935</v>
      </c>
      <c r="E168" t="s">
        <v>3214</v>
      </c>
      <c r="F168">
        <v>23</v>
      </c>
      <c r="G168">
        <v>23</v>
      </c>
      <c r="H168">
        <v>0</v>
      </c>
      <c r="I168">
        <v>20</v>
      </c>
      <c r="J168">
        <v>304</v>
      </c>
      <c r="K168">
        <v>67</v>
      </c>
      <c r="L168">
        <v>325.67</v>
      </c>
      <c r="M168">
        <v>0</v>
      </c>
      <c r="N168" t="s">
        <v>3205</v>
      </c>
      <c r="O168" t="s">
        <v>2883</v>
      </c>
      <c r="P168">
        <v>14</v>
      </c>
      <c r="Q168" t="s">
        <v>2633</v>
      </c>
    </row>
    <row r="169" spans="1:17" x14ac:dyDescent="0.25">
      <c r="A169" t="s">
        <v>3215</v>
      </c>
      <c r="B169" t="s">
        <v>955</v>
      </c>
      <c r="C169" t="s">
        <v>2388</v>
      </c>
      <c r="D169" t="s">
        <v>2912</v>
      </c>
      <c r="E169" t="s">
        <v>3216</v>
      </c>
      <c r="F169">
        <v>197</v>
      </c>
      <c r="G169">
        <v>18</v>
      </c>
      <c r="H169">
        <v>179</v>
      </c>
      <c r="I169">
        <v>30</v>
      </c>
      <c r="J169">
        <v>466</v>
      </c>
      <c r="K169">
        <v>52</v>
      </c>
      <c r="L169">
        <v>64.290000000000006</v>
      </c>
      <c r="M169">
        <v>49057.86</v>
      </c>
      <c r="N169" t="s">
        <v>2448</v>
      </c>
      <c r="O169" t="s">
        <v>2647</v>
      </c>
      <c r="P169">
        <v>12.7</v>
      </c>
      <c r="Q169" t="s">
        <v>2633</v>
      </c>
    </row>
    <row r="170" spans="1:17" x14ac:dyDescent="0.25">
      <c r="A170" t="s">
        <v>3217</v>
      </c>
      <c r="B170" t="s">
        <v>316</v>
      </c>
      <c r="C170" t="s">
        <v>2440</v>
      </c>
      <c r="D170" t="s">
        <v>3046</v>
      </c>
      <c r="E170" t="s">
        <v>2753</v>
      </c>
      <c r="F170">
        <v>59</v>
      </c>
      <c r="G170">
        <v>30</v>
      </c>
      <c r="H170">
        <v>29</v>
      </c>
      <c r="I170">
        <v>29</v>
      </c>
      <c r="J170">
        <v>437</v>
      </c>
      <c r="K170">
        <v>64</v>
      </c>
      <c r="L170">
        <v>90.24</v>
      </c>
      <c r="M170">
        <v>7125.36</v>
      </c>
      <c r="N170" t="s">
        <v>3218</v>
      </c>
      <c r="O170" t="s">
        <v>3219</v>
      </c>
      <c r="P170">
        <v>3.2</v>
      </c>
      <c r="Q170" t="s">
        <v>2623</v>
      </c>
    </row>
    <row r="171" spans="1:17" x14ac:dyDescent="0.25">
      <c r="A171" t="s">
        <v>3220</v>
      </c>
      <c r="B171" t="s">
        <v>601</v>
      </c>
      <c r="C171" t="s">
        <v>2416</v>
      </c>
      <c r="D171" t="s">
        <v>2612</v>
      </c>
      <c r="E171" t="s">
        <v>3221</v>
      </c>
      <c r="F171">
        <v>112</v>
      </c>
      <c r="G171">
        <v>46</v>
      </c>
      <c r="H171">
        <v>66</v>
      </c>
      <c r="I171">
        <v>26</v>
      </c>
      <c r="J171">
        <v>169</v>
      </c>
      <c r="K171">
        <v>79</v>
      </c>
      <c r="L171">
        <v>290.54000000000002</v>
      </c>
      <c r="M171">
        <v>24844.81</v>
      </c>
      <c r="N171" t="s">
        <v>2745</v>
      </c>
      <c r="O171" t="s">
        <v>2033</v>
      </c>
      <c r="P171">
        <v>10.7</v>
      </c>
      <c r="Q171" t="s">
        <v>2577</v>
      </c>
    </row>
    <row r="172" spans="1:17" x14ac:dyDescent="0.25">
      <c r="A172" t="s">
        <v>3222</v>
      </c>
      <c r="B172" t="s">
        <v>850</v>
      </c>
      <c r="C172" t="s">
        <v>2456</v>
      </c>
      <c r="D172" t="s">
        <v>2955</v>
      </c>
      <c r="E172" t="s">
        <v>2785</v>
      </c>
      <c r="F172">
        <v>33</v>
      </c>
      <c r="G172">
        <v>21</v>
      </c>
      <c r="H172">
        <v>12</v>
      </c>
      <c r="I172">
        <v>18</v>
      </c>
      <c r="J172">
        <v>219</v>
      </c>
      <c r="K172">
        <v>34</v>
      </c>
      <c r="L172">
        <v>166.59</v>
      </c>
      <c r="M172">
        <v>2171.27</v>
      </c>
      <c r="N172" t="s">
        <v>2641</v>
      </c>
      <c r="O172" t="s">
        <v>3223</v>
      </c>
      <c r="P172">
        <v>5.8</v>
      </c>
      <c r="Q172" t="s">
        <v>2577</v>
      </c>
    </row>
    <row r="173" spans="1:17" x14ac:dyDescent="0.25">
      <c r="A173" t="s">
        <v>3224</v>
      </c>
      <c r="B173" t="s">
        <v>1066</v>
      </c>
      <c r="C173" t="s">
        <v>2388</v>
      </c>
      <c r="D173" t="s">
        <v>3225</v>
      </c>
      <c r="E173" t="s">
        <v>2997</v>
      </c>
      <c r="F173">
        <v>293</v>
      </c>
      <c r="G173">
        <v>23</v>
      </c>
      <c r="H173">
        <v>270</v>
      </c>
      <c r="I173">
        <v>28</v>
      </c>
      <c r="J173">
        <v>100</v>
      </c>
      <c r="K173">
        <v>39</v>
      </c>
      <c r="L173">
        <v>77.849999999999994</v>
      </c>
      <c r="M173">
        <v>78575.77</v>
      </c>
      <c r="N173" t="s">
        <v>3226</v>
      </c>
      <c r="O173" t="s">
        <v>2763</v>
      </c>
      <c r="P173">
        <v>14.7</v>
      </c>
      <c r="Q173" t="s">
        <v>2623</v>
      </c>
    </row>
    <row r="174" spans="1:17" x14ac:dyDescent="0.25">
      <c r="A174" t="s">
        <v>3227</v>
      </c>
      <c r="B174" t="s">
        <v>1101</v>
      </c>
      <c r="C174" t="s">
        <v>2425</v>
      </c>
      <c r="D174" t="s">
        <v>2898</v>
      </c>
      <c r="E174" t="s">
        <v>3028</v>
      </c>
      <c r="F174">
        <v>64</v>
      </c>
      <c r="G174">
        <v>33</v>
      </c>
      <c r="H174">
        <v>31</v>
      </c>
      <c r="I174">
        <v>22</v>
      </c>
      <c r="J174">
        <v>335</v>
      </c>
      <c r="K174">
        <v>40</v>
      </c>
      <c r="L174">
        <v>115.12</v>
      </c>
      <c r="M174">
        <v>14703.31</v>
      </c>
      <c r="N174" t="s">
        <v>3228</v>
      </c>
      <c r="O174" t="s">
        <v>3229</v>
      </c>
      <c r="P174">
        <v>8</v>
      </c>
      <c r="Q174" t="s">
        <v>2633</v>
      </c>
    </row>
    <row r="175" spans="1:17" x14ac:dyDescent="0.25">
      <c r="A175" t="s">
        <v>3230</v>
      </c>
      <c r="B175" t="s">
        <v>284</v>
      </c>
      <c r="C175" t="s">
        <v>2456</v>
      </c>
      <c r="D175" t="s">
        <v>3231</v>
      </c>
      <c r="E175" t="s">
        <v>3068</v>
      </c>
      <c r="F175">
        <v>145</v>
      </c>
      <c r="G175">
        <v>9</v>
      </c>
      <c r="H175">
        <v>136</v>
      </c>
      <c r="I175">
        <v>21</v>
      </c>
      <c r="J175">
        <v>452</v>
      </c>
      <c r="K175">
        <v>27</v>
      </c>
      <c r="L175">
        <v>173.05</v>
      </c>
      <c r="M175">
        <v>58677.36</v>
      </c>
      <c r="N175" t="s">
        <v>3232</v>
      </c>
      <c r="O175" t="s">
        <v>2863</v>
      </c>
      <c r="P175">
        <v>9.8000000000000007</v>
      </c>
      <c r="Q175" t="s">
        <v>2577</v>
      </c>
    </row>
    <row r="176" spans="1:17" x14ac:dyDescent="0.25">
      <c r="A176" t="s">
        <v>3233</v>
      </c>
      <c r="B176" t="s">
        <v>744</v>
      </c>
      <c r="C176" t="s">
        <v>2416</v>
      </c>
      <c r="D176" t="s">
        <v>2685</v>
      </c>
      <c r="E176" t="s">
        <v>3234</v>
      </c>
      <c r="F176">
        <v>192</v>
      </c>
      <c r="G176">
        <v>3</v>
      </c>
      <c r="H176">
        <v>189</v>
      </c>
      <c r="I176">
        <v>28</v>
      </c>
      <c r="J176">
        <v>215</v>
      </c>
      <c r="K176">
        <v>64</v>
      </c>
      <c r="L176">
        <v>381.08</v>
      </c>
      <c r="M176">
        <v>87964.58</v>
      </c>
      <c r="N176" t="s">
        <v>3235</v>
      </c>
      <c r="O176" t="s">
        <v>3114</v>
      </c>
      <c r="P176">
        <v>13</v>
      </c>
      <c r="Q176" t="s">
        <v>2595</v>
      </c>
    </row>
    <row r="177" spans="1:17" x14ac:dyDescent="0.25">
      <c r="A177" t="s">
        <v>3236</v>
      </c>
      <c r="B177" t="s">
        <v>490</v>
      </c>
      <c r="C177" t="s">
        <v>2398</v>
      </c>
      <c r="D177" t="s">
        <v>2770</v>
      </c>
      <c r="E177" t="s">
        <v>2913</v>
      </c>
      <c r="F177">
        <v>11</v>
      </c>
      <c r="G177">
        <v>8</v>
      </c>
      <c r="H177">
        <v>3</v>
      </c>
      <c r="I177">
        <v>16</v>
      </c>
      <c r="J177">
        <v>487</v>
      </c>
      <c r="K177">
        <v>45</v>
      </c>
      <c r="L177">
        <v>225.98</v>
      </c>
      <c r="M177">
        <v>862.59</v>
      </c>
      <c r="N177" t="s">
        <v>2796</v>
      </c>
      <c r="O177" t="s">
        <v>2796</v>
      </c>
      <c r="P177">
        <v>10.7</v>
      </c>
      <c r="Q177" t="s">
        <v>2577</v>
      </c>
    </row>
    <row r="178" spans="1:17" x14ac:dyDescent="0.25">
      <c r="A178" t="s">
        <v>3237</v>
      </c>
      <c r="B178" t="s">
        <v>1010</v>
      </c>
      <c r="C178" t="s">
        <v>2449</v>
      </c>
      <c r="D178" t="s">
        <v>3225</v>
      </c>
      <c r="E178" t="s">
        <v>3238</v>
      </c>
      <c r="F178">
        <v>201</v>
      </c>
      <c r="G178">
        <v>6</v>
      </c>
      <c r="H178">
        <v>195</v>
      </c>
      <c r="I178">
        <v>30</v>
      </c>
      <c r="J178">
        <v>127</v>
      </c>
      <c r="K178">
        <v>74</v>
      </c>
      <c r="L178">
        <v>470.56</v>
      </c>
      <c r="M178">
        <v>36432.49</v>
      </c>
      <c r="N178" t="s">
        <v>3239</v>
      </c>
      <c r="O178" t="s">
        <v>2594</v>
      </c>
      <c r="P178">
        <v>9.1</v>
      </c>
      <c r="Q178" t="s">
        <v>2633</v>
      </c>
    </row>
    <row r="179" spans="1:17" x14ac:dyDescent="0.25">
      <c r="A179" t="s">
        <v>3240</v>
      </c>
      <c r="B179" t="s">
        <v>1005</v>
      </c>
      <c r="C179" t="s">
        <v>2440</v>
      </c>
      <c r="D179" t="s">
        <v>2630</v>
      </c>
      <c r="E179" t="s">
        <v>3241</v>
      </c>
      <c r="F179">
        <v>149</v>
      </c>
      <c r="G179">
        <v>9</v>
      </c>
      <c r="H179">
        <v>140</v>
      </c>
      <c r="I179">
        <v>28</v>
      </c>
      <c r="J179">
        <v>433</v>
      </c>
      <c r="K179">
        <v>20</v>
      </c>
      <c r="L179">
        <v>213</v>
      </c>
      <c r="M179">
        <v>60936.9</v>
      </c>
      <c r="N179" t="s">
        <v>2905</v>
      </c>
      <c r="O179" t="s">
        <v>3009</v>
      </c>
      <c r="P179">
        <v>12</v>
      </c>
      <c r="Q179" t="s">
        <v>2577</v>
      </c>
    </row>
    <row r="180" spans="1:17" x14ac:dyDescent="0.25">
      <c r="A180" t="s">
        <v>3242</v>
      </c>
      <c r="B180" t="s">
        <v>591</v>
      </c>
      <c r="C180" t="s">
        <v>2432</v>
      </c>
      <c r="D180" t="s">
        <v>2837</v>
      </c>
      <c r="E180" t="s">
        <v>3243</v>
      </c>
      <c r="F180">
        <v>86</v>
      </c>
      <c r="G180">
        <v>3</v>
      </c>
      <c r="H180">
        <v>83</v>
      </c>
      <c r="I180">
        <v>6</v>
      </c>
      <c r="J180">
        <v>160</v>
      </c>
      <c r="K180">
        <v>52</v>
      </c>
      <c r="L180">
        <v>342.54</v>
      </c>
      <c r="M180">
        <v>26313.21</v>
      </c>
      <c r="N180" t="s">
        <v>1543</v>
      </c>
      <c r="O180" t="s">
        <v>3244</v>
      </c>
      <c r="P180">
        <v>9.8000000000000007</v>
      </c>
      <c r="Q180" t="s">
        <v>2595</v>
      </c>
    </row>
    <row r="181" spans="1:17" x14ac:dyDescent="0.25">
      <c r="A181" t="s">
        <v>3245</v>
      </c>
      <c r="B181" t="s">
        <v>415</v>
      </c>
      <c r="C181" t="s">
        <v>2376</v>
      </c>
      <c r="D181" t="s">
        <v>2675</v>
      </c>
      <c r="E181" t="s">
        <v>2686</v>
      </c>
      <c r="F181">
        <v>60</v>
      </c>
      <c r="G181">
        <v>15</v>
      </c>
      <c r="H181">
        <v>45</v>
      </c>
      <c r="I181">
        <v>10</v>
      </c>
      <c r="J181">
        <v>434</v>
      </c>
      <c r="K181">
        <v>67</v>
      </c>
      <c r="L181">
        <v>218.92</v>
      </c>
      <c r="M181">
        <v>16258.85</v>
      </c>
      <c r="N181" t="s">
        <v>2033</v>
      </c>
      <c r="O181" t="s">
        <v>3128</v>
      </c>
      <c r="P181">
        <v>10.199999999999999</v>
      </c>
      <c r="Q181" t="s">
        <v>2633</v>
      </c>
    </row>
    <row r="182" spans="1:17" x14ac:dyDescent="0.25">
      <c r="A182" t="s">
        <v>3246</v>
      </c>
      <c r="B182" t="s">
        <v>945</v>
      </c>
      <c r="C182" t="s">
        <v>2432</v>
      </c>
      <c r="D182" t="s">
        <v>2635</v>
      </c>
      <c r="E182" t="s">
        <v>3247</v>
      </c>
      <c r="F182">
        <v>140</v>
      </c>
      <c r="G182">
        <v>40</v>
      </c>
      <c r="H182">
        <v>100</v>
      </c>
      <c r="I182">
        <v>8</v>
      </c>
      <c r="J182">
        <v>142</v>
      </c>
      <c r="K182">
        <v>27</v>
      </c>
      <c r="L182">
        <v>270.14999999999998</v>
      </c>
      <c r="M182">
        <v>35095.65</v>
      </c>
      <c r="N182" t="s">
        <v>2972</v>
      </c>
      <c r="O182" t="s">
        <v>2563</v>
      </c>
      <c r="P182">
        <v>1.3</v>
      </c>
      <c r="Q182" t="s">
        <v>2633</v>
      </c>
    </row>
    <row r="183" spans="1:17" x14ac:dyDescent="0.25">
      <c r="A183" t="s">
        <v>3248</v>
      </c>
      <c r="B183" t="s">
        <v>458</v>
      </c>
      <c r="C183" t="s">
        <v>2388</v>
      </c>
      <c r="D183" t="s">
        <v>2724</v>
      </c>
      <c r="E183" t="s">
        <v>2686</v>
      </c>
      <c r="F183">
        <v>92</v>
      </c>
      <c r="G183">
        <v>24</v>
      </c>
      <c r="H183">
        <v>68</v>
      </c>
      <c r="I183">
        <v>9</v>
      </c>
      <c r="J183">
        <v>150</v>
      </c>
      <c r="K183">
        <v>40</v>
      </c>
      <c r="L183">
        <v>78.569999999999993</v>
      </c>
      <c r="M183">
        <v>31211.74</v>
      </c>
      <c r="N183" t="s">
        <v>2033</v>
      </c>
      <c r="O183" t="s">
        <v>2995</v>
      </c>
      <c r="P183">
        <v>3.6</v>
      </c>
      <c r="Q183" t="s">
        <v>2577</v>
      </c>
    </row>
    <row r="184" spans="1:17" x14ac:dyDescent="0.25">
      <c r="A184" t="s">
        <v>3249</v>
      </c>
      <c r="B184" t="s">
        <v>611</v>
      </c>
      <c r="C184" t="s">
        <v>2449</v>
      </c>
      <c r="D184" t="s">
        <v>3110</v>
      </c>
      <c r="E184" t="s">
        <v>3216</v>
      </c>
      <c r="F184">
        <v>274</v>
      </c>
      <c r="G184">
        <v>50</v>
      </c>
      <c r="H184">
        <v>224</v>
      </c>
      <c r="I184">
        <v>22</v>
      </c>
      <c r="J184">
        <v>465</v>
      </c>
      <c r="K184">
        <v>72</v>
      </c>
      <c r="L184">
        <v>405.53</v>
      </c>
      <c r="M184">
        <v>23708.2</v>
      </c>
      <c r="N184" t="s">
        <v>2560</v>
      </c>
      <c r="O184" t="s">
        <v>3124</v>
      </c>
      <c r="P184">
        <v>14.5</v>
      </c>
      <c r="Q184" t="s">
        <v>2577</v>
      </c>
    </row>
    <row r="185" spans="1:17" x14ac:dyDescent="0.25">
      <c r="A185" t="s">
        <v>3250</v>
      </c>
      <c r="B185" t="s">
        <v>332</v>
      </c>
      <c r="C185" t="s">
        <v>2456</v>
      </c>
      <c r="D185" t="s">
        <v>2952</v>
      </c>
      <c r="E185" t="s">
        <v>3251</v>
      </c>
      <c r="F185">
        <v>92</v>
      </c>
      <c r="G185">
        <v>0</v>
      </c>
      <c r="H185">
        <v>92</v>
      </c>
      <c r="I185">
        <v>9</v>
      </c>
      <c r="J185">
        <v>394</v>
      </c>
      <c r="K185">
        <v>33</v>
      </c>
      <c r="L185">
        <v>343.69</v>
      </c>
      <c r="M185">
        <v>8235.7900000000009</v>
      </c>
      <c r="N185" t="s">
        <v>3252</v>
      </c>
      <c r="O185" t="s">
        <v>3253</v>
      </c>
      <c r="P185">
        <v>11.5</v>
      </c>
      <c r="Q185" t="s">
        <v>2577</v>
      </c>
    </row>
    <row r="186" spans="1:17" x14ac:dyDescent="0.25">
      <c r="A186" t="s">
        <v>3254</v>
      </c>
      <c r="B186" t="s">
        <v>253</v>
      </c>
      <c r="C186" t="s">
        <v>2449</v>
      </c>
      <c r="D186" t="s">
        <v>3255</v>
      </c>
      <c r="E186" t="s">
        <v>3221</v>
      </c>
      <c r="F186">
        <v>152</v>
      </c>
      <c r="G186">
        <v>23</v>
      </c>
      <c r="H186">
        <v>129</v>
      </c>
      <c r="I186">
        <v>12</v>
      </c>
      <c r="J186">
        <v>253</v>
      </c>
      <c r="K186">
        <v>22</v>
      </c>
      <c r="L186">
        <v>475.8</v>
      </c>
      <c r="M186">
        <v>36603.67</v>
      </c>
      <c r="N186" t="s">
        <v>2980</v>
      </c>
      <c r="O186" t="s">
        <v>3132</v>
      </c>
      <c r="P186">
        <v>10.199999999999999</v>
      </c>
      <c r="Q186" t="s">
        <v>2633</v>
      </c>
    </row>
    <row r="187" spans="1:17" x14ac:dyDescent="0.25">
      <c r="A187" t="s">
        <v>3256</v>
      </c>
      <c r="B187" t="s">
        <v>274</v>
      </c>
      <c r="C187" t="s">
        <v>2456</v>
      </c>
      <c r="D187" t="s">
        <v>3257</v>
      </c>
      <c r="E187" t="s">
        <v>3258</v>
      </c>
      <c r="F187">
        <v>251</v>
      </c>
      <c r="G187">
        <v>44</v>
      </c>
      <c r="H187">
        <v>207</v>
      </c>
      <c r="I187">
        <v>22</v>
      </c>
      <c r="J187">
        <v>361</v>
      </c>
      <c r="K187">
        <v>33</v>
      </c>
      <c r="L187">
        <v>359.57</v>
      </c>
      <c r="M187">
        <v>72072.77</v>
      </c>
      <c r="N187" t="s">
        <v>2810</v>
      </c>
      <c r="O187" t="s">
        <v>3155</v>
      </c>
      <c r="P187">
        <v>1.5</v>
      </c>
      <c r="Q187" t="s">
        <v>2577</v>
      </c>
    </row>
    <row r="188" spans="1:17" x14ac:dyDescent="0.25">
      <c r="A188" t="s">
        <v>3259</v>
      </c>
      <c r="B188" t="s">
        <v>490</v>
      </c>
      <c r="C188" t="s">
        <v>2407</v>
      </c>
      <c r="D188" t="s">
        <v>3073</v>
      </c>
      <c r="E188" t="s">
        <v>3260</v>
      </c>
      <c r="F188">
        <v>68</v>
      </c>
      <c r="G188">
        <v>38</v>
      </c>
      <c r="H188">
        <v>30</v>
      </c>
      <c r="I188">
        <v>9</v>
      </c>
      <c r="J188">
        <v>473</v>
      </c>
      <c r="K188">
        <v>59</v>
      </c>
      <c r="L188">
        <v>239.91</v>
      </c>
      <c r="M188">
        <v>8922.9599999999991</v>
      </c>
      <c r="N188" t="s">
        <v>2277</v>
      </c>
      <c r="O188" t="s">
        <v>2832</v>
      </c>
      <c r="P188">
        <v>10.1</v>
      </c>
      <c r="Q188" t="s">
        <v>2577</v>
      </c>
    </row>
    <row r="189" spans="1:17" x14ac:dyDescent="0.25">
      <c r="A189" t="s">
        <v>3261</v>
      </c>
      <c r="B189" t="s">
        <v>621</v>
      </c>
      <c r="C189" t="s">
        <v>2440</v>
      </c>
      <c r="D189" t="s">
        <v>3150</v>
      </c>
      <c r="E189" t="s">
        <v>3262</v>
      </c>
      <c r="F189">
        <v>42</v>
      </c>
      <c r="G189">
        <v>16</v>
      </c>
      <c r="H189">
        <v>26</v>
      </c>
      <c r="I189">
        <v>7</v>
      </c>
      <c r="J189">
        <v>422</v>
      </c>
      <c r="K189">
        <v>66</v>
      </c>
      <c r="L189">
        <v>171.23</v>
      </c>
      <c r="M189">
        <v>8707.5</v>
      </c>
      <c r="N189" t="s">
        <v>2884</v>
      </c>
      <c r="O189" t="s">
        <v>3165</v>
      </c>
      <c r="P189">
        <v>11</v>
      </c>
      <c r="Q189" t="s">
        <v>2577</v>
      </c>
    </row>
    <row r="190" spans="1:17" x14ac:dyDescent="0.25">
      <c r="A190" t="s">
        <v>3263</v>
      </c>
      <c r="B190" t="s">
        <v>646</v>
      </c>
      <c r="C190" t="s">
        <v>2398</v>
      </c>
      <c r="D190" t="s">
        <v>2955</v>
      </c>
      <c r="E190" t="s">
        <v>3264</v>
      </c>
      <c r="F190">
        <v>161</v>
      </c>
      <c r="G190">
        <v>50</v>
      </c>
      <c r="H190">
        <v>111</v>
      </c>
      <c r="I190">
        <v>12</v>
      </c>
      <c r="J190">
        <v>139</v>
      </c>
      <c r="K190">
        <v>37</v>
      </c>
      <c r="L190">
        <v>106.08</v>
      </c>
      <c r="M190">
        <v>11044.01</v>
      </c>
      <c r="N190" t="s">
        <v>2949</v>
      </c>
      <c r="O190" t="s">
        <v>2659</v>
      </c>
      <c r="P190">
        <v>1.9</v>
      </c>
      <c r="Q190" t="s">
        <v>2577</v>
      </c>
    </row>
    <row r="191" spans="1:17" x14ac:dyDescent="0.25">
      <c r="A191" t="s">
        <v>3265</v>
      </c>
      <c r="B191" t="s">
        <v>571</v>
      </c>
      <c r="C191" t="s">
        <v>2425</v>
      </c>
      <c r="D191" t="s">
        <v>3169</v>
      </c>
      <c r="E191" t="s">
        <v>3247</v>
      </c>
      <c r="F191">
        <v>139</v>
      </c>
      <c r="G191">
        <v>9</v>
      </c>
      <c r="H191">
        <v>130</v>
      </c>
      <c r="I191">
        <v>17</v>
      </c>
      <c r="J191">
        <v>213</v>
      </c>
      <c r="K191">
        <v>44</v>
      </c>
      <c r="L191">
        <v>478.3</v>
      </c>
      <c r="M191">
        <v>52289.919999999998</v>
      </c>
      <c r="N191" t="s">
        <v>2931</v>
      </c>
      <c r="O191" t="s">
        <v>2895</v>
      </c>
      <c r="P191">
        <v>8.4</v>
      </c>
      <c r="Q191" t="s">
        <v>2605</v>
      </c>
    </row>
    <row r="192" spans="1:17" x14ac:dyDescent="0.25">
      <c r="A192" t="s">
        <v>3266</v>
      </c>
      <c r="B192" t="s">
        <v>865</v>
      </c>
      <c r="C192" t="s">
        <v>2440</v>
      </c>
      <c r="D192" t="s">
        <v>3267</v>
      </c>
      <c r="E192" t="s">
        <v>2873</v>
      </c>
      <c r="F192">
        <v>48</v>
      </c>
      <c r="G192">
        <v>33</v>
      </c>
      <c r="H192">
        <v>15</v>
      </c>
      <c r="I192">
        <v>13</v>
      </c>
      <c r="J192">
        <v>411</v>
      </c>
      <c r="K192">
        <v>26</v>
      </c>
      <c r="L192">
        <v>453.46</v>
      </c>
      <c r="M192">
        <v>1902.55</v>
      </c>
      <c r="N192" t="s">
        <v>3268</v>
      </c>
      <c r="O192" t="s">
        <v>3202</v>
      </c>
      <c r="P192">
        <v>6.5</v>
      </c>
      <c r="Q192" t="s">
        <v>2623</v>
      </c>
    </row>
    <row r="193" spans="1:17" x14ac:dyDescent="0.25">
      <c r="A193" t="s">
        <v>3269</v>
      </c>
      <c r="B193" t="s">
        <v>1061</v>
      </c>
      <c r="C193" t="s">
        <v>2449</v>
      </c>
      <c r="D193" t="s">
        <v>2675</v>
      </c>
      <c r="E193" t="s">
        <v>3270</v>
      </c>
      <c r="F193">
        <v>282</v>
      </c>
      <c r="G193">
        <v>38</v>
      </c>
      <c r="H193">
        <v>244</v>
      </c>
      <c r="I193">
        <v>13</v>
      </c>
      <c r="J193">
        <v>104</v>
      </c>
      <c r="K193">
        <v>63</v>
      </c>
      <c r="L193">
        <v>281.10000000000002</v>
      </c>
      <c r="M193">
        <v>29272.94</v>
      </c>
      <c r="N193" t="s">
        <v>3271</v>
      </c>
      <c r="O193" t="s">
        <v>3058</v>
      </c>
      <c r="P193">
        <v>6.3</v>
      </c>
      <c r="Q193" t="s">
        <v>2605</v>
      </c>
    </row>
    <row r="194" spans="1:17" x14ac:dyDescent="0.25">
      <c r="A194" t="s">
        <v>3272</v>
      </c>
      <c r="B194" t="s">
        <v>139</v>
      </c>
      <c r="C194" t="s">
        <v>2425</v>
      </c>
      <c r="D194" t="s">
        <v>2978</v>
      </c>
      <c r="E194" t="s">
        <v>3273</v>
      </c>
      <c r="F194">
        <v>127</v>
      </c>
      <c r="G194">
        <v>43</v>
      </c>
      <c r="H194">
        <v>84</v>
      </c>
      <c r="I194">
        <v>16</v>
      </c>
      <c r="J194">
        <v>339</v>
      </c>
      <c r="K194">
        <v>52</v>
      </c>
      <c r="L194">
        <v>179.07</v>
      </c>
      <c r="M194">
        <v>40208.9</v>
      </c>
      <c r="N194" t="s">
        <v>2244</v>
      </c>
      <c r="O194" t="s">
        <v>3092</v>
      </c>
      <c r="P194">
        <v>11.1</v>
      </c>
      <c r="Q194" t="s">
        <v>2577</v>
      </c>
    </row>
    <row r="195" spans="1:17" x14ac:dyDescent="0.25">
      <c r="A195" t="s">
        <v>3274</v>
      </c>
      <c r="B195" t="s">
        <v>500</v>
      </c>
      <c r="C195" t="s">
        <v>2388</v>
      </c>
      <c r="D195" t="s">
        <v>3121</v>
      </c>
      <c r="E195" t="s">
        <v>2621</v>
      </c>
      <c r="F195">
        <v>156</v>
      </c>
      <c r="G195">
        <v>26</v>
      </c>
      <c r="H195">
        <v>130</v>
      </c>
      <c r="I195">
        <v>7</v>
      </c>
      <c r="J195">
        <v>473</v>
      </c>
      <c r="K195">
        <v>35</v>
      </c>
      <c r="L195">
        <v>475.19</v>
      </c>
      <c r="M195">
        <v>16159.12</v>
      </c>
      <c r="N195" t="s">
        <v>3275</v>
      </c>
      <c r="O195" t="s">
        <v>2781</v>
      </c>
      <c r="P195">
        <v>11.4</v>
      </c>
      <c r="Q195" t="s">
        <v>2633</v>
      </c>
    </row>
    <row r="196" spans="1:17" x14ac:dyDescent="0.25">
      <c r="A196" t="s">
        <v>3276</v>
      </c>
      <c r="B196" t="s">
        <v>51</v>
      </c>
      <c r="C196" t="s">
        <v>2432</v>
      </c>
      <c r="D196" t="s">
        <v>2661</v>
      </c>
      <c r="E196" t="s">
        <v>3277</v>
      </c>
      <c r="F196">
        <v>260</v>
      </c>
      <c r="G196">
        <v>46</v>
      </c>
      <c r="H196">
        <v>214</v>
      </c>
      <c r="I196">
        <v>26</v>
      </c>
      <c r="J196">
        <v>446</v>
      </c>
      <c r="K196">
        <v>76</v>
      </c>
      <c r="L196">
        <v>289.58</v>
      </c>
      <c r="M196">
        <v>22707.8</v>
      </c>
      <c r="N196" t="s">
        <v>3278</v>
      </c>
      <c r="O196" t="s">
        <v>3279</v>
      </c>
      <c r="P196">
        <v>3.7</v>
      </c>
      <c r="Q196" t="s">
        <v>2577</v>
      </c>
    </row>
    <row r="197" spans="1:17" x14ac:dyDescent="0.25">
      <c r="A197" t="s">
        <v>3280</v>
      </c>
      <c r="B197" t="s">
        <v>1026</v>
      </c>
      <c r="C197" t="s">
        <v>2432</v>
      </c>
      <c r="D197" t="s">
        <v>3281</v>
      </c>
      <c r="E197" t="s">
        <v>3282</v>
      </c>
      <c r="F197">
        <v>273</v>
      </c>
      <c r="G197">
        <v>47</v>
      </c>
      <c r="H197">
        <v>226</v>
      </c>
      <c r="I197">
        <v>26</v>
      </c>
      <c r="J197">
        <v>411</v>
      </c>
      <c r="K197">
        <v>22</v>
      </c>
      <c r="L197">
        <v>323.32</v>
      </c>
      <c r="M197">
        <v>109404.64</v>
      </c>
      <c r="N197" t="s">
        <v>2668</v>
      </c>
      <c r="O197" t="s">
        <v>2844</v>
      </c>
      <c r="P197">
        <v>13.3</v>
      </c>
      <c r="Q197" t="s">
        <v>2577</v>
      </c>
    </row>
    <row r="198" spans="1:17" x14ac:dyDescent="0.25">
      <c r="A198" t="s">
        <v>3283</v>
      </c>
      <c r="B198" t="s">
        <v>321</v>
      </c>
      <c r="C198" t="s">
        <v>2388</v>
      </c>
      <c r="D198" t="s">
        <v>2709</v>
      </c>
      <c r="E198" t="s">
        <v>2913</v>
      </c>
      <c r="F198">
        <v>187</v>
      </c>
      <c r="G198">
        <v>8</v>
      </c>
      <c r="H198">
        <v>179</v>
      </c>
      <c r="I198">
        <v>17</v>
      </c>
      <c r="J198">
        <v>187</v>
      </c>
      <c r="K198">
        <v>43</v>
      </c>
      <c r="L198">
        <v>486.38</v>
      </c>
      <c r="M198">
        <v>36172.559999999998</v>
      </c>
      <c r="N198" t="s">
        <v>3009</v>
      </c>
      <c r="O198" t="s">
        <v>3113</v>
      </c>
      <c r="P198">
        <v>12.6</v>
      </c>
      <c r="Q198" t="s">
        <v>2577</v>
      </c>
    </row>
    <row r="199" spans="1:17" x14ac:dyDescent="0.25">
      <c r="A199" t="s">
        <v>3284</v>
      </c>
      <c r="B199" t="s">
        <v>479</v>
      </c>
      <c r="C199" t="s">
        <v>2416</v>
      </c>
      <c r="D199" t="s">
        <v>2765</v>
      </c>
      <c r="E199" t="s">
        <v>3285</v>
      </c>
      <c r="F199">
        <v>247</v>
      </c>
      <c r="G199">
        <v>18</v>
      </c>
      <c r="H199">
        <v>229</v>
      </c>
      <c r="I199">
        <v>17</v>
      </c>
      <c r="J199">
        <v>211</v>
      </c>
      <c r="K199">
        <v>79</v>
      </c>
      <c r="L199">
        <v>187.17</v>
      </c>
      <c r="M199">
        <v>107607.13</v>
      </c>
      <c r="N199" t="s">
        <v>3078</v>
      </c>
      <c r="O199" t="s">
        <v>3286</v>
      </c>
      <c r="P199">
        <v>12.6</v>
      </c>
      <c r="Q199" t="s">
        <v>2577</v>
      </c>
    </row>
    <row r="200" spans="1:17" x14ac:dyDescent="0.25">
      <c r="A200" t="s">
        <v>3287</v>
      </c>
      <c r="B200" t="s">
        <v>703</v>
      </c>
      <c r="C200" t="s">
        <v>2456</v>
      </c>
      <c r="D200" t="s">
        <v>3288</v>
      </c>
      <c r="E200" t="s">
        <v>2807</v>
      </c>
      <c r="F200">
        <v>249</v>
      </c>
      <c r="G200">
        <v>3</v>
      </c>
      <c r="H200">
        <v>246</v>
      </c>
      <c r="I200">
        <v>15</v>
      </c>
      <c r="J200">
        <v>252</v>
      </c>
      <c r="K200">
        <v>42</v>
      </c>
      <c r="L200">
        <v>98.22</v>
      </c>
      <c r="M200">
        <v>51014.19</v>
      </c>
      <c r="N200" t="s">
        <v>3089</v>
      </c>
      <c r="O200" t="s">
        <v>3289</v>
      </c>
      <c r="P200">
        <v>6.6</v>
      </c>
      <c r="Q200" t="s">
        <v>2577</v>
      </c>
    </row>
    <row r="201" spans="1:17" x14ac:dyDescent="0.25">
      <c r="A201" t="s">
        <v>3290</v>
      </c>
      <c r="B201" t="s">
        <v>215</v>
      </c>
      <c r="C201" t="s">
        <v>2432</v>
      </c>
      <c r="D201" t="s">
        <v>2748</v>
      </c>
      <c r="E201" t="s">
        <v>2838</v>
      </c>
      <c r="F201">
        <v>251</v>
      </c>
      <c r="G201">
        <v>12</v>
      </c>
      <c r="H201">
        <v>239</v>
      </c>
      <c r="I201">
        <v>18</v>
      </c>
      <c r="J201">
        <v>163</v>
      </c>
      <c r="K201">
        <v>78</v>
      </c>
      <c r="L201">
        <v>269.33999999999997</v>
      </c>
      <c r="M201">
        <v>28688.05</v>
      </c>
      <c r="N201" t="s">
        <v>3039</v>
      </c>
      <c r="O201" t="s">
        <v>2984</v>
      </c>
      <c r="P201">
        <v>4.2</v>
      </c>
      <c r="Q201" t="s">
        <v>2595</v>
      </c>
    </row>
    <row r="202" spans="1:17" x14ac:dyDescent="0.25">
      <c r="A202" t="s">
        <v>3291</v>
      </c>
      <c r="B202" t="s">
        <v>586</v>
      </c>
      <c r="C202" t="s">
        <v>2416</v>
      </c>
      <c r="D202" t="s">
        <v>3292</v>
      </c>
      <c r="E202" t="s">
        <v>3293</v>
      </c>
      <c r="F202">
        <v>186</v>
      </c>
      <c r="G202">
        <v>27</v>
      </c>
      <c r="H202">
        <v>159</v>
      </c>
      <c r="I202">
        <v>19</v>
      </c>
      <c r="J202">
        <v>436</v>
      </c>
      <c r="K202">
        <v>73</v>
      </c>
      <c r="L202">
        <v>247.71</v>
      </c>
      <c r="M202">
        <v>17958.009999999998</v>
      </c>
      <c r="N202" t="s">
        <v>3294</v>
      </c>
      <c r="O202" t="s">
        <v>3295</v>
      </c>
      <c r="P202">
        <v>1.1000000000000001</v>
      </c>
      <c r="Q202" t="s">
        <v>2577</v>
      </c>
    </row>
    <row r="203" spans="1:17" x14ac:dyDescent="0.25">
      <c r="A203" t="s">
        <v>3296</v>
      </c>
      <c r="B203" t="s">
        <v>234</v>
      </c>
      <c r="C203" t="s">
        <v>2407</v>
      </c>
      <c r="D203" t="s">
        <v>2670</v>
      </c>
      <c r="E203" t="s">
        <v>3297</v>
      </c>
      <c r="F203">
        <v>145</v>
      </c>
      <c r="G203">
        <v>2</v>
      </c>
      <c r="H203">
        <v>143</v>
      </c>
      <c r="I203">
        <v>6</v>
      </c>
      <c r="J203">
        <v>182</v>
      </c>
      <c r="K203">
        <v>62</v>
      </c>
      <c r="L203">
        <v>139.55000000000001</v>
      </c>
      <c r="M203">
        <v>37992.629999999997</v>
      </c>
      <c r="N203" t="s">
        <v>2609</v>
      </c>
      <c r="O203" t="s">
        <v>3298</v>
      </c>
      <c r="P203">
        <v>2.7</v>
      </c>
      <c r="Q203" t="s">
        <v>2633</v>
      </c>
    </row>
    <row r="204" spans="1:17" x14ac:dyDescent="0.25">
      <c r="A204" t="s">
        <v>3299</v>
      </c>
      <c r="B204" t="s">
        <v>814</v>
      </c>
      <c r="C204" t="s">
        <v>2440</v>
      </c>
      <c r="D204" t="s">
        <v>3162</v>
      </c>
      <c r="E204" t="s">
        <v>3300</v>
      </c>
      <c r="F204">
        <v>65</v>
      </c>
      <c r="G204">
        <v>20</v>
      </c>
      <c r="H204">
        <v>45</v>
      </c>
      <c r="I204">
        <v>9</v>
      </c>
      <c r="J204">
        <v>156</v>
      </c>
      <c r="K204">
        <v>26</v>
      </c>
      <c r="L204">
        <v>406.72</v>
      </c>
      <c r="M204">
        <v>4804</v>
      </c>
      <c r="N204" t="s">
        <v>2303</v>
      </c>
      <c r="O204" t="s">
        <v>3301</v>
      </c>
      <c r="P204">
        <v>1.2</v>
      </c>
      <c r="Q204" t="s">
        <v>2577</v>
      </c>
    </row>
    <row r="205" spans="1:17" x14ac:dyDescent="0.25">
      <c r="A205" t="s">
        <v>3302</v>
      </c>
      <c r="B205" t="s">
        <v>139</v>
      </c>
      <c r="C205" t="s">
        <v>2425</v>
      </c>
      <c r="D205" t="s">
        <v>3303</v>
      </c>
      <c r="E205" t="s">
        <v>2910</v>
      </c>
      <c r="F205">
        <v>219</v>
      </c>
      <c r="G205">
        <v>38</v>
      </c>
      <c r="H205">
        <v>181</v>
      </c>
      <c r="I205">
        <v>14</v>
      </c>
      <c r="J205">
        <v>348</v>
      </c>
      <c r="K205">
        <v>25</v>
      </c>
      <c r="L205">
        <v>392.4</v>
      </c>
      <c r="M205">
        <v>29229.02</v>
      </c>
      <c r="N205" t="s">
        <v>2870</v>
      </c>
      <c r="O205" t="s">
        <v>1721</v>
      </c>
      <c r="P205">
        <v>8.1999999999999993</v>
      </c>
      <c r="Q205" t="s">
        <v>2577</v>
      </c>
    </row>
    <row r="206" spans="1:17" x14ac:dyDescent="0.25">
      <c r="A206" t="s">
        <v>3304</v>
      </c>
      <c r="B206" t="s">
        <v>463</v>
      </c>
      <c r="C206" t="s">
        <v>2388</v>
      </c>
      <c r="D206" t="s">
        <v>2752</v>
      </c>
      <c r="E206" t="s">
        <v>3005</v>
      </c>
      <c r="F206">
        <v>134</v>
      </c>
      <c r="G206">
        <v>44</v>
      </c>
      <c r="H206">
        <v>90</v>
      </c>
      <c r="I206">
        <v>27</v>
      </c>
      <c r="J206">
        <v>500</v>
      </c>
      <c r="K206">
        <v>71</v>
      </c>
      <c r="L206">
        <v>96.38</v>
      </c>
      <c r="M206">
        <v>34083.5</v>
      </c>
      <c r="N206" t="s">
        <v>3025</v>
      </c>
      <c r="O206" t="s">
        <v>3305</v>
      </c>
      <c r="P206">
        <v>3.6</v>
      </c>
      <c r="Q206" t="s">
        <v>2577</v>
      </c>
    </row>
    <row r="207" spans="1:17" x14ac:dyDescent="0.25">
      <c r="A207" t="s">
        <v>3306</v>
      </c>
      <c r="B207" t="s">
        <v>395</v>
      </c>
      <c r="C207" t="s">
        <v>2388</v>
      </c>
      <c r="D207" t="s">
        <v>2999</v>
      </c>
      <c r="E207" t="s">
        <v>3041</v>
      </c>
      <c r="F207">
        <v>67</v>
      </c>
      <c r="G207">
        <v>25</v>
      </c>
      <c r="H207">
        <v>42</v>
      </c>
      <c r="I207">
        <v>18</v>
      </c>
      <c r="J207">
        <v>109</v>
      </c>
      <c r="K207">
        <v>59</v>
      </c>
      <c r="L207">
        <v>139.84</v>
      </c>
      <c r="M207">
        <v>18436.22</v>
      </c>
      <c r="N207" t="s">
        <v>3054</v>
      </c>
      <c r="O207" t="s">
        <v>2659</v>
      </c>
      <c r="P207">
        <v>8.3000000000000007</v>
      </c>
      <c r="Q207" t="s">
        <v>2577</v>
      </c>
    </row>
    <row r="208" spans="1:17" x14ac:dyDescent="0.25">
      <c r="A208" t="s">
        <v>3307</v>
      </c>
      <c r="B208" t="s">
        <v>384</v>
      </c>
      <c r="C208" t="s">
        <v>2425</v>
      </c>
      <c r="D208" t="s">
        <v>2731</v>
      </c>
      <c r="E208" t="s">
        <v>3308</v>
      </c>
      <c r="F208">
        <v>218</v>
      </c>
      <c r="G208">
        <v>30</v>
      </c>
      <c r="H208">
        <v>188</v>
      </c>
      <c r="I208">
        <v>14</v>
      </c>
      <c r="J208">
        <v>156</v>
      </c>
      <c r="K208">
        <v>37</v>
      </c>
      <c r="L208">
        <v>213.61</v>
      </c>
      <c r="M208">
        <v>89177.69</v>
      </c>
      <c r="N208" t="s">
        <v>3148</v>
      </c>
      <c r="O208" t="s">
        <v>3309</v>
      </c>
      <c r="P208">
        <v>4.5</v>
      </c>
      <c r="Q208" t="s">
        <v>2577</v>
      </c>
    </row>
    <row r="209" spans="1:17" x14ac:dyDescent="0.25">
      <c r="A209" t="s">
        <v>3310</v>
      </c>
      <c r="B209" t="s">
        <v>332</v>
      </c>
      <c r="C209" t="s">
        <v>2376</v>
      </c>
      <c r="D209" t="s">
        <v>2966</v>
      </c>
      <c r="E209" t="s">
        <v>2598</v>
      </c>
      <c r="F209">
        <v>0</v>
      </c>
      <c r="G209">
        <v>0</v>
      </c>
      <c r="H209">
        <v>0</v>
      </c>
      <c r="I209">
        <v>20</v>
      </c>
      <c r="J209">
        <v>243</v>
      </c>
      <c r="K209">
        <v>78</v>
      </c>
      <c r="L209">
        <v>322.93</v>
      </c>
      <c r="M209">
        <v>0</v>
      </c>
      <c r="N209" t="s">
        <v>3123</v>
      </c>
      <c r="O209" t="s">
        <v>2343</v>
      </c>
      <c r="P209">
        <v>7.9</v>
      </c>
      <c r="Q209" t="s">
        <v>2623</v>
      </c>
    </row>
    <row r="210" spans="1:17" x14ac:dyDescent="0.25">
      <c r="A210" t="s">
        <v>3311</v>
      </c>
      <c r="B210" t="s">
        <v>495</v>
      </c>
      <c r="C210" t="s">
        <v>2388</v>
      </c>
      <c r="D210" t="s">
        <v>2784</v>
      </c>
      <c r="E210" t="s">
        <v>3312</v>
      </c>
      <c r="F210">
        <v>49</v>
      </c>
      <c r="G210">
        <v>42</v>
      </c>
      <c r="H210">
        <v>7</v>
      </c>
      <c r="I210">
        <v>15</v>
      </c>
      <c r="J210">
        <v>284</v>
      </c>
      <c r="K210">
        <v>67</v>
      </c>
      <c r="L210">
        <v>414.52</v>
      </c>
      <c r="M210">
        <v>2690.24</v>
      </c>
      <c r="N210" t="s">
        <v>2712</v>
      </c>
      <c r="O210" t="s">
        <v>3313</v>
      </c>
      <c r="P210">
        <v>9.5</v>
      </c>
      <c r="Q210" t="s">
        <v>2577</v>
      </c>
    </row>
    <row r="211" spans="1:17" x14ac:dyDescent="0.25">
      <c r="A211" t="s">
        <v>3314</v>
      </c>
      <c r="B211" t="s">
        <v>945</v>
      </c>
      <c r="C211" t="s">
        <v>2416</v>
      </c>
      <c r="D211" t="s">
        <v>2841</v>
      </c>
      <c r="E211" t="s">
        <v>2715</v>
      </c>
      <c r="F211">
        <v>107</v>
      </c>
      <c r="G211">
        <v>37</v>
      </c>
      <c r="H211">
        <v>70</v>
      </c>
      <c r="I211">
        <v>25</v>
      </c>
      <c r="J211">
        <v>480</v>
      </c>
      <c r="K211">
        <v>58</v>
      </c>
      <c r="L211">
        <v>104.16</v>
      </c>
      <c r="M211">
        <v>21976.69</v>
      </c>
      <c r="N211" t="s">
        <v>3315</v>
      </c>
      <c r="O211" t="s">
        <v>3316</v>
      </c>
      <c r="P211">
        <v>10.199999999999999</v>
      </c>
      <c r="Q211" t="s">
        <v>2577</v>
      </c>
    </row>
    <row r="212" spans="1:17" x14ac:dyDescent="0.25">
      <c r="A212" t="s">
        <v>3317</v>
      </c>
      <c r="B212" t="s">
        <v>348</v>
      </c>
      <c r="C212" t="s">
        <v>2440</v>
      </c>
      <c r="D212" t="s">
        <v>3016</v>
      </c>
      <c r="E212" t="s">
        <v>3300</v>
      </c>
      <c r="F212">
        <v>50</v>
      </c>
      <c r="G212">
        <v>4</v>
      </c>
      <c r="H212">
        <v>46</v>
      </c>
      <c r="I212">
        <v>29</v>
      </c>
      <c r="J212">
        <v>203</v>
      </c>
      <c r="K212">
        <v>54</v>
      </c>
      <c r="L212">
        <v>374.35</v>
      </c>
      <c r="M212">
        <v>3206.89</v>
      </c>
      <c r="N212" t="s">
        <v>3165</v>
      </c>
      <c r="O212" t="s">
        <v>3309</v>
      </c>
      <c r="P212">
        <v>8.6999999999999993</v>
      </c>
      <c r="Q212" t="s">
        <v>2605</v>
      </c>
    </row>
    <row r="213" spans="1:17" x14ac:dyDescent="0.25">
      <c r="A213" t="s">
        <v>3318</v>
      </c>
      <c r="B213" t="s">
        <v>1086</v>
      </c>
      <c r="C213" t="s">
        <v>2449</v>
      </c>
      <c r="D213" t="s">
        <v>2680</v>
      </c>
      <c r="E213" t="s">
        <v>3308</v>
      </c>
      <c r="F213">
        <v>177</v>
      </c>
      <c r="G213">
        <v>23</v>
      </c>
      <c r="H213">
        <v>154</v>
      </c>
      <c r="I213">
        <v>20</v>
      </c>
      <c r="J213">
        <v>314</v>
      </c>
      <c r="K213">
        <v>53</v>
      </c>
      <c r="L213">
        <v>469.1</v>
      </c>
      <c r="M213">
        <v>42618.15</v>
      </c>
      <c r="N213" t="s">
        <v>3010</v>
      </c>
      <c r="O213" t="s">
        <v>2716</v>
      </c>
      <c r="P213">
        <v>9.4</v>
      </c>
      <c r="Q213" t="s">
        <v>2577</v>
      </c>
    </row>
    <row r="214" spans="1:17" x14ac:dyDescent="0.25">
      <c r="A214" t="s">
        <v>3319</v>
      </c>
      <c r="B214" t="s">
        <v>479</v>
      </c>
      <c r="C214" t="s">
        <v>2376</v>
      </c>
      <c r="D214" t="s">
        <v>3071</v>
      </c>
      <c r="E214" t="s">
        <v>3277</v>
      </c>
      <c r="F214">
        <v>289</v>
      </c>
      <c r="G214">
        <v>3</v>
      </c>
      <c r="H214">
        <v>286</v>
      </c>
      <c r="I214">
        <v>21</v>
      </c>
      <c r="J214">
        <v>138</v>
      </c>
      <c r="K214">
        <v>30</v>
      </c>
      <c r="L214">
        <v>246.99</v>
      </c>
      <c r="M214">
        <v>79844.13</v>
      </c>
      <c r="N214" t="s">
        <v>3320</v>
      </c>
      <c r="O214" t="s">
        <v>3321</v>
      </c>
      <c r="P214">
        <v>6.5</v>
      </c>
      <c r="Q214" t="s">
        <v>2605</v>
      </c>
    </row>
    <row r="215" spans="1:17" x14ac:dyDescent="0.25">
      <c r="A215" t="s">
        <v>3322</v>
      </c>
      <c r="B215" t="s">
        <v>363</v>
      </c>
      <c r="C215" t="s">
        <v>2398</v>
      </c>
      <c r="D215" t="s">
        <v>3073</v>
      </c>
      <c r="E215" t="s">
        <v>3117</v>
      </c>
      <c r="F215">
        <v>1</v>
      </c>
      <c r="G215">
        <v>0</v>
      </c>
      <c r="H215">
        <v>1</v>
      </c>
      <c r="I215">
        <v>30</v>
      </c>
      <c r="J215">
        <v>362</v>
      </c>
      <c r="K215">
        <v>49</v>
      </c>
      <c r="L215">
        <v>276.72000000000003</v>
      </c>
      <c r="M215">
        <v>374.26</v>
      </c>
      <c r="N215" t="s">
        <v>2614</v>
      </c>
      <c r="O215" t="s">
        <v>3323</v>
      </c>
      <c r="P215">
        <v>12.9</v>
      </c>
      <c r="Q215" t="s">
        <v>2605</v>
      </c>
    </row>
    <row r="216" spans="1:17" x14ac:dyDescent="0.25">
      <c r="A216" t="s">
        <v>3324</v>
      </c>
      <c r="B216" t="s">
        <v>1021</v>
      </c>
      <c r="C216" t="s">
        <v>2416</v>
      </c>
      <c r="D216" t="s">
        <v>2639</v>
      </c>
      <c r="E216" t="s">
        <v>2842</v>
      </c>
      <c r="F216">
        <v>282</v>
      </c>
      <c r="G216">
        <v>7</v>
      </c>
      <c r="H216">
        <v>275</v>
      </c>
      <c r="I216">
        <v>12</v>
      </c>
      <c r="J216">
        <v>249</v>
      </c>
      <c r="K216">
        <v>22</v>
      </c>
      <c r="L216">
        <v>337.83</v>
      </c>
      <c r="M216">
        <v>130328.19</v>
      </c>
      <c r="N216" t="s">
        <v>2958</v>
      </c>
      <c r="O216" t="s">
        <v>2817</v>
      </c>
      <c r="P216">
        <v>2.9</v>
      </c>
      <c r="Q216" t="s">
        <v>2577</v>
      </c>
    </row>
    <row r="217" spans="1:17" x14ac:dyDescent="0.25">
      <c r="A217" t="s">
        <v>3325</v>
      </c>
      <c r="B217" t="s">
        <v>935</v>
      </c>
      <c r="C217" t="s">
        <v>2407</v>
      </c>
      <c r="D217" t="s">
        <v>3326</v>
      </c>
      <c r="E217" t="s">
        <v>3327</v>
      </c>
      <c r="F217">
        <v>107</v>
      </c>
      <c r="G217">
        <v>34</v>
      </c>
      <c r="H217">
        <v>73</v>
      </c>
      <c r="I217">
        <v>25</v>
      </c>
      <c r="J217">
        <v>409</v>
      </c>
      <c r="K217">
        <v>43</v>
      </c>
      <c r="L217">
        <v>196.05</v>
      </c>
      <c r="M217">
        <v>34740.15</v>
      </c>
      <c r="N217" t="s">
        <v>3316</v>
      </c>
      <c r="O217" t="s">
        <v>2741</v>
      </c>
      <c r="P217">
        <v>4.7</v>
      </c>
      <c r="Q217" t="s">
        <v>2577</v>
      </c>
    </row>
    <row r="218" spans="1:17" x14ac:dyDescent="0.25">
      <c r="A218" t="s">
        <v>3328</v>
      </c>
      <c r="B218" t="s">
        <v>631</v>
      </c>
      <c r="C218" t="s">
        <v>2456</v>
      </c>
      <c r="D218" t="s">
        <v>2607</v>
      </c>
      <c r="E218" t="s">
        <v>3329</v>
      </c>
      <c r="F218">
        <v>150</v>
      </c>
      <c r="G218">
        <v>20</v>
      </c>
      <c r="H218">
        <v>130</v>
      </c>
      <c r="I218">
        <v>28</v>
      </c>
      <c r="J218">
        <v>243</v>
      </c>
      <c r="K218">
        <v>31</v>
      </c>
      <c r="L218">
        <v>165.19</v>
      </c>
      <c r="M218">
        <v>7414.85</v>
      </c>
      <c r="N218" t="s">
        <v>3039</v>
      </c>
      <c r="O218" t="s">
        <v>2879</v>
      </c>
      <c r="P218">
        <v>11.9</v>
      </c>
      <c r="Q218" t="s">
        <v>2577</v>
      </c>
    </row>
    <row r="219" spans="1:17" x14ac:dyDescent="0.25">
      <c r="A219" t="s">
        <v>3330</v>
      </c>
      <c r="B219" t="s">
        <v>1036</v>
      </c>
      <c r="C219" t="s">
        <v>2432</v>
      </c>
      <c r="D219" t="s">
        <v>3130</v>
      </c>
      <c r="E219" t="s">
        <v>3331</v>
      </c>
      <c r="F219">
        <v>131</v>
      </c>
      <c r="G219">
        <v>40</v>
      </c>
      <c r="H219">
        <v>91</v>
      </c>
      <c r="I219">
        <v>13</v>
      </c>
      <c r="J219">
        <v>204</v>
      </c>
      <c r="K219">
        <v>57</v>
      </c>
      <c r="L219">
        <v>333.41</v>
      </c>
      <c r="M219">
        <v>39694.160000000003</v>
      </c>
      <c r="N219" t="s">
        <v>3332</v>
      </c>
      <c r="O219" t="s">
        <v>2843</v>
      </c>
      <c r="P219">
        <v>7.2</v>
      </c>
      <c r="Q219" t="s">
        <v>2595</v>
      </c>
    </row>
    <row r="220" spans="1:17" x14ac:dyDescent="0.25">
      <c r="A220" t="s">
        <v>3333</v>
      </c>
      <c r="B220" t="s">
        <v>581</v>
      </c>
      <c r="C220" t="s">
        <v>2398</v>
      </c>
      <c r="D220" t="s">
        <v>3067</v>
      </c>
      <c r="E220" t="s">
        <v>3334</v>
      </c>
      <c r="F220">
        <v>245</v>
      </c>
      <c r="G220">
        <v>5</v>
      </c>
      <c r="H220">
        <v>240</v>
      </c>
      <c r="I220">
        <v>10</v>
      </c>
      <c r="J220">
        <v>196</v>
      </c>
      <c r="K220">
        <v>56</v>
      </c>
      <c r="L220">
        <v>270.73</v>
      </c>
      <c r="M220">
        <v>90783.84</v>
      </c>
      <c r="N220" t="s">
        <v>2801</v>
      </c>
      <c r="O220" t="s">
        <v>2796</v>
      </c>
      <c r="P220">
        <v>1.3</v>
      </c>
      <c r="Q220" t="s">
        <v>2577</v>
      </c>
    </row>
    <row r="221" spans="1:17" x14ac:dyDescent="0.25">
      <c r="A221" t="s">
        <v>3335</v>
      </c>
      <c r="B221" t="s">
        <v>327</v>
      </c>
      <c r="C221" t="s">
        <v>2432</v>
      </c>
      <c r="D221" t="s">
        <v>3336</v>
      </c>
      <c r="E221" t="s">
        <v>2667</v>
      </c>
      <c r="F221">
        <v>96</v>
      </c>
      <c r="G221">
        <v>4</v>
      </c>
      <c r="H221">
        <v>92</v>
      </c>
      <c r="I221">
        <v>19</v>
      </c>
      <c r="J221">
        <v>430</v>
      </c>
      <c r="K221">
        <v>45</v>
      </c>
      <c r="L221">
        <v>95.11</v>
      </c>
      <c r="M221">
        <v>26408.63</v>
      </c>
      <c r="N221" t="s">
        <v>3337</v>
      </c>
      <c r="O221" t="s">
        <v>3202</v>
      </c>
      <c r="P221">
        <v>12.3</v>
      </c>
      <c r="Q221" t="s">
        <v>2577</v>
      </c>
    </row>
    <row r="222" spans="1:17" x14ac:dyDescent="0.25">
      <c r="A222" t="s">
        <v>3338</v>
      </c>
      <c r="B222" t="s">
        <v>591</v>
      </c>
      <c r="C222" t="s">
        <v>2432</v>
      </c>
      <c r="D222" t="s">
        <v>2694</v>
      </c>
      <c r="E222" t="s">
        <v>3339</v>
      </c>
      <c r="F222">
        <v>10</v>
      </c>
      <c r="G222">
        <v>1</v>
      </c>
      <c r="H222">
        <v>9</v>
      </c>
      <c r="I222">
        <v>29</v>
      </c>
      <c r="J222">
        <v>142</v>
      </c>
      <c r="K222">
        <v>37</v>
      </c>
      <c r="L222">
        <v>114.19</v>
      </c>
      <c r="M222">
        <v>2990.91</v>
      </c>
      <c r="N222" t="s">
        <v>3145</v>
      </c>
      <c r="O222" t="s">
        <v>3340</v>
      </c>
      <c r="P222">
        <v>14.5</v>
      </c>
      <c r="Q222" t="s">
        <v>2577</v>
      </c>
    </row>
    <row r="223" spans="1:17" x14ac:dyDescent="0.25">
      <c r="A223" t="s">
        <v>3341</v>
      </c>
      <c r="B223" t="s">
        <v>804</v>
      </c>
      <c r="C223" t="s">
        <v>2425</v>
      </c>
      <c r="D223" t="s">
        <v>2661</v>
      </c>
      <c r="E223" t="s">
        <v>3238</v>
      </c>
      <c r="F223">
        <v>43</v>
      </c>
      <c r="G223">
        <v>12</v>
      </c>
      <c r="H223">
        <v>31</v>
      </c>
      <c r="I223">
        <v>19</v>
      </c>
      <c r="J223">
        <v>183</v>
      </c>
      <c r="K223">
        <v>39</v>
      </c>
      <c r="L223">
        <v>199.29</v>
      </c>
      <c r="M223">
        <v>3705.46</v>
      </c>
      <c r="N223" t="s">
        <v>1964</v>
      </c>
      <c r="O223" t="s">
        <v>3342</v>
      </c>
      <c r="P223">
        <v>10.7</v>
      </c>
      <c r="Q223" t="s">
        <v>2577</v>
      </c>
    </row>
    <row r="224" spans="1:17" x14ac:dyDescent="0.25">
      <c r="A224" t="s">
        <v>3343</v>
      </c>
      <c r="B224" t="s">
        <v>77</v>
      </c>
      <c r="C224" t="s">
        <v>2376</v>
      </c>
      <c r="D224" t="s">
        <v>2861</v>
      </c>
      <c r="E224" t="s">
        <v>3344</v>
      </c>
      <c r="F224">
        <v>52</v>
      </c>
      <c r="G224">
        <v>34</v>
      </c>
      <c r="H224">
        <v>18</v>
      </c>
      <c r="I224">
        <v>9</v>
      </c>
      <c r="J224">
        <v>100</v>
      </c>
      <c r="K224">
        <v>78</v>
      </c>
      <c r="L224">
        <v>150.94</v>
      </c>
      <c r="M224">
        <v>2736.07</v>
      </c>
      <c r="N224" t="s">
        <v>3103</v>
      </c>
      <c r="O224" t="s">
        <v>1552</v>
      </c>
      <c r="P224">
        <v>5.9</v>
      </c>
      <c r="Q224" t="s">
        <v>2605</v>
      </c>
    </row>
    <row r="225" spans="1:17" x14ac:dyDescent="0.25">
      <c r="A225" t="s">
        <v>3345</v>
      </c>
      <c r="B225" t="s">
        <v>390</v>
      </c>
      <c r="C225" t="s">
        <v>2432</v>
      </c>
      <c r="D225" t="s">
        <v>3346</v>
      </c>
      <c r="E225" t="s">
        <v>3347</v>
      </c>
      <c r="F225">
        <v>57</v>
      </c>
      <c r="G225">
        <v>31</v>
      </c>
      <c r="H225">
        <v>26</v>
      </c>
      <c r="I225">
        <v>14</v>
      </c>
      <c r="J225">
        <v>282</v>
      </c>
      <c r="K225">
        <v>24</v>
      </c>
      <c r="L225">
        <v>327.06</v>
      </c>
      <c r="M225">
        <v>2684.71</v>
      </c>
      <c r="N225" t="s">
        <v>2918</v>
      </c>
      <c r="O225" t="s">
        <v>3348</v>
      </c>
      <c r="P225">
        <v>13.9</v>
      </c>
      <c r="Q225" t="s">
        <v>2577</v>
      </c>
    </row>
    <row r="226" spans="1:17" x14ac:dyDescent="0.25">
      <c r="A226" t="s">
        <v>3349</v>
      </c>
      <c r="B226" t="s">
        <v>885</v>
      </c>
      <c r="C226" t="s">
        <v>2398</v>
      </c>
      <c r="D226" t="s">
        <v>2586</v>
      </c>
      <c r="E226" t="s">
        <v>3273</v>
      </c>
      <c r="F226">
        <v>91</v>
      </c>
      <c r="G226">
        <v>27</v>
      </c>
      <c r="H226">
        <v>64</v>
      </c>
      <c r="I226">
        <v>9</v>
      </c>
      <c r="J226">
        <v>441</v>
      </c>
      <c r="K226">
        <v>63</v>
      </c>
      <c r="L226">
        <v>185.7</v>
      </c>
      <c r="M226">
        <v>26745.8</v>
      </c>
      <c r="N226" t="s">
        <v>2950</v>
      </c>
      <c r="O226" t="s">
        <v>2143</v>
      </c>
      <c r="P226">
        <v>2.5</v>
      </c>
      <c r="Q226" t="s">
        <v>2633</v>
      </c>
    </row>
    <row r="227" spans="1:17" x14ac:dyDescent="0.25">
      <c r="A227" t="s">
        <v>3350</v>
      </c>
      <c r="B227" t="s">
        <v>960</v>
      </c>
      <c r="C227" t="s">
        <v>2425</v>
      </c>
      <c r="D227" t="s">
        <v>3326</v>
      </c>
      <c r="E227" t="s">
        <v>2847</v>
      </c>
      <c r="F227">
        <v>135</v>
      </c>
      <c r="G227">
        <v>45</v>
      </c>
      <c r="H227">
        <v>90</v>
      </c>
      <c r="I227">
        <v>15</v>
      </c>
      <c r="J227">
        <v>175</v>
      </c>
      <c r="K227">
        <v>44</v>
      </c>
      <c r="L227">
        <v>251.01</v>
      </c>
      <c r="M227">
        <v>36772.449999999997</v>
      </c>
      <c r="N227" t="s">
        <v>2673</v>
      </c>
      <c r="O227" t="s">
        <v>2863</v>
      </c>
      <c r="P227">
        <v>12.4</v>
      </c>
      <c r="Q227" t="s">
        <v>2577</v>
      </c>
    </row>
    <row r="228" spans="1:17" x14ac:dyDescent="0.25">
      <c r="A228" t="s">
        <v>3351</v>
      </c>
      <c r="B228" t="s">
        <v>850</v>
      </c>
      <c r="C228" t="s">
        <v>2432</v>
      </c>
      <c r="D228" t="s">
        <v>2743</v>
      </c>
      <c r="E228" t="s">
        <v>3339</v>
      </c>
      <c r="F228">
        <v>142</v>
      </c>
      <c r="G228">
        <v>9</v>
      </c>
      <c r="H228">
        <v>133</v>
      </c>
      <c r="I228">
        <v>29</v>
      </c>
      <c r="J228">
        <v>297</v>
      </c>
      <c r="K228">
        <v>42</v>
      </c>
      <c r="L228">
        <v>193.69</v>
      </c>
      <c r="M228">
        <v>32016.35</v>
      </c>
      <c r="N228" t="s">
        <v>3042</v>
      </c>
      <c r="O228" t="s">
        <v>3352</v>
      </c>
      <c r="P228">
        <v>6.8</v>
      </c>
      <c r="Q228" t="s">
        <v>2623</v>
      </c>
    </row>
    <row r="229" spans="1:17" x14ac:dyDescent="0.25">
      <c r="A229" t="s">
        <v>3353</v>
      </c>
      <c r="B229" t="s">
        <v>274</v>
      </c>
      <c r="C229" t="s">
        <v>2407</v>
      </c>
      <c r="D229" t="s">
        <v>2591</v>
      </c>
      <c r="E229" t="s">
        <v>3354</v>
      </c>
      <c r="F229">
        <v>196</v>
      </c>
      <c r="G229">
        <v>26</v>
      </c>
      <c r="H229">
        <v>170</v>
      </c>
      <c r="I229">
        <v>22</v>
      </c>
      <c r="J229">
        <v>374</v>
      </c>
      <c r="K229">
        <v>72</v>
      </c>
      <c r="L229">
        <v>153.55000000000001</v>
      </c>
      <c r="M229">
        <v>14896.76</v>
      </c>
      <c r="N229" t="s">
        <v>3218</v>
      </c>
      <c r="O229" t="s">
        <v>2772</v>
      </c>
      <c r="P229">
        <v>8.4</v>
      </c>
      <c r="Q229" t="s">
        <v>2577</v>
      </c>
    </row>
    <row r="230" spans="1:17" x14ac:dyDescent="0.25">
      <c r="A230" t="s">
        <v>3355</v>
      </c>
      <c r="B230" t="s">
        <v>1010</v>
      </c>
      <c r="C230" t="s">
        <v>2388</v>
      </c>
      <c r="D230" t="s">
        <v>2739</v>
      </c>
      <c r="E230" t="s">
        <v>3356</v>
      </c>
      <c r="F230">
        <v>120</v>
      </c>
      <c r="G230">
        <v>23</v>
      </c>
      <c r="H230">
        <v>97</v>
      </c>
      <c r="I230">
        <v>22</v>
      </c>
      <c r="J230">
        <v>342</v>
      </c>
      <c r="K230">
        <v>28</v>
      </c>
      <c r="L230">
        <v>464.41</v>
      </c>
      <c r="M230">
        <v>7450.55</v>
      </c>
      <c r="N230" t="s">
        <v>2950</v>
      </c>
      <c r="O230" t="s">
        <v>3357</v>
      </c>
      <c r="P230">
        <v>12.9</v>
      </c>
      <c r="Q230" t="s">
        <v>2577</v>
      </c>
    </row>
    <row r="231" spans="1:17" x14ac:dyDescent="0.25">
      <c r="A231" t="s">
        <v>3358</v>
      </c>
      <c r="B231" t="s">
        <v>485</v>
      </c>
      <c r="C231" t="s">
        <v>2440</v>
      </c>
      <c r="D231" t="s">
        <v>3359</v>
      </c>
      <c r="E231" t="s">
        <v>2753</v>
      </c>
      <c r="F231">
        <v>73</v>
      </c>
      <c r="G231">
        <v>35</v>
      </c>
      <c r="H231">
        <v>38</v>
      </c>
      <c r="I231">
        <v>6</v>
      </c>
      <c r="J231">
        <v>482</v>
      </c>
      <c r="K231">
        <v>28</v>
      </c>
      <c r="L231">
        <v>102.76</v>
      </c>
      <c r="M231">
        <v>13797.85</v>
      </c>
      <c r="N231" t="s">
        <v>3058</v>
      </c>
      <c r="O231" t="s">
        <v>3360</v>
      </c>
      <c r="P231">
        <v>11.3</v>
      </c>
      <c r="Q231" t="s">
        <v>2595</v>
      </c>
    </row>
    <row r="232" spans="1:17" x14ac:dyDescent="0.25">
      <c r="A232" t="s">
        <v>3361</v>
      </c>
      <c r="B232" t="s">
        <v>586</v>
      </c>
      <c r="C232" t="s">
        <v>2376</v>
      </c>
      <c r="D232" t="s">
        <v>2714</v>
      </c>
      <c r="E232" t="s">
        <v>3362</v>
      </c>
      <c r="F232">
        <v>54</v>
      </c>
      <c r="G232">
        <v>42</v>
      </c>
      <c r="H232">
        <v>12</v>
      </c>
      <c r="I232">
        <v>5</v>
      </c>
      <c r="J232">
        <v>175</v>
      </c>
      <c r="K232">
        <v>43</v>
      </c>
      <c r="L232">
        <v>113.57</v>
      </c>
      <c r="M232">
        <v>1923.25</v>
      </c>
      <c r="N232" t="s">
        <v>3145</v>
      </c>
      <c r="O232" t="s">
        <v>2848</v>
      </c>
      <c r="P232">
        <v>12.6</v>
      </c>
      <c r="Q232" t="s">
        <v>2595</v>
      </c>
    </row>
    <row r="233" spans="1:17" x14ac:dyDescent="0.25">
      <c r="A233" t="s">
        <v>3363</v>
      </c>
      <c r="B233" t="s">
        <v>290</v>
      </c>
      <c r="C233" t="s">
        <v>2398</v>
      </c>
      <c r="D233" t="s">
        <v>3364</v>
      </c>
      <c r="E233" t="s">
        <v>3112</v>
      </c>
      <c r="F233">
        <v>240</v>
      </c>
      <c r="G233">
        <v>47</v>
      </c>
      <c r="H233">
        <v>193</v>
      </c>
      <c r="I233">
        <v>20</v>
      </c>
      <c r="J233">
        <v>310</v>
      </c>
      <c r="K233">
        <v>66</v>
      </c>
      <c r="L233">
        <v>201.8</v>
      </c>
      <c r="M233">
        <v>77514.320000000007</v>
      </c>
      <c r="N233" t="s">
        <v>3042</v>
      </c>
      <c r="O233" t="s">
        <v>3145</v>
      </c>
      <c r="P233">
        <v>5</v>
      </c>
      <c r="Q233" t="s">
        <v>2577</v>
      </c>
    </row>
    <row r="234" spans="1:17" x14ac:dyDescent="0.25">
      <c r="A234" t="s">
        <v>3365</v>
      </c>
      <c r="B234" t="s">
        <v>152</v>
      </c>
      <c r="C234" t="s">
        <v>2376</v>
      </c>
      <c r="D234" t="s">
        <v>2798</v>
      </c>
      <c r="E234" t="s">
        <v>2877</v>
      </c>
      <c r="F234">
        <v>88</v>
      </c>
      <c r="G234">
        <v>32</v>
      </c>
      <c r="H234">
        <v>56</v>
      </c>
      <c r="I234">
        <v>26</v>
      </c>
      <c r="J234">
        <v>332</v>
      </c>
      <c r="K234">
        <v>55</v>
      </c>
      <c r="L234">
        <v>370.13</v>
      </c>
      <c r="M234">
        <v>9302.9699999999993</v>
      </c>
      <c r="N234" t="s">
        <v>3366</v>
      </c>
      <c r="O234" t="s">
        <v>3301</v>
      </c>
      <c r="P234">
        <v>5.3</v>
      </c>
      <c r="Q234" t="s">
        <v>2577</v>
      </c>
    </row>
    <row r="235" spans="1:17" x14ac:dyDescent="0.25">
      <c r="A235" t="s">
        <v>3367</v>
      </c>
      <c r="B235" t="s">
        <v>651</v>
      </c>
      <c r="C235" t="s">
        <v>2398</v>
      </c>
      <c r="D235" t="s">
        <v>3150</v>
      </c>
      <c r="E235" t="s">
        <v>3241</v>
      </c>
      <c r="F235">
        <v>139</v>
      </c>
      <c r="G235">
        <v>5</v>
      </c>
      <c r="H235">
        <v>134</v>
      </c>
      <c r="I235">
        <v>17</v>
      </c>
      <c r="J235">
        <v>416</v>
      </c>
      <c r="K235">
        <v>23</v>
      </c>
      <c r="L235">
        <v>148.51</v>
      </c>
      <c r="M235">
        <v>17776.73</v>
      </c>
      <c r="N235" t="s">
        <v>3368</v>
      </c>
      <c r="O235" t="s">
        <v>2673</v>
      </c>
      <c r="P235">
        <v>8.8000000000000007</v>
      </c>
      <c r="Q235" t="s">
        <v>2577</v>
      </c>
    </row>
    <row r="236" spans="1:17" x14ac:dyDescent="0.25">
      <c r="A236" t="s">
        <v>3369</v>
      </c>
      <c r="B236" t="s">
        <v>1000</v>
      </c>
      <c r="C236" t="s">
        <v>2440</v>
      </c>
      <c r="D236" t="s">
        <v>2955</v>
      </c>
      <c r="E236" t="s">
        <v>3370</v>
      </c>
      <c r="F236">
        <v>244</v>
      </c>
      <c r="G236">
        <v>20</v>
      </c>
      <c r="H236">
        <v>224</v>
      </c>
      <c r="I236">
        <v>30</v>
      </c>
      <c r="J236">
        <v>290</v>
      </c>
      <c r="K236">
        <v>61</v>
      </c>
      <c r="L236">
        <v>240.9</v>
      </c>
      <c r="M236">
        <v>38407.89</v>
      </c>
      <c r="N236" t="s">
        <v>3371</v>
      </c>
      <c r="O236" t="s">
        <v>2642</v>
      </c>
      <c r="P236">
        <v>6.1</v>
      </c>
      <c r="Q236" t="s">
        <v>2623</v>
      </c>
    </row>
    <row r="237" spans="1:17" x14ac:dyDescent="0.25">
      <c r="A237" t="s">
        <v>3372</v>
      </c>
      <c r="B237" t="s">
        <v>95</v>
      </c>
      <c r="C237" t="s">
        <v>2407</v>
      </c>
      <c r="D237" t="s">
        <v>3373</v>
      </c>
      <c r="E237" t="s">
        <v>3374</v>
      </c>
      <c r="F237">
        <v>144</v>
      </c>
      <c r="G237">
        <v>10</v>
      </c>
      <c r="H237">
        <v>134</v>
      </c>
      <c r="I237">
        <v>5</v>
      </c>
      <c r="J237">
        <v>487</v>
      </c>
      <c r="K237">
        <v>78</v>
      </c>
      <c r="L237">
        <v>189.1</v>
      </c>
      <c r="M237">
        <v>39966.99</v>
      </c>
      <c r="N237" t="s">
        <v>3375</v>
      </c>
      <c r="O237" t="s">
        <v>3376</v>
      </c>
      <c r="P237">
        <v>1.5</v>
      </c>
      <c r="Q237" t="s">
        <v>2605</v>
      </c>
    </row>
    <row r="238" spans="1:17" x14ac:dyDescent="0.25">
      <c r="A238" t="s">
        <v>3377</v>
      </c>
      <c r="B238" t="s">
        <v>192</v>
      </c>
      <c r="C238" t="s">
        <v>2456</v>
      </c>
      <c r="D238" t="s">
        <v>3378</v>
      </c>
      <c r="E238" t="s">
        <v>2831</v>
      </c>
      <c r="F238">
        <v>289</v>
      </c>
      <c r="G238">
        <v>2</v>
      </c>
      <c r="H238">
        <v>287</v>
      </c>
      <c r="I238">
        <v>7</v>
      </c>
      <c r="J238">
        <v>258</v>
      </c>
      <c r="K238">
        <v>20</v>
      </c>
      <c r="L238">
        <v>491.24</v>
      </c>
      <c r="M238">
        <v>111429.4</v>
      </c>
      <c r="N238" t="s">
        <v>2721</v>
      </c>
      <c r="O238" t="s">
        <v>2746</v>
      </c>
      <c r="P238">
        <v>8</v>
      </c>
      <c r="Q238" t="s">
        <v>2623</v>
      </c>
    </row>
    <row r="239" spans="1:17" x14ac:dyDescent="0.25">
      <c r="A239" t="s">
        <v>3379</v>
      </c>
      <c r="B239" t="s">
        <v>1076</v>
      </c>
      <c r="C239" t="s">
        <v>2432</v>
      </c>
      <c r="D239" t="s">
        <v>2743</v>
      </c>
      <c r="E239" t="s">
        <v>3380</v>
      </c>
      <c r="F239">
        <v>182</v>
      </c>
      <c r="G239">
        <v>8</v>
      </c>
      <c r="H239">
        <v>174</v>
      </c>
      <c r="I239">
        <v>8</v>
      </c>
      <c r="J239">
        <v>357</v>
      </c>
      <c r="K239">
        <v>71</v>
      </c>
      <c r="L239">
        <v>398.78</v>
      </c>
      <c r="M239">
        <v>10554.56</v>
      </c>
      <c r="N239" t="s">
        <v>2033</v>
      </c>
      <c r="O239" t="s">
        <v>2832</v>
      </c>
      <c r="P239">
        <v>7.7</v>
      </c>
      <c r="Q239" t="s">
        <v>2577</v>
      </c>
    </row>
    <row r="240" spans="1:17" x14ac:dyDescent="0.25">
      <c r="A240" t="s">
        <v>3381</v>
      </c>
      <c r="B240" t="s">
        <v>479</v>
      </c>
      <c r="C240" t="s">
        <v>2398</v>
      </c>
      <c r="D240" t="s">
        <v>3110</v>
      </c>
      <c r="E240" t="s">
        <v>2621</v>
      </c>
      <c r="F240">
        <v>77</v>
      </c>
      <c r="G240">
        <v>43</v>
      </c>
      <c r="H240">
        <v>34</v>
      </c>
      <c r="I240">
        <v>27</v>
      </c>
      <c r="J240">
        <v>218</v>
      </c>
      <c r="K240">
        <v>76</v>
      </c>
      <c r="L240">
        <v>147.04</v>
      </c>
      <c r="M240">
        <v>12126.33</v>
      </c>
      <c r="N240" t="s">
        <v>3382</v>
      </c>
      <c r="O240" t="s">
        <v>3081</v>
      </c>
      <c r="P240">
        <v>11.1</v>
      </c>
      <c r="Q240" t="s">
        <v>2623</v>
      </c>
    </row>
    <row r="241" spans="1:17" x14ac:dyDescent="0.25">
      <c r="A241" t="s">
        <v>3383</v>
      </c>
      <c r="B241" t="s">
        <v>682</v>
      </c>
      <c r="C241" t="s">
        <v>2398</v>
      </c>
      <c r="D241" t="s">
        <v>2586</v>
      </c>
      <c r="E241" t="s">
        <v>3308</v>
      </c>
      <c r="F241">
        <v>173</v>
      </c>
      <c r="G241">
        <v>18</v>
      </c>
      <c r="H241">
        <v>155</v>
      </c>
      <c r="I241">
        <v>27</v>
      </c>
      <c r="J241">
        <v>496</v>
      </c>
      <c r="K241">
        <v>63</v>
      </c>
      <c r="L241">
        <v>224.44</v>
      </c>
      <c r="M241">
        <v>22315.24</v>
      </c>
      <c r="N241" t="s">
        <v>3025</v>
      </c>
      <c r="O241" t="s">
        <v>3384</v>
      </c>
      <c r="P241">
        <v>2</v>
      </c>
      <c r="Q241" t="s">
        <v>2577</v>
      </c>
    </row>
    <row r="242" spans="1:17" x14ac:dyDescent="0.25">
      <c r="A242" t="s">
        <v>3385</v>
      </c>
      <c r="B242" t="s">
        <v>839</v>
      </c>
      <c r="C242" t="s">
        <v>2440</v>
      </c>
      <c r="D242" t="s">
        <v>2907</v>
      </c>
      <c r="E242" t="s">
        <v>2894</v>
      </c>
      <c r="F242">
        <v>49</v>
      </c>
      <c r="G242">
        <v>0</v>
      </c>
      <c r="H242">
        <v>49</v>
      </c>
      <c r="I242">
        <v>20</v>
      </c>
      <c r="J242">
        <v>148</v>
      </c>
      <c r="K242">
        <v>49</v>
      </c>
      <c r="L242">
        <v>191.17</v>
      </c>
      <c r="M242">
        <v>23045.93</v>
      </c>
      <c r="N242" t="s">
        <v>3386</v>
      </c>
      <c r="O242" t="s">
        <v>3031</v>
      </c>
      <c r="P242">
        <v>4.9000000000000004</v>
      </c>
      <c r="Q242" t="s">
        <v>2623</v>
      </c>
    </row>
    <row r="243" spans="1:17" x14ac:dyDescent="0.25">
      <c r="A243" t="s">
        <v>3387</v>
      </c>
      <c r="B243" t="s">
        <v>561</v>
      </c>
      <c r="C243" t="s">
        <v>2388</v>
      </c>
      <c r="D243" t="s">
        <v>3388</v>
      </c>
      <c r="E243" t="s">
        <v>2910</v>
      </c>
      <c r="F243">
        <v>36</v>
      </c>
      <c r="G243">
        <v>11</v>
      </c>
      <c r="H243">
        <v>25</v>
      </c>
      <c r="I243">
        <v>29</v>
      </c>
      <c r="J243">
        <v>326</v>
      </c>
      <c r="K243">
        <v>61</v>
      </c>
      <c r="L243">
        <v>465.87</v>
      </c>
      <c r="M243">
        <v>11823.08</v>
      </c>
      <c r="N243" t="s">
        <v>3389</v>
      </c>
      <c r="O243" t="s">
        <v>2848</v>
      </c>
      <c r="P243">
        <v>7.8</v>
      </c>
      <c r="Q243" t="s">
        <v>2623</v>
      </c>
    </row>
    <row r="244" spans="1:17" x14ac:dyDescent="0.25">
      <c r="A244" t="s">
        <v>3390</v>
      </c>
      <c r="B244" t="s">
        <v>473</v>
      </c>
      <c r="C244" t="s">
        <v>2432</v>
      </c>
      <c r="D244" t="s">
        <v>2657</v>
      </c>
      <c r="E244" t="s">
        <v>3391</v>
      </c>
      <c r="F244">
        <v>209</v>
      </c>
      <c r="G244">
        <v>39</v>
      </c>
      <c r="H244">
        <v>170</v>
      </c>
      <c r="I244">
        <v>24</v>
      </c>
      <c r="J244">
        <v>260</v>
      </c>
      <c r="K244">
        <v>43</v>
      </c>
      <c r="L244">
        <v>87.57</v>
      </c>
      <c r="M244">
        <v>40109.360000000001</v>
      </c>
      <c r="N244" t="s">
        <v>1828</v>
      </c>
      <c r="O244" t="s">
        <v>2786</v>
      </c>
      <c r="P244">
        <v>13.3</v>
      </c>
      <c r="Q244" t="s">
        <v>2577</v>
      </c>
    </row>
    <row r="245" spans="1:17" x14ac:dyDescent="0.25">
      <c r="A245" t="s">
        <v>3392</v>
      </c>
      <c r="B245" t="s">
        <v>905</v>
      </c>
      <c r="C245" t="s">
        <v>2376</v>
      </c>
      <c r="D245" t="s">
        <v>3393</v>
      </c>
      <c r="E245" t="s">
        <v>3394</v>
      </c>
      <c r="F245">
        <v>125</v>
      </c>
      <c r="G245">
        <v>44</v>
      </c>
      <c r="H245">
        <v>81</v>
      </c>
      <c r="I245">
        <v>17</v>
      </c>
      <c r="J245">
        <v>181</v>
      </c>
      <c r="K245">
        <v>56</v>
      </c>
      <c r="L245">
        <v>229.68</v>
      </c>
      <c r="M245">
        <v>6710.07</v>
      </c>
      <c r="N245" t="s">
        <v>2763</v>
      </c>
      <c r="O245" t="s">
        <v>3395</v>
      </c>
      <c r="P245">
        <v>7.5</v>
      </c>
      <c r="Q245" t="s">
        <v>2577</v>
      </c>
    </row>
    <row r="246" spans="1:17" x14ac:dyDescent="0.25">
      <c r="A246" t="s">
        <v>3396</v>
      </c>
      <c r="B246" t="s">
        <v>555</v>
      </c>
      <c r="C246" t="s">
        <v>2440</v>
      </c>
      <c r="D246" t="s">
        <v>2680</v>
      </c>
      <c r="E246" t="s">
        <v>2592</v>
      </c>
      <c r="F246">
        <v>239</v>
      </c>
      <c r="G246">
        <v>41</v>
      </c>
      <c r="H246">
        <v>198</v>
      </c>
      <c r="I246">
        <v>28</v>
      </c>
      <c r="J246">
        <v>155</v>
      </c>
      <c r="K246">
        <v>78</v>
      </c>
      <c r="L246">
        <v>481.8</v>
      </c>
      <c r="M246">
        <v>45267.79</v>
      </c>
      <c r="N246" t="s">
        <v>2725</v>
      </c>
      <c r="O246" t="s">
        <v>3138</v>
      </c>
      <c r="P246">
        <v>6.6</v>
      </c>
      <c r="Q246" t="s">
        <v>2577</v>
      </c>
    </row>
    <row r="247" spans="1:17" x14ac:dyDescent="0.25">
      <c r="A247" t="s">
        <v>3397</v>
      </c>
      <c r="B247" t="s">
        <v>515</v>
      </c>
      <c r="C247" t="s">
        <v>2425</v>
      </c>
      <c r="D247" t="s">
        <v>2680</v>
      </c>
      <c r="E247" t="s">
        <v>3398</v>
      </c>
      <c r="F247">
        <v>248</v>
      </c>
      <c r="G247">
        <v>13</v>
      </c>
      <c r="H247">
        <v>235</v>
      </c>
      <c r="I247">
        <v>6</v>
      </c>
      <c r="J247">
        <v>379</v>
      </c>
      <c r="K247">
        <v>29</v>
      </c>
      <c r="L247">
        <v>476.84</v>
      </c>
      <c r="M247">
        <v>27138.080000000002</v>
      </c>
      <c r="N247" t="s">
        <v>2728</v>
      </c>
      <c r="O247" t="s">
        <v>3399</v>
      </c>
      <c r="P247">
        <v>9</v>
      </c>
      <c r="Q247" t="s">
        <v>2595</v>
      </c>
    </row>
    <row r="248" spans="1:17" x14ac:dyDescent="0.25">
      <c r="A248" t="s">
        <v>3400</v>
      </c>
      <c r="B248" t="s">
        <v>152</v>
      </c>
      <c r="C248" t="s">
        <v>2425</v>
      </c>
      <c r="D248" t="s">
        <v>3401</v>
      </c>
      <c r="E248" t="s">
        <v>3402</v>
      </c>
      <c r="F248">
        <v>220</v>
      </c>
      <c r="G248">
        <v>30</v>
      </c>
      <c r="H248">
        <v>190</v>
      </c>
      <c r="I248">
        <v>29</v>
      </c>
      <c r="J248">
        <v>450</v>
      </c>
      <c r="K248">
        <v>47</v>
      </c>
      <c r="L248">
        <v>171.43</v>
      </c>
      <c r="M248">
        <v>63851.26</v>
      </c>
      <c r="N248" t="s">
        <v>2776</v>
      </c>
      <c r="O248" t="s">
        <v>3382</v>
      </c>
      <c r="P248">
        <v>2</v>
      </c>
      <c r="Q248" t="s">
        <v>2595</v>
      </c>
    </row>
    <row r="249" spans="1:17" x14ac:dyDescent="0.25">
      <c r="A249" t="s">
        <v>3403</v>
      </c>
      <c r="B249" t="s">
        <v>186</v>
      </c>
      <c r="C249" t="s">
        <v>2416</v>
      </c>
      <c r="D249" t="s">
        <v>3169</v>
      </c>
      <c r="E249" t="s">
        <v>2727</v>
      </c>
      <c r="F249">
        <v>231</v>
      </c>
      <c r="G249">
        <v>26</v>
      </c>
      <c r="H249">
        <v>205</v>
      </c>
      <c r="I249">
        <v>7</v>
      </c>
      <c r="J249">
        <v>319</v>
      </c>
      <c r="K249">
        <v>41</v>
      </c>
      <c r="L249">
        <v>483.51</v>
      </c>
      <c r="M249">
        <v>37639.480000000003</v>
      </c>
      <c r="N249" t="s">
        <v>3404</v>
      </c>
      <c r="O249" t="s">
        <v>2950</v>
      </c>
      <c r="P249">
        <v>14.2</v>
      </c>
      <c r="Q249" t="s">
        <v>2633</v>
      </c>
    </row>
    <row r="250" spans="1:17" x14ac:dyDescent="0.25">
      <c r="A250" t="s">
        <v>3405</v>
      </c>
      <c r="B250" t="s">
        <v>718</v>
      </c>
      <c r="C250" t="s">
        <v>2449</v>
      </c>
      <c r="D250" t="s">
        <v>2705</v>
      </c>
      <c r="E250" t="s">
        <v>3102</v>
      </c>
      <c r="F250">
        <v>82</v>
      </c>
      <c r="G250">
        <v>44</v>
      </c>
      <c r="H250">
        <v>38</v>
      </c>
      <c r="I250">
        <v>17</v>
      </c>
      <c r="J250">
        <v>105</v>
      </c>
      <c r="K250">
        <v>55</v>
      </c>
      <c r="L250">
        <v>402.38</v>
      </c>
      <c r="M250">
        <v>12110.9</v>
      </c>
      <c r="N250" t="s">
        <v>2642</v>
      </c>
      <c r="O250" t="s">
        <v>3406</v>
      </c>
      <c r="P250">
        <v>10.4</v>
      </c>
      <c r="Q250" t="s">
        <v>2577</v>
      </c>
    </row>
    <row r="251" spans="1:17" x14ac:dyDescent="0.25">
      <c r="A251" t="s">
        <v>3407</v>
      </c>
      <c r="B251" t="s">
        <v>520</v>
      </c>
      <c r="C251" t="s">
        <v>2425</v>
      </c>
      <c r="D251" t="s">
        <v>2779</v>
      </c>
      <c r="E251" t="s">
        <v>3408</v>
      </c>
      <c r="F251">
        <v>7</v>
      </c>
      <c r="G251">
        <v>2</v>
      </c>
      <c r="H251">
        <v>5</v>
      </c>
      <c r="I251">
        <v>8</v>
      </c>
      <c r="J251">
        <v>445</v>
      </c>
      <c r="K251">
        <v>46</v>
      </c>
      <c r="L251">
        <v>168.26</v>
      </c>
      <c r="M251">
        <v>1875.14</v>
      </c>
      <c r="N251" t="s">
        <v>1828</v>
      </c>
      <c r="O251" t="s">
        <v>3092</v>
      </c>
      <c r="P251">
        <v>12.7</v>
      </c>
      <c r="Q251" t="s">
        <v>2577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401"/>
  <sheetViews>
    <sheetView workbookViewId="0"/>
  </sheetViews>
  <sheetFormatPr baseColWidth="10" defaultColWidth="9.140625" defaultRowHeight="15" x14ac:dyDescent="0.25"/>
  <sheetData>
    <row r="1" spans="1:19" x14ac:dyDescent="0.25">
      <c r="A1" s="1" t="s">
        <v>1116</v>
      </c>
      <c r="B1" s="1" t="s">
        <v>3409</v>
      </c>
      <c r="C1" s="1" t="s">
        <v>3410</v>
      </c>
      <c r="D1" s="1" t="s">
        <v>3411</v>
      </c>
      <c r="E1" s="1" t="s">
        <v>13</v>
      </c>
      <c r="F1" s="1" t="s">
        <v>0</v>
      </c>
      <c r="G1" s="1" t="s">
        <v>3412</v>
      </c>
      <c r="H1" s="1" t="s">
        <v>3413</v>
      </c>
      <c r="I1" s="1" t="s">
        <v>2580</v>
      </c>
      <c r="J1" s="1" t="s">
        <v>3414</v>
      </c>
      <c r="K1" s="1" t="s">
        <v>1472</v>
      </c>
      <c r="L1" s="1" t="s">
        <v>3415</v>
      </c>
      <c r="M1" s="1" t="s">
        <v>3416</v>
      </c>
      <c r="N1" s="1" t="s">
        <v>1126</v>
      </c>
      <c r="O1" s="1" t="s">
        <v>3417</v>
      </c>
      <c r="P1" s="1" t="s">
        <v>3418</v>
      </c>
      <c r="Q1" s="1" t="s">
        <v>3419</v>
      </c>
      <c r="R1" s="1" t="s">
        <v>17</v>
      </c>
      <c r="S1" s="1" t="s">
        <v>3420</v>
      </c>
    </row>
    <row r="2" spans="1:19" x14ac:dyDescent="0.25">
      <c r="A2" t="s">
        <v>3421</v>
      </c>
      <c r="B2" t="s">
        <v>2193</v>
      </c>
      <c r="C2" t="s">
        <v>3422</v>
      </c>
      <c r="D2" t="s">
        <v>3423</v>
      </c>
      <c r="E2" t="s">
        <v>74</v>
      </c>
      <c r="F2" t="s">
        <v>1066</v>
      </c>
      <c r="G2">
        <v>25</v>
      </c>
      <c r="H2">
        <v>24</v>
      </c>
      <c r="I2">
        <v>239.08</v>
      </c>
      <c r="J2">
        <v>5977</v>
      </c>
      <c r="K2">
        <v>8.1999999999999993</v>
      </c>
      <c r="L2">
        <v>956.32</v>
      </c>
      <c r="M2">
        <v>6443.21</v>
      </c>
      <c r="N2" t="s">
        <v>1178</v>
      </c>
      <c r="O2" t="s">
        <v>3424</v>
      </c>
      <c r="P2" t="s">
        <v>2407</v>
      </c>
      <c r="Q2" t="s">
        <v>2558</v>
      </c>
      <c r="R2" t="s">
        <v>3425</v>
      </c>
      <c r="S2" t="s">
        <v>3426</v>
      </c>
    </row>
    <row r="3" spans="1:19" x14ac:dyDescent="0.25">
      <c r="A3" t="s">
        <v>3427</v>
      </c>
      <c r="B3" t="s">
        <v>3113</v>
      </c>
      <c r="C3" t="s">
        <v>3144</v>
      </c>
      <c r="D3" t="s">
        <v>2193</v>
      </c>
      <c r="E3" t="s">
        <v>558</v>
      </c>
      <c r="F3" t="s">
        <v>69</v>
      </c>
      <c r="G3">
        <v>39</v>
      </c>
      <c r="H3">
        <v>36</v>
      </c>
      <c r="I3">
        <v>453.49</v>
      </c>
      <c r="J3">
        <v>17686.11</v>
      </c>
      <c r="K3">
        <v>7.5</v>
      </c>
      <c r="L3">
        <v>2829.78</v>
      </c>
      <c r="M3">
        <v>19189.43</v>
      </c>
      <c r="N3" t="s">
        <v>1189</v>
      </c>
      <c r="O3" t="s">
        <v>3428</v>
      </c>
      <c r="P3" t="s">
        <v>2425</v>
      </c>
      <c r="Q3" t="s">
        <v>2525</v>
      </c>
      <c r="R3" t="s">
        <v>3429</v>
      </c>
      <c r="S3" t="s">
        <v>3426</v>
      </c>
    </row>
    <row r="4" spans="1:19" x14ac:dyDescent="0.25">
      <c r="A4" t="s">
        <v>3430</v>
      </c>
      <c r="B4" t="s">
        <v>3431</v>
      </c>
      <c r="C4" t="s">
        <v>3432</v>
      </c>
      <c r="D4" t="s">
        <v>3433</v>
      </c>
      <c r="E4" t="s">
        <v>435</v>
      </c>
      <c r="F4" t="s">
        <v>327</v>
      </c>
      <c r="G4">
        <v>59</v>
      </c>
      <c r="H4">
        <v>56</v>
      </c>
      <c r="I4">
        <v>242.77</v>
      </c>
      <c r="J4">
        <v>14323.43</v>
      </c>
      <c r="K4">
        <v>2.7</v>
      </c>
      <c r="L4">
        <v>2291.75</v>
      </c>
      <c r="M4">
        <v>16228.45</v>
      </c>
      <c r="N4" t="s">
        <v>1189</v>
      </c>
      <c r="O4" t="s">
        <v>1179</v>
      </c>
      <c r="P4" t="s">
        <v>2432</v>
      </c>
      <c r="Q4" t="s">
        <v>2554</v>
      </c>
      <c r="R4" t="s">
        <v>3434</v>
      </c>
    </row>
    <row r="5" spans="1:19" x14ac:dyDescent="0.25">
      <c r="A5" t="s">
        <v>3435</v>
      </c>
      <c r="B5" t="s">
        <v>1487</v>
      </c>
      <c r="C5" t="s">
        <v>2134</v>
      </c>
      <c r="D5" t="s">
        <v>2937</v>
      </c>
      <c r="E5" t="s">
        <v>82</v>
      </c>
      <c r="F5" t="s">
        <v>221</v>
      </c>
      <c r="G5">
        <v>12</v>
      </c>
      <c r="H5">
        <v>7</v>
      </c>
      <c r="I5">
        <v>342.33</v>
      </c>
      <c r="J5">
        <v>4107.96</v>
      </c>
      <c r="K5">
        <v>9.1999999999999993</v>
      </c>
      <c r="L5">
        <v>657.27</v>
      </c>
      <c r="M5">
        <v>4387.3</v>
      </c>
      <c r="N5" t="s">
        <v>1161</v>
      </c>
      <c r="O5" t="s">
        <v>3436</v>
      </c>
      <c r="P5" t="s">
        <v>2388</v>
      </c>
      <c r="Q5" t="s">
        <v>2554</v>
      </c>
      <c r="R5" t="s">
        <v>3437</v>
      </c>
    </row>
    <row r="6" spans="1:19" x14ac:dyDescent="0.25">
      <c r="A6" t="s">
        <v>3438</v>
      </c>
      <c r="B6" t="s">
        <v>3439</v>
      </c>
      <c r="C6" t="s">
        <v>3440</v>
      </c>
      <c r="D6" t="s">
        <v>3441</v>
      </c>
      <c r="E6" t="s">
        <v>1416</v>
      </c>
      <c r="F6" t="s">
        <v>479</v>
      </c>
      <c r="G6">
        <v>54</v>
      </c>
      <c r="H6">
        <v>53</v>
      </c>
      <c r="I6">
        <v>145.34</v>
      </c>
      <c r="J6">
        <v>7848.36</v>
      </c>
      <c r="K6">
        <v>11.7</v>
      </c>
      <c r="L6">
        <v>1255.74</v>
      </c>
      <c r="M6">
        <v>8185.84</v>
      </c>
      <c r="N6" t="s">
        <v>1189</v>
      </c>
      <c r="O6" t="s">
        <v>3442</v>
      </c>
      <c r="P6" t="s">
        <v>2425</v>
      </c>
      <c r="Q6" t="s">
        <v>2535</v>
      </c>
      <c r="R6" t="s">
        <v>3429</v>
      </c>
      <c r="S6" t="s">
        <v>3443</v>
      </c>
    </row>
    <row r="7" spans="1:19" x14ac:dyDescent="0.25">
      <c r="A7" t="s">
        <v>3444</v>
      </c>
      <c r="B7" t="s">
        <v>3445</v>
      </c>
      <c r="C7" t="s">
        <v>3446</v>
      </c>
      <c r="D7" t="s">
        <v>3447</v>
      </c>
      <c r="E7" t="s">
        <v>195</v>
      </c>
      <c r="F7" t="s">
        <v>586</v>
      </c>
      <c r="G7">
        <v>29</v>
      </c>
      <c r="H7">
        <v>26</v>
      </c>
      <c r="I7">
        <v>278.39999999999998</v>
      </c>
      <c r="J7">
        <v>8073.6</v>
      </c>
      <c r="K7">
        <v>4</v>
      </c>
      <c r="L7">
        <v>1291.78</v>
      </c>
      <c r="M7">
        <v>9042.44</v>
      </c>
      <c r="N7" t="s">
        <v>1178</v>
      </c>
      <c r="O7" t="s">
        <v>3442</v>
      </c>
      <c r="P7" t="s">
        <v>2432</v>
      </c>
      <c r="Q7" t="s">
        <v>2481</v>
      </c>
      <c r="R7" t="s">
        <v>3425</v>
      </c>
    </row>
    <row r="8" spans="1:19" x14ac:dyDescent="0.25">
      <c r="A8" t="s">
        <v>3448</v>
      </c>
      <c r="B8" t="s">
        <v>3128</v>
      </c>
      <c r="C8" t="s">
        <v>2540</v>
      </c>
      <c r="D8" t="s">
        <v>3368</v>
      </c>
      <c r="E8" t="s">
        <v>45</v>
      </c>
      <c r="F8" t="s">
        <v>586</v>
      </c>
      <c r="G8">
        <v>67</v>
      </c>
      <c r="H8">
        <v>64</v>
      </c>
      <c r="I8">
        <v>419.02</v>
      </c>
      <c r="J8">
        <v>28074.34</v>
      </c>
      <c r="K8">
        <v>9</v>
      </c>
      <c r="L8">
        <v>4491.8900000000003</v>
      </c>
      <c r="M8">
        <v>30039.54</v>
      </c>
      <c r="N8" t="s">
        <v>1178</v>
      </c>
      <c r="O8" t="s">
        <v>3436</v>
      </c>
      <c r="P8" t="s">
        <v>2432</v>
      </c>
      <c r="Q8" t="s">
        <v>2506</v>
      </c>
      <c r="R8" t="s">
        <v>3429</v>
      </c>
    </row>
    <row r="9" spans="1:19" x14ac:dyDescent="0.25">
      <c r="A9" t="s">
        <v>3449</v>
      </c>
      <c r="B9" t="s">
        <v>3450</v>
      </c>
      <c r="C9" t="s">
        <v>3451</v>
      </c>
      <c r="D9" t="s">
        <v>3452</v>
      </c>
      <c r="E9" t="s">
        <v>57</v>
      </c>
      <c r="F9" t="s">
        <v>657</v>
      </c>
      <c r="G9">
        <v>17</v>
      </c>
      <c r="H9">
        <v>15</v>
      </c>
      <c r="I9">
        <v>472.73</v>
      </c>
      <c r="J9">
        <v>8036.41</v>
      </c>
      <c r="K9">
        <v>5.9</v>
      </c>
      <c r="L9">
        <v>1285.83</v>
      </c>
      <c r="M9">
        <v>8848.09</v>
      </c>
      <c r="N9" t="s">
        <v>1161</v>
      </c>
      <c r="O9" t="s">
        <v>3424</v>
      </c>
      <c r="P9" t="s">
        <v>2432</v>
      </c>
      <c r="Q9" t="s">
        <v>2512</v>
      </c>
      <c r="R9" t="s">
        <v>3425</v>
      </c>
    </row>
    <row r="10" spans="1:19" x14ac:dyDescent="0.25">
      <c r="A10" t="s">
        <v>3453</v>
      </c>
      <c r="B10" t="s">
        <v>3454</v>
      </c>
      <c r="C10" t="s">
        <v>3455</v>
      </c>
      <c r="D10" t="s">
        <v>3456</v>
      </c>
      <c r="E10" t="s">
        <v>324</v>
      </c>
      <c r="F10" t="s">
        <v>248</v>
      </c>
      <c r="G10">
        <v>81</v>
      </c>
      <c r="H10">
        <v>77</v>
      </c>
      <c r="I10">
        <v>309.62</v>
      </c>
      <c r="J10">
        <v>25079.22</v>
      </c>
      <c r="K10">
        <v>5.9</v>
      </c>
      <c r="L10">
        <v>4012.68</v>
      </c>
      <c r="M10">
        <v>27612.23</v>
      </c>
      <c r="N10" t="s">
        <v>1178</v>
      </c>
      <c r="O10" t="s">
        <v>1179</v>
      </c>
      <c r="P10" t="s">
        <v>2407</v>
      </c>
      <c r="Q10" t="s">
        <v>2486</v>
      </c>
      <c r="R10" t="s">
        <v>3425</v>
      </c>
    </row>
    <row r="11" spans="1:19" x14ac:dyDescent="0.25">
      <c r="A11" t="s">
        <v>3457</v>
      </c>
      <c r="B11" t="s">
        <v>3458</v>
      </c>
      <c r="C11" t="s">
        <v>3459</v>
      </c>
      <c r="D11" t="s">
        <v>3460</v>
      </c>
      <c r="E11" t="s">
        <v>423</v>
      </c>
      <c r="F11" t="s">
        <v>51</v>
      </c>
      <c r="G11">
        <v>81</v>
      </c>
      <c r="H11">
        <v>77</v>
      </c>
      <c r="I11">
        <v>396.51</v>
      </c>
      <c r="J11">
        <v>32117.31</v>
      </c>
      <c r="K11">
        <v>2.2999999999999998</v>
      </c>
      <c r="L11">
        <v>5138.7700000000004</v>
      </c>
      <c r="M11">
        <v>36517.379999999997</v>
      </c>
      <c r="N11" t="s">
        <v>1189</v>
      </c>
      <c r="O11" t="s">
        <v>3442</v>
      </c>
      <c r="P11" t="s">
        <v>2398</v>
      </c>
      <c r="Q11" t="s">
        <v>2535</v>
      </c>
      <c r="R11" t="s">
        <v>2633</v>
      </c>
    </row>
    <row r="12" spans="1:19" x14ac:dyDescent="0.25">
      <c r="A12" t="s">
        <v>3461</v>
      </c>
      <c r="B12" t="s">
        <v>1794</v>
      </c>
      <c r="C12" t="s">
        <v>3342</v>
      </c>
      <c r="D12" t="s">
        <v>3462</v>
      </c>
      <c r="E12" t="s">
        <v>225</v>
      </c>
      <c r="F12" t="s">
        <v>950</v>
      </c>
      <c r="G12">
        <v>29</v>
      </c>
      <c r="H12">
        <v>24</v>
      </c>
      <c r="I12">
        <v>183.62</v>
      </c>
      <c r="J12">
        <v>5324.98</v>
      </c>
      <c r="K12">
        <v>8</v>
      </c>
      <c r="L12">
        <v>852</v>
      </c>
      <c r="M12">
        <v>5750.98</v>
      </c>
      <c r="N12" t="s">
        <v>1178</v>
      </c>
      <c r="O12" t="s">
        <v>1179</v>
      </c>
      <c r="P12" t="s">
        <v>2388</v>
      </c>
      <c r="Q12" t="s">
        <v>2495</v>
      </c>
      <c r="R12" t="s">
        <v>3425</v>
      </c>
    </row>
    <row r="13" spans="1:19" x14ac:dyDescent="0.25">
      <c r="A13" t="s">
        <v>3463</v>
      </c>
      <c r="B13" t="s">
        <v>3464</v>
      </c>
      <c r="C13" t="s">
        <v>3465</v>
      </c>
      <c r="D13" t="s">
        <v>2995</v>
      </c>
      <c r="E13" t="s">
        <v>435</v>
      </c>
      <c r="F13" t="s">
        <v>698</v>
      </c>
      <c r="G13">
        <v>77</v>
      </c>
      <c r="H13">
        <v>77</v>
      </c>
      <c r="I13">
        <v>105.21</v>
      </c>
      <c r="J13">
        <v>8101.17</v>
      </c>
      <c r="K13">
        <v>2.1</v>
      </c>
      <c r="L13">
        <v>1296.19</v>
      </c>
      <c r="M13">
        <v>9227.24</v>
      </c>
      <c r="N13" t="s">
        <v>1189</v>
      </c>
      <c r="O13" t="s">
        <v>1179</v>
      </c>
      <c r="P13" t="s">
        <v>2407</v>
      </c>
      <c r="Q13" t="s">
        <v>2527</v>
      </c>
      <c r="R13" t="s">
        <v>3425</v>
      </c>
      <c r="S13" t="s">
        <v>3466</v>
      </c>
    </row>
    <row r="14" spans="1:19" x14ac:dyDescent="0.25">
      <c r="A14" t="s">
        <v>3467</v>
      </c>
      <c r="B14" t="s">
        <v>2772</v>
      </c>
      <c r="C14" t="s">
        <v>2863</v>
      </c>
      <c r="D14" t="s">
        <v>3468</v>
      </c>
      <c r="E14" t="s">
        <v>189</v>
      </c>
      <c r="F14" t="s">
        <v>636</v>
      </c>
      <c r="G14">
        <v>10</v>
      </c>
      <c r="H14">
        <v>8</v>
      </c>
      <c r="I14">
        <v>268.93</v>
      </c>
      <c r="J14">
        <v>2689.3</v>
      </c>
      <c r="K14">
        <v>9.4</v>
      </c>
      <c r="L14">
        <v>430.29</v>
      </c>
      <c r="M14">
        <v>2866.8</v>
      </c>
      <c r="N14" t="s">
        <v>1189</v>
      </c>
      <c r="O14" t="s">
        <v>3424</v>
      </c>
      <c r="P14" t="s">
        <v>2398</v>
      </c>
      <c r="Q14" t="s">
        <v>2519</v>
      </c>
      <c r="R14" t="s">
        <v>3425</v>
      </c>
    </row>
    <row r="15" spans="1:19" x14ac:dyDescent="0.25">
      <c r="A15" t="s">
        <v>3469</v>
      </c>
      <c r="B15" t="s">
        <v>3470</v>
      </c>
      <c r="C15" t="s">
        <v>2957</v>
      </c>
      <c r="D15" t="s">
        <v>3471</v>
      </c>
      <c r="E15" t="s">
        <v>1416</v>
      </c>
      <c r="F15" t="s">
        <v>839</v>
      </c>
      <c r="G15">
        <v>81</v>
      </c>
      <c r="H15">
        <v>77</v>
      </c>
      <c r="I15">
        <v>322.99</v>
      </c>
      <c r="J15">
        <v>26162.19</v>
      </c>
      <c r="K15">
        <v>0.5</v>
      </c>
      <c r="L15">
        <v>4185.95</v>
      </c>
      <c r="M15">
        <v>30217.33</v>
      </c>
      <c r="N15" t="s">
        <v>1161</v>
      </c>
      <c r="O15" t="s">
        <v>3436</v>
      </c>
      <c r="P15" t="s">
        <v>2376</v>
      </c>
      <c r="Q15" t="s">
        <v>2501</v>
      </c>
      <c r="R15" t="s">
        <v>3434</v>
      </c>
    </row>
    <row r="16" spans="1:19" x14ac:dyDescent="0.25">
      <c r="A16" t="s">
        <v>3472</v>
      </c>
      <c r="B16" t="s">
        <v>3473</v>
      </c>
      <c r="C16" t="s">
        <v>3474</v>
      </c>
      <c r="D16" t="s">
        <v>3475</v>
      </c>
      <c r="E16" t="s">
        <v>128</v>
      </c>
      <c r="F16" t="s">
        <v>890</v>
      </c>
      <c r="G16">
        <v>4</v>
      </c>
      <c r="H16">
        <v>2</v>
      </c>
      <c r="I16">
        <v>291.18</v>
      </c>
      <c r="J16">
        <v>1164.72</v>
      </c>
      <c r="K16">
        <v>7.8</v>
      </c>
      <c r="L16">
        <v>186.36</v>
      </c>
      <c r="M16">
        <v>1260.23</v>
      </c>
      <c r="N16" t="s">
        <v>1178</v>
      </c>
      <c r="O16" t="s">
        <v>3424</v>
      </c>
      <c r="P16" t="s">
        <v>2376</v>
      </c>
      <c r="Q16" t="s">
        <v>2522</v>
      </c>
      <c r="R16" t="s">
        <v>3425</v>
      </c>
    </row>
    <row r="17" spans="1:19" x14ac:dyDescent="0.25">
      <c r="A17" t="s">
        <v>3476</v>
      </c>
      <c r="B17" t="s">
        <v>3477</v>
      </c>
      <c r="C17" t="s">
        <v>3478</v>
      </c>
      <c r="D17" t="s">
        <v>3479</v>
      </c>
      <c r="E17" t="s">
        <v>82</v>
      </c>
      <c r="F17" t="s">
        <v>1046</v>
      </c>
      <c r="G17">
        <v>89</v>
      </c>
      <c r="H17">
        <v>87</v>
      </c>
      <c r="I17">
        <v>472.93</v>
      </c>
      <c r="J17">
        <v>42090.77</v>
      </c>
      <c r="K17">
        <v>4</v>
      </c>
      <c r="L17">
        <v>6734.52</v>
      </c>
      <c r="M17">
        <v>47141.66</v>
      </c>
      <c r="N17" t="s">
        <v>1161</v>
      </c>
      <c r="O17" t="s">
        <v>1179</v>
      </c>
      <c r="P17" t="s">
        <v>2440</v>
      </c>
      <c r="Q17" t="s">
        <v>2564</v>
      </c>
      <c r="R17" t="s">
        <v>3437</v>
      </c>
      <c r="S17" t="s">
        <v>3443</v>
      </c>
    </row>
    <row r="18" spans="1:19" x14ac:dyDescent="0.25">
      <c r="A18" t="s">
        <v>3480</v>
      </c>
      <c r="B18" t="s">
        <v>3481</v>
      </c>
      <c r="C18" t="s">
        <v>3482</v>
      </c>
      <c r="D18" t="s">
        <v>3483</v>
      </c>
      <c r="E18" t="s">
        <v>324</v>
      </c>
      <c r="F18" t="s">
        <v>621</v>
      </c>
      <c r="G18">
        <v>25</v>
      </c>
      <c r="H18">
        <v>25</v>
      </c>
      <c r="I18">
        <v>162.54</v>
      </c>
      <c r="J18">
        <v>4063.5</v>
      </c>
      <c r="K18">
        <v>3</v>
      </c>
      <c r="L18">
        <v>650.16</v>
      </c>
      <c r="M18">
        <v>4591.76</v>
      </c>
      <c r="N18" t="s">
        <v>1161</v>
      </c>
      <c r="O18" t="s">
        <v>3436</v>
      </c>
      <c r="P18" t="s">
        <v>2416</v>
      </c>
      <c r="Q18" t="s">
        <v>2501</v>
      </c>
      <c r="R18" t="s">
        <v>3425</v>
      </c>
      <c r="S18" t="s">
        <v>3466</v>
      </c>
    </row>
    <row r="19" spans="1:19" x14ac:dyDescent="0.25">
      <c r="A19" t="s">
        <v>3484</v>
      </c>
      <c r="B19" t="s">
        <v>3375</v>
      </c>
      <c r="C19" t="s">
        <v>3485</v>
      </c>
      <c r="D19" t="s">
        <v>3486</v>
      </c>
      <c r="E19" t="s">
        <v>423</v>
      </c>
      <c r="F19" t="s">
        <v>682</v>
      </c>
      <c r="G19">
        <v>55</v>
      </c>
      <c r="H19">
        <v>51</v>
      </c>
      <c r="I19">
        <v>318.35000000000002</v>
      </c>
      <c r="J19">
        <v>17509.25</v>
      </c>
      <c r="K19">
        <v>4.0999999999999996</v>
      </c>
      <c r="L19">
        <v>2801.48</v>
      </c>
      <c r="M19">
        <v>19592.849999999999</v>
      </c>
      <c r="N19" t="s">
        <v>1189</v>
      </c>
      <c r="O19" t="s">
        <v>3428</v>
      </c>
      <c r="P19" t="s">
        <v>2407</v>
      </c>
      <c r="Q19" t="s">
        <v>2548</v>
      </c>
      <c r="R19" t="s">
        <v>2633</v>
      </c>
      <c r="S19" t="s">
        <v>3426</v>
      </c>
    </row>
    <row r="20" spans="1:19" x14ac:dyDescent="0.25">
      <c r="A20" t="s">
        <v>3487</v>
      </c>
      <c r="B20" t="s">
        <v>3488</v>
      </c>
      <c r="C20" t="s">
        <v>3489</v>
      </c>
      <c r="D20" t="s">
        <v>3490</v>
      </c>
      <c r="E20" t="s">
        <v>1403</v>
      </c>
      <c r="F20" t="s">
        <v>159</v>
      </c>
      <c r="G20">
        <v>58</v>
      </c>
      <c r="H20">
        <v>55</v>
      </c>
      <c r="I20">
        <v>125.26</v>
      </c>
      <c r="J20">
        <v>7265.08</v>
      </c>
      <c r="K20">
        <v>0.5</v>
      </c>
      <c r="L20">
        <v>1162.4100000000001</v>
      </c>
      <c r="M20">
        <v>8391.16</v>
      </c>
      <c r="N20" t="s">
        <v>1178</v>
      </c>
      <c r="O20" t="s">
        <v>3436</v>
      </c>
      <c r="P20" t="s">
        <v>2449</v>
      </c>
      <c r="Q20" t="s">
        <v>2525</v>
      </c>
      <c r="R20" t="s">
        <v>3429</v>
      </c>
    </row>
    <row r="21" spans="1:19" x14ac:dyDescent="0.25">
      <c r="A21" t="s">
        <v>3491</v>
      </c>
      <c r="B21" t="s">
        <v>1794</v>
      </c>
      <c r="C21" t="s">
        <v>3171</v>
      </c>
      <c r="D21" t="s">
        <v>2244</v>
      </c>
      <c r="E21" t="s">
        <v>435</v>
      </c>
      <c r="F21" t="s">
        <v>332</v>
      </c>
      <c r="G21">
        <v>42</v>
      </c>
      <c r="H21">
        <v>37</v>
      </c>
      <c r="I21">
        <v>243.22</v>
      </c>
      <c r="J21">
        <v>10215.24</v>
      </c>
      <c r="K21">
        <v>2.8</v>
      </c>
      <c r="L21">
        <v>1634.44</v>
      </c>
      <c r="M21">
        <v>11563.65</v>
      </c>
      <c r="N21" t="s">
        <v>1178</v>
      </c>
      <c r="O21" t="s">
        <v>1179</v>
      </c>
      <c r="P21" t="s">
        <v>2398</v>
      </c>
      <c r="Q21" t="s">
        <v>2568</v>
      </c>
      <c r="R21" t="s">
        <v>2633</v>
      </c>
    </row>
    <row r="22" spans="1:19" x14ac:dyDescent="0.25">
      <c r="A22" t="s">
        <v>3492</v>
      </c>
      <c r="B22" t="s">
        <v>2844</v>
      </c>
      <c r="C22" t="s">
        <v>3493</v>
      </c>
      <c r="D22" t="s">
        <v>3352</v>
      </c>
      <c r="E22" t="s">
        <v>195</v>
      </c>
      <c r="F22" t="s">
        <v>515</v>
      </c>
      <c r="G22">
        <v>89</v>
      </c>
      <c r="H22">
        <v>88</v>
      </c>
      <c r="I22">
        <v>54.91</v>
      </c>
      <c r="J22">
        <v>4886.99</v>
      </c>
      <c r="K22">
        <v>4.9000000000000004</v>
      </c>
      <c r="L22">
        <v>781.92</v>
      </c>
      <c r="M22">
        <v>5429.45</v>
      </c>
      <c r="N22" t="s">
        <v>1161</v>
      </c>
      <c r="O22" t="s">
        <v>3442</v>
      </c>
      <c r="P22" t="s">
        <v>2432</v>
      </c>
      <c r="Q22" t="s">
        <v>2519</v>
      </c>
      <c r="R22" t="s">
        <v>3425</v>
      </c>
    </row>
    <row r="23" spans="1:19" x14ac:dyDescent="0.25">
      <c r="A23" t="s">
        <v>3494</v>
      </c>
      <c r="B23" t="s">
        <v>3495</v>
      </c>
      <c r="C23" t="s">
        <v>3496</v>
      </c>
      <c r="D23" t="s">
        <v>3497</v>
      </c>
      <c r="E23" t="s">
        <v>482</v>
      </c>
      <c r="F23" t="s">
        <v>829</v>
      </c>
      <c r="G23">
        <v>36</v>
      </c>
      <c r="H23">
        <v>31</v>
      </c>
      <c r="I23">
        <v>372.32</v>
      </c>
      <c r="J23">
        <v>13403.52</v>
      </c>
      <c r="K23">
        <v>14.2</v>
      </c>
      <c r="L23">
        <v>2144.56</v>
      </c>
      <c r="M23">
        <v>13644.78</v>
      </c>
      <c r="N23" t="s">
        <v>1189</v>
      </c>
      <c r="O23" t="s">
        <v>3428</v>
      </c>
      <c r="P23" t="s">
        <v>2425</v>
      </c>
      <c r="Q23" t="s">
        <v>2522</v>
      </c>
      <c r="R23" t="s">
        <v>3425</v>
      </c>
    </row>
    <row r="24" spans="1:19" x14ac:dyDescent="0.25">
      <c r="A24" t="s">
        <v>3498</v>
      </c>
      <c r="B24" t="s">
        <v>3499</v>
      </c>
      <c r="C24" t="s">
        <v>2614</v>
      </c>
      <c r="D24" t="s">
        <v>2835</v>
      </c>
      <c r="E24" t="s">
        <v>136</v>
      </c>
      <c r="F24" t="s">
        <v>744</v>
      </c>
      <c r="G24">
        <v>64</v>
      </c>
      <c r="H24">
        <v>63</v>
      </c>
      <c r="I24">
        <v>71.06</v>
      </c>
      <c r="J24">
        <v>4547.84</v>
      </c>
      <c r="K24">
        <v>4.0999999999999996</v>
      </c>
      <c r="L24">
        <v>727.65</v>
      </c>
      <c r="M24">
        <v>5089.03</v>
      </c>
      <c r="N24" t="s">
        <v>1161</v>
      </c>
      <c r="O24" t="s">
        <v>1179</v>
      </c>
      <c r="P24" t="s">
        <v>2456</v>
      </c>
      <c r="Q24" t="s">
        <v>2527</v>
      </c>
      <c r="R24" t="s">
        <v>3425</v>
      </c>
    </row>
    <row r="25" spans="1:19" x14ac:dyDescent="0.25">
      <c r="A25" t="s">
        <v>3500</v>
      </c>
      <c r="B25" t="s">
        <v>2369</v>
      </c>
      <c r="C25" t="s">
        <v>3501</v>
      </c>
      <c r="D25" t="s">
        <v>2849</v>
      </c>
      <c r="E25" t="s">
        <v>162</v>
      </c>
      <c r="F25" t="s">
        <v>69</v>
      </c>
      <c r="G25">
        <v>83</v>
      </c>
      <c r="H25">
        <v>82</v>
      </c>
      <c r="I25">
        <v>402.49</v>
      </c>
      <c r="J25">
        <v>33406.67</v>
      </c>
      <c r="K25">
        <v>8.6</v>
      </c>
      <c r="L25">
        <v>5345.07</v>
      </c>
      <c r="M25">
        <v>35878.769999999997</v>
      </c>
      <c r="N25" t="s">
        <v>1189</v>
      </c>
      <c r="O25" t="s">
        <v>3442</v>
      </c>
      <c r="P25" t="s">
        <v>2449</v>
      </c>
      <c r="Q25" t="s">
        <v>2541</v>
      </c>
      <c r="R25" t="s">
        <v>3425</v>
      </c>
      <c r="S25" t="s">
        <v>3426</v>
      </c>
    </row>
    <row r="26" spans="1:19" x14ac:dyDescent="0.25">
      <c r="A26" t="s">
        <v>3502</v>
      </c>
      <c r="B26" t="s">
        <v>2988</v>
      </c>
      <c r="C26" t="s">
        <v>3395</v>
      </c>
      <c r="D26" t="s">
        <v>2879</v>
      </c>
      <c r="E26" t="s">
        <v>1410</v>
      </c>
      <c r="F26" t="s">
        <v>69</v>
      </c>
      <c r="G26">
        <v>9</v>
      </c>
      <c r="H26">
        <v>7</v>
      </c>
      <c r="I26">
        <v>261.45</v>
      </c>
      <c r="J26">
        <v>2353.0500000000002</v>
      </c>
      <c r="K26">
        <v>12.4</v>
      </c>
      <c r="L26">
        <v>376.49</v>
      </c>
      <c r="M26">
        <v>2437.7600000000002</v>
      </c>
      <c r="N26" t="s">
        <v>1178</v>
      </c>
      <c r="O26" t="s">
        <v>3428</v>
      </c>
      <c r="P26" t="s">
        <v>2388</v>
      </c>
      <c r="Q26" t="s">
        <v>2544</v>
      </c>
      <c r="R26" t="s">
        <v>2633</v>
      </c>
      <c r="S26" t="s">
        <v>3466</v>
      </c>
    </row>
    <row r="27" spans="1:19" x14ac:dyDescent="0.25">
      <c r="A27" t="s">
        <v>3503</v>
      </c>
      <c r="B27" t="s">
        <v>2102</v>
      </c>
      <c r="C27" t="s">
        <v>3504</v>
      </c>
      <c r="D27" t="s">
        <v>3505</v>
      </c>
      <c r="E27" t="s">
        <v>387</v>
      </c>
      <c r="F27" t="s">
        <v>131</v>
      </c>
      <c r="G27">
        <v>51</v>
      </c>
      <c r="H27">
        <v>49</v>
      </c>
      <c r="I27">
        <v>184.3</v>
      </c>
      <c r="J27">
        <v>9399.2999999999993</v>
      </c>
      <c r="K27">
        <v>14.8</v>
      </c>
      <c r="L27">
        <v>1503.89</v>
      </c>
      <c r="M27">
        <v>9512.09</v>
      </c>
      <c r="N27" t="s">
        <v>1161</v>
      </c>
      <c r="O27" t="s">
        <v>3442</v>
      </c>
      <c r="P27" t="s">
        <v>2376</v>
      </c>
      <c r="Q27" t="s">
        <v>2512</v>
      </c>
      <c r="R27" t="s">
        <v>3425</v>
      </c>
    </row>
    <row r="28" spans="1:19" x14ac:dyDescent="0.25">
      <c r="A28" t="s">
        <v>3506</v>
      </c>
      <c r="B28" t="s">
        <v>3507</v>
      </c>
      <c r="C28" t="s">
        <v>2863</v>
      </c>
      <c r="D28" t="s">
        <v>3508</v>
      </c>
      <c r="E28" t="s">
        <v>654</v>
      </c>
      <c r="F28" t="s">
        <v>221</v>
      </c>
      <c r="G28">
        <v>42</v>
      </c>
      <c r="H28">
        <v>41</v>
      </c>
      <c r="I28">
        <v>437.62</v>
      </c>
      <c r="J28">
        <v>18380.04</v>
      </c>
      <c r="K28">
        <v>10.9</v>
      </c>
      <c r="L28">
        <v>2940.81</v>
      </c>
      <c r="M28">
        <v>19317.43</v>
      </c>
      <c r="N28" t="s">
        <v>1178</v>
      </c>
      <c r="O28" t="s">
        <v>3436</v>
      </c>
      <c r="P28" t="s">
        <v>2376</v>
      </c>
      <c r="Q28" t="s">
        <v>2561</v>
      </c>
      <c r="R28" t="s">
        <v>3425</v>
      </c>
      <c r="S28" t="s">
        <v>3509</v>
      </c>
    </row>
    <row r="29" spans="1:19" x14ac:dyDescent="0.25">
      <c r="A29" t="s">
        <v>3510</v>
      </c>
      <c r="B29" t="s">
        <v>3007</v>
      </c>
      <c r="C29" t="s">
        <v>3511</v>
      </c>
      <c r="D29" t="s">
        <v>3512</v>
      </c>
      <c r="E29" t="s">
        <v>303</v>
      </c>
      <c r="F29" t="s">
        <v>234</v>
      </c>
      <c r="G29">
        <v>7</v>
      </c>
      <c r="H29">
        <v>5</v>
      </c>
      <c r="I29">
        <v>476.22</v>
      </c>
      <c r="J29">
        <v>3333.54</v>
      </c>
      <c r="K29">
        <v>1.1000000000000001</v>
      </c>
      <c r="L29">
        <v>533.37</v>
      </c>
      <c r="M29">
        <v>3830.24</v>
      </c>
      <c r="N29" t="s">
        <v>1178</v>
      </c>
      <c r="O29" t="s">
        <v>3424</v>
      </c>
      <c r="P29" t="s">
        <v>2456</v>
      </c>
      <c r="Q29" t="s">
        <v>2535</v>
      </c>
      <c r="R29" t="s">
        <v>3425</v>
      </c>
    </row>
    <row r="30" spans="1:19" x14ac:dyDescent="0.25">
      <c r="A30" t="s">
        <v>3513</v>
      </c>
      <c r="B30" t="s">
        <v>2896</v>
      </c>
      <c r="C30" t="s">
        <v>3514</v>
      </c>
      <c r="D30" t="s">
        <v>3189</v>
      </c>
      <c r="E30" t="s">
        <v>847</v>
      </c>
      <c r="F30" t="s">
        <v>284</v>
      </c>
      <c r="G30">
        <v>97</v>
      </c>
      <c r="H30">
        <v>92</v>
      </c>
      <c r="I30">
        <v>312.86</v>
      </c>
      <c r="J30">
        <v>30347.42</v>
      </c>
      <c r="K30">
        <v>12.8</v>
      </c>
      <c r="L30">
        <v>4855.59</v>
      </c>
      <c r="M30">
        <v>31318.54</v>
      </c>
      <c r="N30" t="s">
        <v>1178</v>
      </c>
      <c r="O30" t="s">
        <v>3436</v>
      </c>
      <c r="P30" t="s">
        <v>2449</v>
      </c>
      <c r="Q30" t="s">
        <v>2512</v>
      </c>
      <c r="R30" t="s">
        <v>3437</v>
      </c>
      <c r="S30" t="s">
        <v>3466</v>
      </c>
    </row>
    <row r="31" spans="1:19" x14ac:dyDescent="0.25">
      <c r="A31" t="s">
        <v>3515</v>
      </c>
      <c r="B31" t="s">
        <v>3313</v>
      </c>
      <c r="C31" t="s">
        <v>2848</v>
      </c>
      <c r="D31" t="s">
        <v>3516</v>
      </c>
      <c r="E31" t="s">
        <v>1018</v>
      </c>
      <c r="F31" t="s">
        <v>520</v>
      </c>
      <c r="G31">
        <v>99</v>
      </c>
      <c r="H31">
        <v>99</v>
      </c>
      <c r="I31">
        <v>378.89</v>
      </c>
      <c r="J31">
        <v>37510.11</v>
      </c>
      <c r="K31">
        <v>3.4</v>
      </c>
      <c r="L31">
        <v>6001.62</v>
      </c>
      <c r="M31">
        <v>42236.39</v>
      </c>
      <c r="N31" t="s">
        <v>1178</v>
      </c>
      <c r="O31" t="s">
        <v>3436</v>
      </c>
      <c r="P31" t="s">
        <v>2407</v>
      </c>
      <c r="Q31" t="s">
        <v>2558</v>
      </c>
      <c r="R31" t="s">
        <v>3425</v>
      </c>
    </row>
    <row r="32" spans="1:19" x14ac:dyDescent="0.25">
      <c r="A32" t="s">
        <v>3517</v>
      </c>
      <c r="B32" t="s">
        <v>3518</v>
      </c>
      <c r="C32" t="s">
        <v>3519</v>
      </c>
      <c r="D32" t="s">
        <v>3477</v>
      </c>
      <c r="E32" t="s">
        <v>156</v>
      </c>
      <c r="F32" t="s">
        <v>744</v>
      </c>
      <c r="G32">
        <v>8</v>
      </c>
      <c r="H32">
        <v>5</v>
      </c>
      <c r="I32">
        <v>145.61000000000001</v>
      </c>
      <c r="J32">
        <v>1164.8800000000001</v>
      </c>
      <c r="K32">
        <v>10.1</v>
      </c>
      <c r="L32">
        <v>186.38</v>
      </c>
      <c r="M32">
        <v>1233.6099999999999</v>
      </c>
      <c r="N32" t="s">
        <v>1178</v>
      </c>
      <c r="O32" t="s">
        <v>1179</v>
      </c>
      <c r="P32" t="s">
        <v>2407</v>
      </c>
      <c r="Q32" t="s">
        <v>2548</v>
      </c>
      <c r="R32" t="s">
        <v>2633</v>
      </c>
      <c r="S32" t="s">
        <v>3509</v>
      </c>
    </row>
    <row r="33" spans="1:19" x14ac:dyDescent="0.25">
      <c r="A33" t="s">
        <v>3520</v>
      </c>
      <c r="B33" t="s">
        <v>2277</v>
      </c>
      <c r="C33" t="s">
        <v>3132</v>
      </c>
      <c r="D33" t="s">
        <v>3108</v>
      </c>
      <c r="E33" t="s">
        <v>1435</v>
      </c>
      <c r="F33" t="s">
        <v>693</v>
      </c>
      <c r="G33">
        <v>84</v>
      </c>
      <c r="H33">
        <v>81</v>
      </c>
      <c r="I33">
        <v>119.3</v>
      </c>
      <c r="J33">
        <v>10021.200000000001</v>
      </c>
      <c r="K33">
        <v>7.6</v>
      </c>
      <c r="L33">
        <v>1603.39</v>
      </c>
      <c r="M33">
        <v>10862.98</v>
      </c>
      <c r="N33" t="s">
        <v>1189</v>
      </c>
      <c r="O33" t="s">
        <v>3436</v>
      </c>
      <c r="P33" t="s">
        <v>2449</v>
      </c>
      <c r="Q33" t="s">
        <v>2506</v>
      </c>
      <c r="R33" t="s">
        <v>3429</v>
      </c>
    </row>
    <row r="34" spans="1:19" x14ac:dyDescent="0.25">
      <c r="A34" t="s">
        <v>3521</v>
      </c>
      <c r="B34" t="s">
        <v>3440</v>
      </c>
      <c r="C34" t="s">
        <v>3522</v>
      </c>
      <c r="D34" t="s">
        <v>3523</v>
      </c>
      <c r="E34" t="s">
        <v>156</v>
      </c>
      <c r="F34" t="s">
        <v>463</v>
      </c>
      <c r="G34">
        <v>55</v>
      </c>
      <c r="H34">
        <v>54</v>
      </c>
      <c r="I34">
        <v>123.89</v>
      </c>
      <c r="J34">
        <v>6813.95</v>
      </c>
      <c r="K34">
        <v>4.5999999999999996</v>
      </c>
      <c r="L34">
        <v>1090.23</v>
      </c>
      <c r="M34">
        <v>7590.74</v>
      </c>
      <c r="N34" t="s">
        <v>1189</v>
      </c>
      <c r="O34" t="s">
        <v>3442</v>
      </c>
      <c r="P34" t="s">
        <v>2388</v>
      </c>
      <c r="Q34" t="s">
        <v>2512</v>
      </c>
      <c r="R34" t="s">
        <v>3425</v>
      </c>
      <c r="S34" t="s">
        <v>3466</v>
      </c>
    </row>
    <row r="35" spans="1:19" x14ac:dyDescent="0.25">
      <c r="A35" t="s">
        <v>3524</v>
      </c>
      <c r="B35" t="s">
        <v>3525</v>
      </c>
      <c r="C35" t="s">
        <v>3511</v>
      </c>
      <c r="D35" t="s">
        <v>3089</v>
      </c>
      <c r="E35" t="s">
        <v>376</v>
      </c>
      <c r="F35" t="s">
        <v>448</v>
      </c>
      <c r="G35">
        <v>4</v>
      </c>
      <c r="H35">
        <v>0</v>
      </c>
      <c r="I35">
        <v>264.31</v>
      </c>
      <c r="J35">
        <v>1057.24</v>
      </c>
      <c r="K35">
        <v>8</v>
      </c>
      <c r="L35">
        <v>169.16</v>
      </c>
      <c r="M35">
        <v>1141.82</v>
      </c>
      <c r="N35" t="s">
        <v>1178</v>
      </c>
      <c r="O35" t="s">
        <v>1179</v>
      </c>
      <c r="P35" t="s">
        <v>2432</v>
      </c>
      <c r="Q35" t="s">
        <v>2506</v>
      </c>
      <c r="R35" t="s">
        <v>3425</v>
      </c>
      <c r="S35" t="s">
        <v>3443</v>
      </c>
    </row>
    <row r="36" spans="1:19" x14ac:dyDescent="0.25">
      <c r="A36" t="s">
        <v>3526</v>
      </c>
      <c r="B36" t="s">
        <v>2871</v>
      </c>
      <c r="C36" t="s">
        <v>2599</v>
      </c>
      <c r="D36" t="s">
        <v>3471</v>
      </c>
      <c r="E36" t="s">
        <v>324</v>
      </c>
      <c r="F36" t="s">
        <v>662</v>
      </c>
      <c r="G36">
        <v>66</v>
      </c>
      <c r="H36">
        <v>61</v>
      </c>
      <c r="I36">
        <v>200.18</v>
      </c>
      <c r="J36">
        <v>13211.88</v>
      </c>
      <c r="K36">
        <v>6.6</v>
      </c>
      <c r="L36">
        <v>2113.9</v>
      </c>
      <c r="M36">
        <v>14453.8</v>
      </c>
      <c r="N36" t="s">
        <v>1189</v>
      </c>
      <c r="O36" t="s">
        <v>3428</v>
      </c>
      <c r="P36" t="s">
        <v>2407</v>
      </c>
      <c r="Q36" t="s">
        <v>2519</v>
      </c>
      <c r="R36" t="s">
        <v>3425</v>
      </c>
      <c r="S36" t="s">
        <v>3443</v>
      </c>
    </row>
    <row r="37" spans="1:19" x14ac:dyDescent="0.25">
      <c r="A37" t="s">
        <v>3527</v>
      </c>
      <c r="B37" t="s">
        <v>3528</v>
      </c>
      <c r="C37" t="s">
        <v>3316</v>
      </c>
      <c r="D37" t="s">
        <v>3164</v>
      </c>
      <c r="E37" t="s">
        <v>376</v>
      </c>
      <c r="F37" t="s">
        <v>875</v>
      </c>
      <c r="G37">
        <v>36</v>
      </c>
      <c r="H37">
        <v>36</v>
      </c>
      <c r="I37">
        <v>288.3</v>
      </c>
      <c r="J37">
        <v>10378.799999999999</v>
      </c>
      <c r="K37">
        <v>7.4</v>
      </c>
      <c r="L37">
        <v>1660.61</v>
      </c>
      <c r="M37">
        <v>11271.38</v>
      </c>
      <c r="N37" t="s">
        <v>1178</v>
      </c>
      <c r="O37" t="s">
        <v>3442</v>
      </c>
      <c r="P37" t="s">
        <v>2407</v>
      </c>
      <c r="Q37" t="s">
        <v>2491</v>
      </c>
      <c r="R37" t="s">
        <v>3425</v>
      </c>
    </row>
    <row r="38" spans="1:19" x14ac:dyDescent="0.25">
      <c r="A38" t="s">
        <v>3529</v>
      </c>
      <c r="B38" t="s">
        <v>3507</v>
      </c>
      <c r="C38" t="s">
        <v>3530</v>
      </c>
      <c r="D38" t="s">
        <v>3531</v>
      </c>
      <c r="E38" t="s">
        <v>57</v>
      </c>
      <c r="F38" t="s">
        <v>448</v>
      </c>
      <c r="G38">
        <v>31</v>
      </c>
      <c r="H38">
        <v>26</v>
      </c>
      <c r="I38">
        <v>79.63</v>
      </c>
      <c r="J38">
        <v>2468.5300000000002</v>
      </c>
      <c r="K38">
        <v>1.5</v>
      </c>
      <c r="L38">
        <v>394.96</v>
      </c>
      <c r="M38">
        <v>2826.46</v>
      </c>
      <c r="N38" t="s">
        <v>1189</v>
      </c>
      <c r="O38" t="s">
        <v>3428</v>
      </c>
      <c r="P38" t="s">
        <v>2432</v>
      </c>
      <c r="Q38" t="s">
        <v>2491</v>
      </c>
      <c r="R38" t="s">
        <v>3425</v>
      </c>
      <c r="S38" t="s">
        <v>3509</v>
      </c>
    </row>
    <row r="39" spans="1:19" x14ac:dyDescent="0.25">
      <c r="A39" t="s">
        <v>3532</v>
      </c>
      <c r="B39" t="s">
        <v>3533</v>
      </c>
      <c r="C39" t="s">
        <v>3239</v>
      </c>
      <c r="D39" t="s">
        <v>2717</v>
      </c>
      <c r="E39" t="s">
        <v>212</v>
      </c>
      <c r="F39" t="s">
        <v>363</v>
      </c>
      <c r="G39">
        <v>22</v>
      </c>
      <c r="H39">
        <v>17</v>
      </c>
      <c r="I39">
        <v>403.58</v>
      </c>
      <c r="J39">
        <v>8878.76</v>
      </c>
      <c r="K39">
        <v>5.2</v>
      </c>
      <c r="L39">
        <v>1420.6</v>
      </c>
      <c r="M39">
        <v>9837.66</v>
      </c>
      <c r="N39" t="s">
        <v>1178</v>
      </c>
      <c r="O39" t="s">
        <v>3442</v>
      </c>
      <c r="P39" t="s">
        <v>2398</v>
      </c>
      <c r="Q39" t="s">
        <v>2541</v>
      </c>
      <c r="R39" t="s">
        <v>3437</v>
      </c>
      <c r="S39" t="s">
        <v>3509</v>
      </c>
    </row>
    <row r="40" spans="1:19" x14ac:dyDescent="0.25">
      <c r="A40" t="s">
        <v>3534</v>
      </c>
      <c r="B40" t="s">
        <v>2946</v>
      </c>
      <c r="C40" t="s">
        <v>2772</v>
      </c>
      <c r="D40" t="s">
        <v>3295</v>
      </c>
      <c r="E40" t="s">
        <v>1429</v>
      </c>
      <c r="F40" t="s">
        <v>410</v>
      </c>
      <c r="G40">
        <v>22</v>
      </c>
      <c r="H40">
        <v>21</v>
      </c>
      <c r="I40">
        <v>191.8</v>
      </c>
      <c r="J40">
        <v>4219.6000000000004</v>
      </c>
      <c r="K40">
        <v>1</v>
      </c>
      <c r="L40">
        <v>675.14</v>
      </c>
      <c r="M40">
        <v>4852.54</v>
      </c>
      <c r="N40" t="s">
        <v>1178</v>
      </c>
      <c r="O40" t="s">
        <v>3428</v>
      </c>
      <c r="P40" t="s">
        <v>2432</v>
      </c>
      <c r="Q40" t="s">
        <v>2522</v>
      </c>
      <c r="R40" t="s">
        <v>3425</v>
      </c>
    </row>
    <row r="41" spans="1:19" x14ac:dyDescent="0.25">
      <c r="A41" t="s">
        <v>3535</v>
      </c>
      <c r="B41" t="s">
        <v>3536</v>
      </c>
      <c r="C41" t="s">
        <v>3537</v>
      </c>
      <c r="D41" t="s">
        <v>3538</v>
      </c>
      <c r="E41" t="s">
        <v>731</v>
      </c>
      <c r="F41" t="s">
        <v>180</v>
      </c>
      <c r="G41">
        <v>22</v>
      </c>
      <c r="H41">
        <v>18</v>
      </c>
      <c r="I41">
        <v>355.64</v>
      </c>
      <c r="J41">
        <v>7824.08</v>
      </c>
      <c r="K41">
        <v>12.8</v>
      </c>
      <c r="L41">
        <v>1251.8499999999999</v>
      </c>
      <c r="M41">
        <v>8074.45</v>
      </c>
      <c r="N41" t="s">
        <v>1178</v>
      </c>
      <c r="O41" t="s">
        <v>3428</v>
      </c>
      <c r="P41" t="s">
        <v>2407</v>
      </c>
      <c r="Q41" t="s">
        <v>2538</v>
      </c>
      <c r="R41" t="s">
        <v>3425</v>
      </c>
    </row>
    <row r="42" spans="1:19" x14ac:dyDescent="0.25">
      <c r="A42" t="s">
        <v>3539</v>
      </c>
      <c r="B42" t="s">
        <v>3540</v>
      </c>
      <c r="C42" t="s">
        <v>3541</v>
      </c>
      <c r="D42" t="s">
        <v>3504</v>
      </c>
      <c r="E42" t="s">
        <v>189</v>
      </c>
      <c r="F42" t="s">
        <v>839</v>
      </c>
      <c r="G42">
        <v>88</v>
      </c>
      <c r="H42">
        <v>87</v>
      </c>
      <c r="I42">
        <v>495.69</v>
      </c>
      <c r="J42">
        <v>43620.72</v>
      </c>
      <c r="K42">
        <v>12.5</v>
      </c>
      <c r="L42">
        <v>6979.32</v>
      </c>
      <c r="M42">
        <v>45147.45</v>
      </c>
      <c r="N42" t="s">
        <v>1178</v>
      </c>
      <c r="O42" t="s">
        <v>3442</v>
      </c>
      <c r="P42" t="s">
        <v>2416</v>
      </c>
      <c r="Q42" t="s">
        <v>2564</v>
      </c>
      <c r="R42" t="s">
        <v>2633</v>
      </c>
      <c r="S42" t="s">
        <v>3466</v>
      </c>
    </row>
    <row r="43" spans="1:19" x14ac:dyDescent="0.25">
      <c r="A43" t="s">
        <v>3542</v>
      </c>
      <c r="B43" t="s">
        <v>3352</v>
      </c>
      <c r="C43" t="s">
        <v>3543</v>
      </c>
      <c r="D43" t="s">
        <v>3488</v>
      </c>
      <c r="E43" t="s">
        <v>212</v>
      </c>
      <c r="F43" t="s">
        <v>1056</v>
      </c>
      <c r="G43">
        <v>45</v>
      </c>
      <c r="H43">
        <v>42</v>
      </c>
      <c r="I43">
        <v>495.41</v>
      </c>
      <c r="J43">
        <v>22293.45</v>
      </c>
      <c r="K43">
        <v>3.9</v>
      </c>
      <c r="L43">
        <v>3566.95</v>
      </c>
      <c r="M43">
        <v>24990.959999999999</v>
      </c>
      <c r="N43" t="s">
        <v>1178</v>
      </c>
      <c r="O43" t="s">
        <v>1179</v>
      </c>
      <c r="P43" t="s">
        <v>2416</v>
      </c>
      <c r="Q43" t="s">
        <v>2561</v>
      </c>
      <c r="R43" t="s">
        <v>2633</v>
      </c>
      <c r="S43" t="s">
        <v>3466</v>
      </c>
    </row>
    <row r="44" spans="1:19" x14ac:dyDescent="0.25">
      <c r="A44" t="s">
        <v>3544</v>
      </c>
      <c r="B44" t="s">
        <v>3545</v>
      </c>
      <c r="C44" t="s">
        <v>3546</v>
      </c>
      <c r="D44" t="s">
        <v>3127</v>
      </c>
      <c r="E44" t="s">
        <v>435</v>
      </c>
      <c r="F44" t="s">
        <v>453</v>
      </c>
      <c r="G44">
        <v>88</v>
      </c>
      <c r="H44">
        <v>83</v>
      </c>
      <c r="I44">
        <v>283.69</v>
      </c>
      <c r="J44">
        <v>24964.720000000001</v>
      </c>
      <c r="K44">
        <v>9.6</v>
      </c>
      <c r="L44">
        <v>3994.36</v>
      </c>
      <c r="M44">
        <v>26562.47</v>
      </c>
      <c r="N44" t="s">
        <v>1178</v>
      </c>
      <c r="O44" t="s">
        <v>1179</v>
      </c>
      <c r="P44" t="s">
        <v>2440</v>
      </c>
      <c r="Q44" t="s">
        <v>2475</v>
      </c>
      <c r="R44" t="s">
        <v>3425</v>
      </c>
      <c r="S44" t="s">
        <v>3443</v>
      </c>
    </row>
    <row r="45" spans="1:19" x14ac:dyDescent="0.25">
      <c r="A45" t="s">
        <v>3547</v>
      </c>
      <c r="B45" t="s">
        <v>2655</v>
      </c>
      <c r="C45" t="s">
        <v>2985</v>
      </c>
      <c r="D45" t="s">
        <v>2900</v>
      </c>
      <c r="E45" t="s">
        <v>558</v>
      </c>
      <c r="F45" t="s">
        <v>363</v>
      </c>
      <c r="G45">
        <v>96</v>
      </c>
      <c r="H45">
        <v>94</v>
      </c>
      <c r="I45">
        <v>90.17</v>
      </c>
      <c r="J45">
        <v>8656.32</v>
      </c>
      <c r="K45">
        <v>13.8</v>
      </c>
      <c r="L45">
        <v>1385.01</v>
      </c>
      <c r="M45">
        <v>8846.76</v>
      </c>
      <c r="N45" t="s">
        <v>1161</v>
      </c>
      <c r="O45" t="s">
        <v>3428</v>
      </c>
      <c r="P45" t="s">
        <v>2449</v>
      </c>
      <c r="Q45" t="s">
        <v>2501</v>
      </c>
      <c r="R45" t="s">
        <v>3434</v>
      </c>
      <c r="S45" t="s">
        <v>3426</v>
      </c>
    </row>
    <row r="46" spans="1:19" x14ac:dyDescent="0.25">
      <c r="A46" t="s">
        <v>3548</v>
      </c>
      <c r="B46" t="s">
        <v>3549</v>
      </c>
      <c r="C46" t="s">
        <v>2801</v>
      </c>
      <c r="D46" t="s">
        <v>3018</v>
      </c>
      <c r="E46" t="s">
        <v>245</v>
      </c>
      <c r="F46" t="s">
        <v>611</v>
      </c>
      <c r="G46">
        <v>76</v>
      </c>
      <c r="H46">
        <v>72</v>
      </c>
      <c r="I46">
        <v>237.78</v>
      </c>
      <c r="J46">
        <v>18071.28</v>
      </c>
      <c r="K46">
        <v>14.9</v>
      </c>
      <c r="L46">
        <v>2891.4</v>
      </c>
      <c r="M46">
        <v>18270.060000000001</v>
      </c>
      <c r="N46" t="s">
        <v>1161</v>
      </c>
      <c r="O46" t="s">
        <v>1179</v>
      </c>
      <c r="P46" t="s">
        <v>2456</v>
      </c>
      <c r="Q46" t="s">
        <v>2491</v>
      </c>
      <c r="R46" t="s">
        <v>3429</v>
      </c>
      <c r="S46" t="s">
        <v>3466</v>
      </c>
    </row>
    <row r="47" spans="1:19" x14ac:dyDescent="0.25">
      <c r="A47" t="s">
        <v>3550</v>
      </c>
      <c r="B47" t="s">
        <v>3551</v>
      </c>
      <c r="C47" t="s">
        <v>3552</v>
      </c>
      <c r="D47" t="s">
        <v>3553</v>
      </c>
      <c r="E47" t="s">
        <v>57</v>
      </c>
      <c r="F47" t="s">
        <v>550</v>
      </c>
      <c r="G47">
        <v>37</v>
      </c>
      <c r="H47">
        <v>32</v>
      </c>
      <c r="I47">
        <v>99.59</v>
      </c>
      <c r="J47">
        <v>3684.83</v>
      </c>
      <c r="K47">
        <v>0.1</v>
      </c>
      <c r="L47">
        <v>589.57000000000005</v>
      </c>
      <c r="M47">
        <v>4270.72</v>
      </c>
      <c r="N47" t="s">
        <v>1178</v>
      </c>
      <c r="O47" t="s">
        <v>3436</v>
      </c>
      <c r="P47" t="s">
        <v>2416</v>
      </c>
      <c r="Q47" t="s">
        <v>2551</v>
      </c>
      <c r="R47" t="s">
        <v>3425</v>
      </c>
      <c r="S47" t="s">
        <v>3509</v>
      </c>
    </row>
    <row r="48" spans="1:19" x14ac:dyDescent="0.25">
      <c r="A48" t="s">
        <v>3554</v>
      </c>
      <c r="B48" t="s">
        <v>3555</v>
      </c>
      <c r="C48" t="s">
        <v>2641</v>
      </c>
      <c r="D48" t="s">
        <v>3556</v>
      </c>
      <c r="E48" t="s">
        <v>212</v>
      </c>
      <c r="F48" t="s">
        <v>473</v>
      </c>
      <c r="G48">
        <v>9</v>
      </c>
      <c r="H48">
        <v>5</v>
      </c>
      <c r="I48">
        <v>409.9</v>
      </c>
      <c r="J48">
        <v>3689.1</v>
      </c>
      <c r="K48">
        <v>0.2</v>
      </c>
      <c r="L48">
        <v>590.26</v>
      </c>
      <c r="M48">
        <v>4271.9799999999996</v>
      </c>
      <c r="N48" t="s">
        <v>1178</v>
      </c>
      <c r="O48" t="s">
        <v>3442</v>
      </c>
      <c r="P48" t="s">
        <v>2440</v>
      </c>
      <c r="Q48" t="s">
        <v>2519</v>
      </c>
      <c r="R48" t="s">
        <v>3425</v>
      </c>
      <c r="S48" t="s">
        <v>3443</v>
      </c>
    </row>
    <row r="49" spans="1:19" x14ac:dyDescent="0.25">
      <c r="A49" t="s">
        <v>3557</v>
      </c>
      <c r="B49" t="s">
        <v>3096</v>
      </c>
      <c r="C49" t="s">
        <v>3558</v>
      </c>
      <c r="D49" t="s">
        <v>3486</v>
      </c>
      <c r="E49" t="s">
        <v>177</v>
      </c>
      <c r="F49" t="s">
        <v>960</v>
      </c>
      <c r="G49">
        <v>1</v>
      </c>
      <c r="H49">
        <v>0</v>
      </c>
      <c r="I49">
        <v>72.459999999999994</v>
      </c>
      <c r="J49">
        <v>72.459999999999994</v>
      </c>
      <c r="K49">
        <v>2.1</v>
      </c>
      <c r="L49">
        <v>11.59</v>
      </c>
      <c r="M49">
        <v>82.53</v>
      </c>
      <c r="N49" t="s">
        <v>1178</v>
      </c>
      <c r="O49" t="s">
        <v>3442</v>
      </c>
      <c r="P49" t="s">
        <v>2416</v>
      </c>
      <c r="Q49" t="s">
        <v>2495</v>
      </c>
      <c r="R49" t="s">
        <v>3425</v>
      </c>
      <c r="S49" t="s">
        <v>3443</v>
      </c>
    </row>
    <row r="50" spans="1:19" x14ac:dyDescent="0.25">
      <c r="A50" t="s">
        <v>3559</v>
      </c>
      <c r="B50" t="s">
        <v>3512</v>
      </c>
      <c r="C50" t="s">
        <v>3368</v>
      </c>
      <c r="D50" t="s">
        <v>2737</v>
      </c>
      <c r="E50" t="s">
        <v>32</v>
      </c>
      <c r="F50" t="s">
        <v>186</v>
      </c>
      <c r="G50">
        <v>38</v>
      </c>
      <c r="H50">
        <v>33</v>
      </c>
      <c r="I50">
        <v>148.49</v>
      </c>
      <c r="J50">
        <v>5642.62</v>
      </c>
      <c r="K50">
        <v>7.1</v>
      </c>
      <c r="L50">
        <v>902.82</v>
      </c>
      <c r="M50">
        <v>6144.81</v>
      </c>
      <c r="N50" t="s">
        <v>1189</v>
      </c>
      <c r="O50" t="s">
        <v>3428</v>
      </c>
      <c r="P50" t="s">
        <v>2432</v>
      </c>
      <c r="Q50" t="s">
        <v>2491</v>
      </c>
      <c r="R50" t="s">
        <v>3434</v>
      </c>
      <c r="S50" t="s">
        <v>3509</v>
      </c>
    </row>
    <row r="51" spans="1:19" x14ac:dyDescent="0.25">
      <c r="A51" t="s">
        <v>3560</v>
      </c>
      <c r="B51" t="s">
        <v>2884</v>
      </c>
      <c r="C51" t="s">
        <v>3406</v>
      </c>
      <c r="D51" t="s">
        <v>2609</v>
      </c>
      <c r="E51" t="s">
        <v>66</v>
      </c>
      <c r="F51" t="s">
        <v>505</v>
      </c>
      <c r="G51">
        <v>23</v>
      </c>
      <c r="H51">
        <v>18</v>
      </c>
      <c r="I51">
        <v>303.76</v>
      </c>
      <c r="J51">
        <v>6986.48</v>
      </c>
      <c r="K51">
        <v>10.199999999999999</v>
      </c>
      <c r="L51">
        <v>1117.8399999999999</v>
      </c>
      <c r="M51">
        <v>7391.7</v>
      </c>
      <c r="N51" t="s">
        <v>1178</v>
      </c>
      <c r="O51" t="s">
        <v>1179</v>
      </c>
      <c r="P51" t="s">
        <v>2398</v>
      </c>
      <c r="Q51" t="s">
        <v>2531</v>
      </c>
      <c r="R51" t="s">
        <v>3425</v>
      </c>
      <c r="S51" t="s">
        <v>3509</v>
      </c>
    </row>
    <row r="52" spans="1:19" x14ac:dyDescent="0.25">
      <c r="A52" t="s">
        <v>3561</v>
      </c>
      <c r="B52" t="s">
        <v>3562</v>
      </c>
      <c r="C52" t="s">
        <v>3541</v>
      </c>
      <c r="D52" t="s">
        <v>3563</v>
      </c>
      <c r="E52" t="s">
        <v>476</v>
      </c>
      <c r="F52" t="s">
        <v>192</v>
      </c>
      <c r="G52">
        <v>39</v>
      </c>
      <c r="H52">
        <v>36</v>
      </c>
      <c r="I52">
        <v>305</v>
      </c>
      <c r="J52">
        <v>11895</v>
      </c>
      <c r="K52">
        <v>9.4</v>
      </c>
      <c r="L52">
        <v>1903.2</v>
      </c>
      <c r="M52">
        <v>12680.07</v>
      </c>
      <c r="N52" t="s">
        <v>1178</v>
      </c>
      <c r="O52" t="s">
        <v>3424</v>
      </c>
      <c r="P52" t="s">
        <v>2449</v>
      </c>
      <c r="Q52" t="s">
        <v>2535</v>
      </c>
      <c r="R52" t="s">
        <v>2633</v>
      </c>
      <c r="S52" t="s">
        <v>3426</v>
      </c>
    </row>
    <row r="53" spans="1:19" x14ac:dyDescent="0.25">
      <c r="A53" t="s">
        <v>3564</v>
      </c>
      <c r="B53" t="s">
        <v>2918</v>
      </c>
      <c r="C53" t="s">
        <v>2844</v>
      </c>
      <c r="D53" t="s">
        <v>3565</v>
      </c>
      <c r="E53" t="s">
        <v>340</v>
      </c>
      <c r="F53" t="s">
        <v>561</v>
      </c>
      <c r="G53">
        <v>55</v>
      </c>
      <c r="H53">
        <v>55</v>
      </c>
      <c r="I53">
        <v>259.95</v>
      </c>
      <c r="J53">
        <v>14297.25</v>
      </c>
      <c r="K53">
        <v>14.4</v>
      </c>
      <c r="L53">
        <v>2287.56</v>
      </c>
      <c r="M53">
        <v>14526.01</v>
      </c>
      <c r="N53" t="s">
        <v>1189</v>
      </c>
      <c r="O53" t="s">
        <v>3442</v>
      </c>
      <c r="P53" t="s">
        <v>2398</v>
      </c>
      <c r="Q53" t="s">
        <v>2551</v>
      </c>
      <c r="R53" t="s">
        <v>3434</v>
      </c>
    </row>
    <row r="54" spans="1:19" x14ac:dyDescent="0.25">
      <c r="A54" t="s">
        <v>3566</v>
      </c>
      <c r="B54" t="s">
        <v>3567</v>
      </c>
      <c r="C54" t="s">
        <v>3568</v>
      </c>
      <c r="D54" t="s">
        <v>3563</v>
      </c>
      <c r="E54" t="s">
        <v>32</v>
      </c>
      <c r="F54" t="s">
        <v>769</v>
      </c>
      <c r="G54">
        <v>48</v>
      </c>
      <c r="H54">
        <v>45</v>
      </c>
      <c r="I54">
        <v>107.27</v>
      </c>
      <c r="J54">
        <v>5148.96</v>
      </c>
      <c r="K54">
        <v>8.1</v>
      </c>
      <c r="L54">
        <v>823.83</v>
      </c>
      <c r="M54">
        <v>5555.72</v>
      </c>
      <c r="N54" t="s">
        <v>1178</v>
      </c>
      <c r="O54" t="s">
        <v>3428</v>
      </c>
      <c r="P54" t="s">
        <v>2376</v>
      </c>
      <c r="Q54" t="s">
        <v>2535</v>
      </c>
      <c r="R54" t="s">
        <v>3437</v>
      </c>
    </row>
    <row r="55" spans="1:19" x14ac:dyDescent="0.25">
      <c r="A55" t="s">
        <v>3569</v>
      </c>
      <c r="B55" t="s">
        <v>3118</v>
      </c>
      <c r="C55" t="s">
        <v>3294</v>
      </c>
      <c r="D55" t="s">
        <v>3082</v>
      </c>
      <c r="E55" t="s">
        <v>82</v>
      </c>
      <c r="F55" t="s">
        <v>146</v>
      </c>
      <c r="G55">
        <v>35</v>
      </c>
      <c r="H55">
        <v>33</v>
      </c>
      <c r="I55">
        <v>423.45</v>
      </c>
      <c r="J55">
        <v>14820.75</v>
      </c>
      <c r="K55">
        <v>9.6999999999999993</v>
      </c>
      <c r="L55">
        <v>2371.3200000000002</v>
      </c>
      <c r="M55">
        <v>15754.46</v>
      </c>
      <c r="N55" t="s">
        <v>1161</v>
      </c>
      <c r="O55" t="s">
        <v>3428</v>
      </c>
      <c r="P55" t="s">
        <v>2425</v>
      </c>
      <c r="Q55" t="s">
        <v>2481</v>
      </c>
      <c r="R55" t="s">
        <v>3425</v>
      </c>
    </row>
    <row r="56" spans="1:19" x14ac:dyDescent="0.25">
      <c r="A56" t="s">
        <v>3570</v>
      </c>
      <c r="B56" t="s">
        <v>3571</v>
      </c>
      <c r="C56" t="s">
        <v>3572</v>
      </c>
      <c r="D56" t="s">
        <v>3488</v>
      </c>
      <c r="E56" t="s">
        <v>1429</v>
      </c>
      <c r="F56" t="s">
        <v>363</v>
      </c>
      <c r="G56">
        <v>67</v>
      </c>
      <c r="H56">
        <v>62</v>
      </c>
      <c r="I56">
        <v>114.87</v>
      </c>
      <c r="J56">
        <v>7696.29</v>
      </c>
      <c r="K56">
        <v>11.1</v>
      </c>
      <c r="L56">
        <v>1231.4100000000001</v>
      </c>
      <c r="M56">
        <v>8073.41</v>
      </c>
      <c r="N56" t="s">
        <v>1178</v>
      </c>
      <c r="O56" t="s">
        <v>1179</v>
      </c>
      <c r="P56" t="s">
        <v>2416</v>
      </c>
      <c r="Q56" t="s">
        <v>2564</v>
      </c>
      <c r="R56" t="s">
        <v>3425</v>
      </c>
      <c r="S56" t="s">
        <v>3466</v>
      </c>
    </row>
    <row r="57" spans="1:19" x14ac:dyDescent="0.25">
      <c r="A57" t="s">
        <v>3573</v>
      </c>
      <c r="B57" t="s">
        <v>3574</v>
      </c>
      <c r="C57" t="s">
        <v>3575</v>
      </c>
      <c r="D57" t="s">
        <v>3576</v>
      </c>
      <c r="E57" t="s">
        <v>387</v>
      </c>
      <c r="F57" t="s">
        <v>995</v>
      </c>
      <c r="G57">
        <v>26</v>
      </c>
      <c r="H57">
        <v>26</v>
      </c>
      <c r="I57">
        <v>101.62</v>
      </c>
      <c r="J57">
        <v>2642.12</v>
      </c>
      <c r="K57">
        <v>0</v>
      </c>
      <c r="L57">
        <v>422.74</v>
      </c>
      <c r="M57">
        <v>3064.86</v>
      </c>
      <c r="N57" t="s">
        <v>1178</v>
      </c>
      <c r="O57" t="s">
        <v>3424</v>
      </c>
      <c r="P57" t="s">
        <v>2388</v>
      </c>
      <c r="Q57" t="s">
        <v>2538</v>
      </c>
      <c r="R57" t="s">
        <v>3425</v>
      </c>
      <c r="S57" t="s">
        <v>3466</v>
      </c>
    </row>
    <row r="58" spans="1:19" x14ac:dyDescent="0.25">
      <c r="A58" t="s">
        <v>3577</v>
      </c>
      <c r="B58" t="s">
        <v>3075</v>
      </c>
      <c r="C58" t="s">
        <v>3578</v>
      </c>
      <c r="D58" t="s">
        <v>3021</v>
      </c>
      <c r="E58" t="s">
        <v>237</v>
      </c>
      <c r="F58" t="s">
        <v>146</v>
      </c>
      <c r="G58">
        <v>16</v>
      </c>
      <c r="H58">
        <v>14</v>
      </c>
      <c r="I58">
        <v>184.97</v>
      </c>
      <c r="J58">
        <v>2959.52</v>
      </c>
      <c r="K58">
        <v>7.3</v>
      </c>
      <c r="L58">
        <v>473.52</v>
      </c>
      <c r="M58">
        <v>3217</v>
      </c>
      <c r="N58" t="s">
        <v>1161</v>
      </c>
      <c r="O58" t="s">
        <v>3428</v>
      </c>
      <c r="P58" t="s">
        <v>2456</v>
      </c>
      <c r="Q58" t="s">
        <v>2491</v>
      </c>
      <c r="R58" t="s">
        <v>3429</v>
      </c>
    </row>
    <row r="59" spans="1:19" x14ac:dyDescent="0.25">
      <c r="A59" t="s">
        <v>3579</v>
      </c>
      <c r="B59" t="s">
        <v>3152</v>
      </c>
      <c r="C59" t="s">
        <v>3580</v>
      </c>
      <c r="D59" t="s">
        <v>2949</v>
      </c>
      <c r="E59" t="s">
        <v>1403</v>
      </c>
      <c r="F59" t="s">
        <v>77</v>
      </c>
      <c r="G59">
        <v>24</v>
      </c>
      <c r="H59">
        <v>19</v>
      </c>
      <c r="I59">
        <v>113.76</v>
      </c>
      <c r="J59">
        <v>2730.24</v>
      </c>
      <c r="K59">
        <v>11.2</v>
      </c>
      <c r="L59">
        <v>436.84</v>
      </c>
      <c r="M59">
        <v>2861.29</v>
      </c>
      <c r="N59" t="s">
        <v>1161</v>
      </c>
      <c r="O59" t="s">
        <v>3424</v>
      </c>
      <c r="P59" t="s">
        <v>2440</v>
      </c>
      <c r="Q59" t="s">
        <v>2538</v>
      </c>
      <c r="R59" t="s">
        <v>3434</v>
      </c>
      <c r="S59" t="s">
        <v>3509</v>
      </c>
    </row>
    <row r="60" spans="1:19" x14ac:dyDescent="0.25">
      <c r="A60" t="s">
        <v>3581</v>
      </c>
      <c r="B60" t="s">
        <v>2980</v>
      </c>
      <c r="C60" t="s">
        <v>2820</v>
      </c>
      <c r="D60" t="s">
        <v>3582</v>
      </c>
      <c r="E60" t="s">
        <v>1416</v>
      </c>
      <c r="F60" t="s">
        <v>215</v>
      </c>
      <c r="G60">
        <v>76</v>
      </c>
      <c r="H60">
        <v>76</v>
      </c>
      <c r="I60">
        <v>271.83</v>
      </c>
      <c r="J60">
        <v>20659.080000000002</v>
      </c>
      <c r="K60">
        <v>10</v>
      </c>
      <c r="L60">
        <v>3305.45</v>
      </c>
      <c r="M60">
        <v>21898.62</v>
      </c>
      <c r="N60" t="s">
        <v>1189</v>
      </c>
      <c r="O60" t="s">
        <v>3428</v>
      </c>
      <c r="P60" t="s">
        <v>2432</v>
      </c>
      <c r="Q60" t="s">
        <v>2495</v>
      </c>
      <c r="R60" t="s">
        <v>3425</v>
      </c>
      <c r="S60" t="s">
        <v>3509</v>
      </c>
    </row>
    <row r="61" spans="1:19" x14ac:dyDescent="0.25">
      <c r="A61" t="s">
        <v>3583</v>
      </c>
      <c r="B61" t="s">
        <v>3031</v>
      </c>
      <c r="C61" t="s">
        <v>2870</v>
      </c>
      <c r="D61" t="s">
        <v>3584</v>
      </c>
      <c r="E61" t="s">
        <v>340</v>
      </c>
      <c r="F61" t="s">
        <v>248</v>
      </c>
      <c r="G61">
        <v>73</v>
      </c>
      <c r="H61">
        <v>68</v>
      </c>
      <c r="I61">
        <v>225.24</v>
      </c>
      <c r="J61">
        <v>16442.52</v>
      </c>
      <c r="K61">
        <v>8.6999999999999993</v>
      </c>
      <c r="L61">
        <v>2630.8</v>
      </c>
      <c r="M61">
        <v>17642.82</v>
      </c>
      <c r="N61" t="s">
        <v>1161</v>
      </c>
      <c r="O61" t="s">
        <v>3428</v>
      </c>
      <c r="P61" t="s">
        <v>2376</v>
      </c>
      <c r="Q61" t="s">
        <v>2525</v>
      </c>
      <c r="R61" t="s">
        <v>3425</v>
      </c>
      <c r="S61" t="s">
        <v>3466</v>
      </c>
    </row>
    <row r="62" spans="1:19" x14ac:dyDescent="0.25">
      <c r="A62" t="s">
        <v>3585</v>
      </c>
      <c r="B62" t="s">
        <v>3586</v>
      </c>
      <c r="C62" t="s">
        <v>3587</v>
      </c>
      <c r="D62" t="s">
        <v>1871</v>
      </c>
      <c r="E62" t="s">
        <v>1442</v>
      </c>
      <c r="F62" t="s">
        <v>698</v>
      </c>
      <c r="G62">
        <v>36</v>
      </c>
      <c r="H62">
        <v>34</v>
      </c>
      <c r="I62">
        <v>54.1</v>
      </c>
      <c r="J62">
        <v>1947.6</v>
      </c>
      <c r="K62">
        <v>2.4</v>
      </c>
      <c r="L62">
        <v>311.62</v>
      </c>
      <c r="M62">
        <v>2212.48</v>
      </c>
      <c r="N62" t="s">
        <v>1161</v>
      </c>
      <c r="O62" t="s">
        <v>3428</v>
      </c>
      <c r="P62" t="s">
        <v>2449</v>
      </c>
      <c r="Q62" t="s">
        <v>2486</v>
      </c>
      <c r="R62" t="s">
        <v>3425</v>
      </c>
    </row>
    <row r="63" spans="1:19" x14ac:dyDescent="0.25">
      <c r="A63" t="s">
        <v>3588</v>
      </c>
      <c r="B63" t="s">
        <v>3589</v>
      </c>
      <c r="C63" t="s">
        <v>3399</v>
      </c>
      <c r="D63" t="s">
        <v>3360</v>
      </c>
      <c r="E63" t="s">
        <v>177</v>
      </c>
      <c r="F63" t="s">
        <v>950</v>
      </c>
      <c r="G63">
        <v>93</v>
      </c>
      <c r="H63">
        <v>88</v>
      </c>
      <c r="I63">
        <v>303.42</v>
      </c>
      <c r="J63">
        <v>28218.06</v>
      </c>
      <c r="K63">
        <v>6.9</v>
      </c>
      <c r="L63">
        <v>4514.8900000000003</v>
      </c>
      <c r="M63">
        <v>30785.9</v>
      </c>
      <c r="N63" t="s">
        <v>1178</v>
      </c>
      <c r="O63" t="s">
        <v>3428</v>
      </c>
      <c r="P63" t="s">
        <v>2388</v>
      </c>
      <c r="Q63" t="s">
        <v>2554</v>
      </c>
      <c r="R63" t="s">
        <v>3437</v>
      </c>
      <c r="S63" t="s">
        <v>3443</v>
      </c>
    </row>
    <row r="64" spans="1:19" x14ac:dyDescent="0.25">
      <c r="A64" t="s">
        <v>3590</v>
      </c>
      <c r="B64" t="s">
        <v>3591</v>
      </c>
      <c r="C64" t="s">
        <v>3439</v>
      </c>
      <c r="D64" t="s">
        <v>3592</v>
      </c>
      <c r="E64" t="s">
        <v>121</v>
      </c>
      <c r="F64" t="s">
        <v>890</v>
      </c>
      <c r="G64">
        <v>85</v>
      </c>
      <c r="H64">
        <v>83</v>
      </c>
      <c r="I64">
        <v>131.16999999999999</v>
      </c>
      <c r="J64">
        <v>11149.45</v>
      </c>
      <c r="K64">
        <v>10.6</v>
      </c>
      <c r="L64">
        <v>1783.91</v>
      </c>
      <c r="M64">
        <v>11751.52</v>
      </c>
      <c r="N64" t="s">
        <v>1178</v>
      </c>
      <c r="O64" t="s">
        <v>1179</v>
      </c>
      <c r="P64" t="s">
        <v>2456</v>
      </c>
      <c r="Q64" t="s">
        <v>2548</v>
      </c>
      <c r="R64" t="s">
        <v>2633</v>
      </c>
      <c r="S64" t="s">
        <v>3443</v>
      </c>
    </row>
    <row r="65" spans="1:19" x14ac:dyDescent="0.25">
      <c r="A65" t="s">
        <v>3593</v>
      </c>
      <c r="B65" t="s">
        <v>3165</v>
      </c>
      <c r="C65" t="s">
        <v>3589</v>
      </c>
      <c r="D65" t="s">
        <v>3124</v>
      </c>
      <c r="E65" t="s">
        <v>156</v>
      </c>
      <c r="F65" t="s">
        <v>125</v>
      </c>
      <c r="G65">
        <v>4</v>
      </c>
      <c r="H65">
        <v>1</v>
      </c>
      <c r="I65">
        <v>433.41</v>
      </c>
      <c r="J65">
        <v>1733.64</v>
      </c>
      <c r="K65">
        <v>2.4</v>
      </c>
      <c r="L65">
        <v>277.38</v>
      </c>
      <c r="M65">
        <v>1969.41</v>
      </c>
      <c r="N65" t="s">
        <v>1189</v>
      </c>
      <c r="O65" t="s">
        <v>1179</v>
      </c>
      <c r="P65" t="s">
        <v>2407</v>
      </c>
      <c r="Q65" t="s">
        <v>2568</v>
      </c>
      <c r="R65" t="s">
        <v>3425</v>
      </c>
    </row>
    <row r="66" spans="1:19" x14ac:dyDescent="0.25">
      <c r="A66" t="s">
        <v>3594</v>
      </c>
      <c r="B66" t="s">
        <v>2811</v>
      </c>
      <c r="C66" t="s">
        <v>2989</v>
      </c>
      <c r="D66" t="s">
        <v>3124</v>
      </c>
      <c r="E66" t="s">
        <v>376</v>
      </c>
      <c r="F66" t="s">
        <v>1046</v>
      </c>
      <c r="G66">
        <v>50</v>
      </c>
      <c r="H66">
        <v>48</v>
      </c>
      <c r="I66">
        <v>390.12</v>
      </c>
      <c r="J66">
        <v>19506</v>
      </c>
      <c r="K66">
        <v>6.3</v>
      </c>
      <c r="L66">
        <v>3120.96</v>
      </c>
      <c r="M66">
        <v>21398.080000000002</v>
      </c>
      <c r="N66" t="s">
        <v>1178</v>
      </c>
      <c r="O66" t="s">
        <v>3442</v>
      </c>
      <c r="P66" t="s">
        <v>2388</v>
      </c>
      <c r="Q66" t="s">
        <v>2535</v>
      </c>
      <c r="R66" t="s">
        <v>2633</v>
      </c>
    </row>
    <row r="67" spans="1:19" x14ac:dyDescent="0.25">
      <c r="A67" t="s">
        <v>3595</v>
      </c>
      <c r="B67" t="s">
        <v>3596</v>
      </c>
      <c r="C67" t="s">
        <v>3597</v>
      </c>
      <c r="D67" t="s">
        <v>3598</v>
      </c>
      <c r="E67" t="s">
        <v>376</v>
      </c>
      <c r="F67" t="s">
        <v>520</v>
      </c>
      <c r="G67">
        <v>14</v>
      </c>
      <c r="H67">
        <v>13</v>
      </c>
      <c r="I67">
        <v>364.43</v>
      </c>
      <c r="J67">
        <v>5102.0200000000004</v>
      </c>
      <c r="K67">
        <v>5.7</v>
      </c>
      <c r="L67">
        <v>816.32</v>
      </c>
      <c r="M67">
        <v>5627.52</v>
      </c>
      <c r="N67" t="s">
        <v>1178</v>
      </c>
      <c r="O67" t="s">
        <v>1179</v>
      </c>
      <c r="P67" t="s">
        <v>2440</v>
      </c>
      <c r="Q67" t="s">
        <v>2535</v>
      </c>
      <c r="R67" t="s">
        <v>3434</v>
      </c>
    </row>
    <row r="68" spans="1:19" x14ac:dyDescent="0.25">
      <c r="A68" t="s">
        <v>3599</v>
      </c>
      <c r="B68" t="s">
        <v>3423</v>
      </c>
      <c r="C68" t="s">
        <v>2677</v>
      </c>
      <c r="D68" t="s">
        <v>2864</v>
      </c>
      <c r="E68" t="s">
        <v>128</v>
      </c>
      <c r="F68" t="s">
        <v>1061</v>
      </c>
      <c r="G68">
        <v>21</v>
      </c>
      <c r="H68">
        <v>21</v>
      </c>
      <c r="I68">
        <v>245.33</v>
      </c>
      <c r="J68">
        <v>5151.93</v>
      </c>
      <c r="K68">
        <v>7.9</v>
      </c>
      <c r="L68">
        <v>824.31</v>
      </c>
      <c r="M68">
        <v>5569.24</v>
      </c>
      <c r="N68" t="s">
        <v>1178</v>
      </c>
      <c r="O68" t="s">
        <v>3424</v>
      </c>
      <c r="P68" t="s">
        <v>2376</v>
      </c>
      <c r="Q68" t="s">
        <v>2495</v>
      </c>
      <c r="R68" t="s">
        <v>3425</v>
      </c>
      <c r="S68" t="s">
        <v>3426</v>
      </c>
    </row>
    <row r="69" spans="1:19" x14ac:dyDescent="0.25">
      <c r="A69" t="s">
        <v>3600</v>
      </c>
      <c r="B69" t="s">
        <v>2589</v>
      </c>
      <c r="C69" t="s">
        <v>2943</v>
      </c>
      <c r="D69" t="s">
        <v>3021</v>
      </c>
      <c r="E69" t="s">
        <v>1461</v>
      </c>
      <c r="F69" t="s">
        <v>631</v>
      </c>
      <c r="G69">
        <v>73</v>
      </c>
      <c r="H69">
        <v>70</v>
      </c>
      <c r="I69">
        <v>295.95999999999998</v>
      </c>
      <c r="J69">
        <v>21605.08</v>
      </c>
      <c r="K69">
        <v>1.1000000000000001</v>
      </c>
      <c r="L69">
        <v>3456.81</v>
      </c>
      <c r="M69">
        <v>24824.23</v>
      </c>
      <c r="N69" t="s">
        <v>1178</v>
      </c>
      <c r="O69" t="s">
        <v>3424</v>
      </c>
      <c r="P69" t="s">
        <v>2456</v>
      </c>
      <c r="Q69" t="s">
        <v>2538</v>
      </c>
      <c r="R69" t="s">
        <v>2633</v>
      </c>
      <c r="S69" t="s">
        <v>3426</v>
      </c>
    </row>
    <row r="70" spans="1:19" x14ac:dyDescent="0.25">
      <c r="A70" t="s">
        <v>3601</v>
      </c>
      <c r="B70" t="s">
        <v>3538</v>
      </c>
      <c r="C70" t="s">
        <v>3602</v>
      </c>
      <c r="D70" t="s">
        <v>3603</v>
      </c>
      <c r="E70" t="s">
        <v>387</v>
      </c>
      <c r="F70" t="s">
        <v>829</v>
      </c>
      <c r="G70">
        <v>18</v>
      </c>
      <c r="H70">
        <v>14</v>
      </c>
      <c r="I70">
        <v>410.72</v>
      </c>
      <c r="J70">
        <v>7392.96</v>
      </c>
      <c r="K70">
        <v>6.6</v>
      </c>
      <c r="L70">
        <v>1182.8699999999999</v>
      </c>
      <c r="M70">
        <v>8087.89</v>
      </c>
      <c r="N70" t="s">
        <v>1178</v>
      </c>
      <c r="O70" t="s">
        <v>3424</v>
      </c>
      <c r="P70" t="s">
        <v>2449</v>
      </c>
      <c r="Q70" t="s">
        <v>2519</v>
      </c>
      <c r="R70" t="s">
        <v>3425</v>
      </c>
    </row>
    <row r="71" spans="1:19" x14ac:dyDescent="0.25">
      <c r="A71" t="s">
        <v>3604</v>
      </c>
      <c r="B71" t="s">
        <v>2439</v>
      </c>
      <c r="C71" t="s">
        <v>3605</v>
      </c>
      <c r="D71" t="s">
        <v>3606</v>
      </c>
      <c r="E71" t="s">
        <v>212</v>
      </c>
      <c r="F71" t="s">
        <v>400</v>
      </c>
      <c r="G71">
        <v>7</v>
      </c>
      <c r="H71">
        <v>4</v>
      </c>
      <c r="I71">
        <v>320.67</v>
      </c>
      <c r="J71">
        <v>2244.69</v>
      </c>
      <c r="K71">
        <v>5</v>
      </c>
      <c r="L71">
        <v>359.15</v>
      </c>
      <c r="M71">
        <v>2491.61</v>
      </c>
      <c r="N71" t="s">
        <v>1178</v>
      </c>
      <c r="O71" t="s">
        <v>3442</v>
      </c>
      <c r="P71" t="s">
        <v>2398</v>
      </c>
      <c r="Q71" t="s">
        <v>2519</v>
      </c>
      <c r="R71" t="s">
        <v>3425</v>
      </c>
    </row>
    <row r="72" spans="1:19" x14ac:dyDescent="0.25">
      <c r="A72" t="s">
        <v>3607</v>
      </c>
      <c r="B72" t="s">
        <v>3608</v>
      </c>
      <c r="C72" t="s">
        <v>3609</v>
      </c>
      <c r="D72" t="s">
        <v>3610</v>
      </c>
      <c r="E72" t="s">
        <v>106</v>
      </c>
      <c r="F72" t="s">
        <v>895</v>
      </c>
      <c r="G72">
        <v>65</v>
      </c>
      <c r="H72">
        <v>62</v>
      </c>
      <c r="I72">
        <v>190.51</v>
      </c>
      <c r="J72">
        <v>12383.15</v>
      </c>
      <c r="K72">
        <v>9.3000000000000007</v>
      </c>
      <c r="L72">
        <v>1981.3</v>
      </c>
      <c r="M72">
        <v>13212.82</v>
      </c>
      <c r="N72" t="s">
        <v>1178</v>
      </c>
      <c r="O72" t="s">
        <v>3442</v>
      </c>
      <c r="P72" t="s">
        <v>2376</v>
      </c>
      <c r="Q72" t="s">
        <v>2522</v>
      </c>
      <c r="R72" t="s">
        <v>3429</v>
      </c>
      <c r="S72" t="s">
        <v>3509</v>
      </c>
    </row>
    <row r="73" spans="1:19" x14ac:dyDescent="0.25">
      <c r="A73" t="s">
        <v>3611</v>
      </c>
      <c r="B73" t="s">
        <v>3612</v>
      </c>
      <c r="C73" t="s">
        <v>3613</v>
      </c>
      <c r="D73" t="s">
        <v>3614</v>
      </c>
      <c r="E73" t="s">
        <v>128</v>
      </c>
      <c r="F73" t="s">
        <v>535</v>
      </c>
      <c r="G73">
        <v>98</v>
      </c>
      <c r="H73">
        <v>93</v>
      </c>
      <c r="I73">
        <v>76.73</v>
      </c>
      <c r="J73">
        <v>7519.54</v>
      </c>
      <c r="K73">
        <v>3.1</v>
      </c>
      <c r="L73">
        <v>1203.1300000000001</v>
      </c>
      <c r="M73">
        <v>8489.56</v>
      </c>
      <c r="N73" t="s">
        <v>1178</v>
      </c>
      <c r="O73" t="s">
        <v>3424</v>
      </c>
      <c r="P73" t="s">
        <v>2440</v>
      </c>
      <c r="Q73" t="s">
        <v>2486</v>
      </c>
      <c r="R73" t="s">
        <v>3425</v>
      </c>
      <c r="S73" t="s">
        <v>3426</v>
      </c>
    </row>
    <row r="74" spans="1:19" x14ac:dyDescent="0.25">
      <c r="A74" t="s">
        <v>3615</v>
      </c>
      <c r="B74" t="s">
        <v>3439</v>
      </c>
      <c r="C74" t="s">
        <v>3616</v>
      </c>
      <c r="D74" t="s">
        <v>3617</v>
      </c>
      <c r="E74" t="s">
        <v>156</v>
      </c>
      <c r="F74" t="s">
        <v>641</v>
      </c>
      <c r="G74">
        <v>77</v>
      </c>
      <c r="H74">
        <v>75</v>
      </c>
      <c r="I74">
        <v>382.68</v>
      </c>
      <c r="J74">
        <v>29466.36</v>
      </c>
      <c r="K74">
        <v>13.9</v>
      </c>
      <c r="L74">
        <v>4714.62</v>
      </c>
      <c r="M74">
        <v>30085.16</v>
      </c>
      <c r="N74" t="s">
        <v>1178</v>
      </c>
      <c r="O74" t="s">
        <v>3442</v>
      </c>
      <c r="P74" t="s">
        <v>2376</v>
      </c>
      <c r="Q74" t="s">
        <v>2538</v>
      </c>
      <c r="R74" t="s">
        <v>3425</v>
      </c>
      <c r="S74" t="s">
        <v>3426</v>
      </c>
    </row>
    <row r="75" spans="1:19" x14ac:dyDescent="0.25">
      <c r="A75" t="s">
        <v>3618</v>
      </c>
      <c r="B75" t="s">
        <v>2943</v>
      </c>
      <c r="C75" t="s">
        <v>2415</v>
      </c>
      <c r="D75" t="s">
        <v>3508</v>
      </c>
      <c r="E75" t="s">
        <v>423</v>
      </c>
      <c r="F75" t="s">
        <v>723</v>
      </c>
      <c r="G75">
        <v>39</v>
      </c>
      <c r="H75">
        <v>39</v>
      </c>
      <c r="I75">
        <v>401.69</v>
      </c>
      <c r="J75">
        <v>15665.91</v>
      </c>
      <c r="K75">
        <v>13.1</v>
      </c>
      <c r="L75">
        <v>2506.5500000000002</v>
      </c>
      <c r="M75">
        <v>16120.23</v>
      </c>
      <c r="N75" t="s">
        <v>1178</v>
      </c>
      <c r="O75" t="s">
        <v>3436</v>
      </c>
      <c r="P75" t="s">
        <v>2456</v>
      </c>
      <c r="Q75" t="s">
        <v>2527</v>
      </c>
      <c r="R75" t="s">
        <v>3425</v>
      </c>
      <c r="S75" t="s">
        <v>3466</v>
      </c>
    </row>
    <row r="76" spans="1:19" x14ac:dyDescent="0.25">
      <c r="A76" t="s">
        <v>3619</v>
      </c>
      <c r="B76" t="s">
        <v>3620</v>
      </c>
      <c r="C76" t="s">
        <v>3621</v>
      </c>
      <c r="D76" t="s">
        <v>3622</v>
      </c>
      <c r="E76" t="s">
        <v>136</v>
      </c>
      <c r="F76" t="s">
        <v>606</v>
      </c>
      <c r="G76">
        <v>99</v>
      </c>
      <c r="H76">
        <v>98</v>
      </c>
      <c r="I76">
        <v>219.75</v>
      </c>
      <c r="J76">
        <v>21755.25</v>
      </c>
      <c r="K76">
        <v>1.9</v>
      </c>
      <c r="L76">
        <v>3480.84</v>
      </c>
      <c r="M76">
        <v>24822.74</v>
      </c>
      <c r="N76" t="s">
        <v>1178</v>
      </c>
      <c r="O76" t="s">
        <v>3428</v>
      </c>
      <c r="P76" t="s">
        <v>2388</v>
      </c>
      <c r="Q76" t="s">
        <v>2551</v>
      </c>
      <c r="R76" t="s">
        <v>2633</v>
      </c>
      <c r="S76" t="s">
        <v>3426</v>
      </c>
    </row>
    <row r="77" spans="1:19" x14ac:dyDescent="0.25">
      <c r="A77" t="s">
        <v>3623</v>
      </c>
      <c r="B77" t="s">
        <v>3624</v>
      </c>
      <c r="C77" t="s">
        <v>2786</v>
      </c>
      <c r="D77" t="s">
        <v>2866</v>
      </c>
      <c r="E77" t="s">
        <v>128</v>
      </c>
      <c r="F77" t="s">
        <v>545</v>
      </c>
      <c r="G77">
        <v>56</v>
      </c>
      <c r="H77">
        <v>55</v>
      </c>
      <c r="I77">
        <v>463.13</v>
      </c>
      <c r="J77">
        <v>25935.279999999999</v>
      </c>
      <c r="K77">
        <v>3.6</v>
      </c>
      <c r="L77">
        <v>4149.6400000000003</v>
      </c>
      <c r="M77">
        <v>29151.25</v>
      </c>
      <c r="N77" t="s">
        <v>1189</v>
      </c>
      <c r="O77" t="s">
        <v>3436</v>
      </c>
      <c r="P77" t="s">
        <v>2456</v>
      </c>
      <c r="Q77" t="s">
        <v>2481</v>
      </c>
      <c r="R77" t="s">
        <v>3425</v>
      </c>
    </row>
    <row r="78" spans="1:19" x14ac:dyDescent="0.25">
      <c r="A78" t="s">
        <v>3625</v>
      </c>
      <c r="B78" t="s">
        <v>2448</v>
      </c>
      <c r="C78" t="s">
        <v>3626</v>
      </c>
      <c r="D78" t="s">
        <v>2697</v>
      </c>
      <c r="E78" t="s">
        <v>136</v>
      </c>
      <c r="F78" t="s">
        <v>180</v>
      </c>
      <c r="G78">
        <v>8</v>
      </c>
      <c r="H78">
        <v>4</v>
      </c>
      <c r="I78">
        <v>107.02</v>
      </c>
      <c r="J78">
        <v>856.16</v>
      </c>
      <c r="K78">
        <v>2.7</v>
      </c>
      <c r="L78">
        <v>136.99</v>
      </c>
      <c r="M78">
        <v>970.03</v>
      </c>
      <c r="N78" t="s">
        <v>1178</v>
      </c>
      <c r="O78" t="s">
        <v>1179</v>
      </c>
      <c r="P78" t="s">
        <v>2398</v>
      </c>
      <c r="Q78" t="s">
        <v>2551</v>
      </c>
      <c r="R78" t="s">
        <v>3429</v>
      </c>
      <c r="S78" t="s">
        <v>3466</v>
      </c>
    </row>
    <row r="79" spans="1:19" x14ac:dyDescent="0.25">
      <c r="A79" t="s">
        <v>3627</v>
      </c>
      <c r="B79" t="s">
        <v>3628</v>
      </c>
      <c r="C79" t="s">
        <v>3541</v>
      </c>
      <c r="D79" t="s">
        <v>3629</v>
      </c>
      <c r="E79" t="s">
        <v>1416</v>
      </c>
      <c r="F79" t="s">
        <v>253</v>
      </c>
      <c r="G79">
        <v>85</v>
      </c>
      <c r="H79">
        <v>80</v>
      </c>
      <c r="I79">
        <v>84.56</v>
      </c>
      <c r="J79">
        <v>7187.6</v>
      </c>
      <c r="K79">
        <v>3.8</v>
      </c>
      <c r="L79">
        <v>1150.02</v>
      </c>
      <c r="M79">
        <v>8064.49</v>
      </c>
      <c r="N79" t="s">
        <v>1178</v>
      </c>
      <c r="O79" t="s">
        <v>3424</v>
      </c>
      <c r="P79" t="s">
        <v>2440</v>
      </c>
      <c r="Q79" t="s">
        <v>2561</v>
      </c>
      <c r="R79" t="s">
        <v>3434</v>
      </c>
      <c r="S79" t="s">
        <v>3426</v>
      </c>
    </row>
    <row r="80" spans="1:19" x14ac:dyDescent="0.25">
      <c r="A80" t="s">
        <v>3630</v>
      </c>
      <c r="B80" t="s">
        <v>3530</v>
      </c>
      <c r="C80" t="s">
        <v>2651</v>
      </c>
      <c r="D80" t="s">
        <v>2858</v>
      </c>
      <c r="E80" t="s">
        <v>1461</v>
      </c>
      <c r="F80" t="s">
        <v>819</v>
      </c>
      <c r="G80">
        <v>38</v>
      </c>
      <c r="H80">
        <v>34</v>
      </c>
      <c r="I80">
        <v>441.04</v>
      </c>
      <c r="J80">
        <v>16759.52</v>
      </c>
      <c r="K80">
        <v>3.7</v>
      </c>
      <c r="L80">
        <v>2681.52</v>
      </c>
      <c r="M80">
        <v>18820.939999999999</v>
      </c>
      <c r="N80" t="s">
        <v>1161</v>
      </c>
      <c r="O80" t="s">
        <v>3442</v>
      </c>
      <c r="P80" t="s">
        <v>2376</v>
      </c>
      <c r="Q80" t="s">
        <v>2525</v>
      </c>
      <c r="R80" t="s">
        <v>3429</v>
      </c>
      <c r="S80" t="s">
        <v>3466</v>
      </c>
    </row>
    <row r="81" spans="1:19" x14ac:dyDescent="0.25">
      <c r="A81" t="s">
        <v>3631</v>
      </c>
      <c r="B81" t="s">
        <v>3632</v>
      </c>
      <c r="C81" t="s">
        <v>3633</v>
      </c>
      <c r="D81" t="s">
        <v>3592</v>
      </c>
      <c r="E81" t="s">
        <v>1018</v>
      </c>
      <c r="F81" t="s">
        <v>186</v>
      </c>
      <c r="G81">
        <v>27</v>
      </c>
      <c r="H81">
        <v>22</v>
      </c>
      <c r="I81">
        <v>460.42</v>
      </c>
      <c r="J81">
        <v>12431.34</v>
      </c>
      <c r="K81">
        <v>12.6</v>
      </c>
      <c r="L81">
        <v>1989.01</v>
      </c>
      <c r="M81">
        <v>12854</v>
      </c>
      <c r="N81" t="s">
        <v>1161</v>
      </c>
      <c r="O81" t="s">
        <v>3424</v>
      </c>
      <c r="P81" t="s">
        <v>2388</v>
      </c>
      <c r="Q81" t="s">
        <v>2525</v>
      </c>
      <c r="R81" t="s">
        <v>3425</v>
      </c>
    </row>
    <row r="82" spans="1:19" x14ac:dyDescent="0.25">
      <c r="A82" t="s">
        <v>3634</v>
      </c>
      <c r="B82" t="s">
        <v>3635</v>
      </c>
      <c r="C82" t="s">
        <v>3636</v>
      </c>
      <c r="D82" t="s">
        <v>3637</v>
      </c>
      <c r="E82" t="s">
        <v>225</v>
      </c>
      <c r="F82" t="s">
        <v>1005</v>
      </c>
      <c r="G82">
        <v>57</v>
      </c>
      <c r="H82">
        <v>57</v>
      </c>
      <c r="I82">
        <v>342.46</v>
      </c>
      <c r="J82">
        <v>19520.22</v>
      </c>
      <c r="K82">
        <v>6.8</v>
      </c>
      <c r="L82">
        <v>3123.24</v>
      </c>
      <c r="M82">
        <v>21316.09</v>
      </c>
      <c r="N82" t="s">
        <v>1178</v>
      </c>
      <c r="O82" t="s">
        <v>1179</v>
      </c>
      <c r="P82" t="s">
        <v>2456</v>
      </c>
      <c r="Q82" t="s">
        <v>2527</v>
      </c>
      <c r="R82" t="s">
        <v>3434</v>
      </c>
    </row>
    <row r="83" spans="1:19" x14ac:dyDescent="0.25">
      <c r="A83" t="s">
        <v>3638</v>
      </c>
      <c r="B83" t="s">
        <v>2702</v>
      </c>
      <c r="C83" t="s">
        <v>2878</v>
      </c>
      <c r="D83" t="s">
        <v>1487</v>
      </c>
      <c r="E83" t="s">
        <v>136</v>
      </c>
      <c r="F83" t="s">
        <v>463</v>
      </c>
      <c r="G83">
        <v>79</v>
      </c>
      <c r="H83">
        <v>79</v>
      </c>
      <c r="I83">
        <v>222.77</v>
      </c>
      <c r="J83">
        <v>17598.830000000002</v>
      </c>
      <c r="K83">
        <v>0.3</v>
      </c>
      <c r="L83">
        <v>2815.81</v>
      </c>
      <c r="M83">
        <v>20361.84</v>
      </c>
      <c r="N83" t="s">
        <v>1178</v>
      </c>
      <c r="O83" t="s">
        <v>3424</v>
      </c>
      <c r="P83" t="s">
        <v>2432</v>
      </c>
      <c r="Q83" t="s">
        <v>2501</v>
      </c>
      <c r="R83" t="s">
        <v>3429</v>
      </c>
    </row>
    <row r="84" spans="1:19" x14ac:dyDescent="0.25">
      <c r="A84" t="s">
        <v>3639</v>
      </c>
      <c r="B84" t="s">
        <v>3640</v>
      </c>
      <c r="C84" t="s">
        <v>3626</v>
      </c>
      <c r="D84" t="s">
        <v>3244</v>
      </c>
      <c r="E84" t="s">
        <v>1416</v>
      </c>
      <c r="F84" t="s">
        <v>500</v>
      </c>
      <c r="G84">
        <v>5</v>
      </c>
      <c r="H84">
        <v>3</v>
      </c>
      <c r="I84">
        <v>293.7</v>
      </c>
      <c r="J84">
        <v>1468.5</v>
      </c>
      <c r="K84">
        <v>5.2</v>
      </c>
      <c r="L84">
        <v>234.96</v>
      </c>
      <c r="M84">
        <v>1627.1</v>
      </c>
      <c r="N84" t="s">
        <v>1178</v>
      </c>
      <c r="O84" t="s">
        <v>3436</v>
      </c>
      <c r="P84" t="s">
        <v>2407</v>
      </c>
      <c r="Q84" t="s">
        <v>2568</v>
      </c>
      <c r="R84" t="s">
        <v>3425</v>
      </c>
      <c r="S84" t="s">
        <v>3426</v>
      </c>
    </row>
    <row r="85" spans="1:19" x14ac:dyDescent="0.25">
      <c r="A85" t="s">
        <v>3641</v>
      </c>
      <c r="B85" t="s">
        <v>3642</v>
      </c>
      <c r="C85" t="s">
        <v>3451</v>
      </c>
      <c r="D85" t="s">
        <v>3483</v>
      </c>
      <c r="E85" t="s">
        <v>1442</v>
      </c>
      <c r="F85" t="s">
        <v>910</v>
      </c>
      <c r="G85">
        <v>56</v>
      </c>
      <c r="H85">
        <v>52</v>
      </c>
      <c r="I85">
        <v>439.58</v>
      </c>
      <c r="J85">
        <v>24616.48</v>
      </c>
      <c r="K85">
        <v>11.7</v>
      </c>
      <c r="L85">
        <v>3938.64</v>
      </c>
      <c r="M85">
        <v>25674.99</v>
      </c>
      <c r="N85" t="s">
        <v>1189</v>
      </c>
      <c r="O85" t="s">
        <v>1179</v>
      </c>
      <c r="P85" t="s">
        <v>2449</v>
      </c>
      <c r="Q85" t="s">
        <v>2535</v>
      </c>
      <c r="R85" t="s">
        <v>3429</v>
      </c>
      <c r="S85" t="s">
        <v>3509</v>
      </c>
    </row>
    <row r="86" spans="1:19" x14ac:dyDescent="0.25">
      <c r="A86" t="s">
        <v>3643</v>
      </c>
      <c r="B86" t="s">
        <v>3644</v>
      </c>
      <c r="C86" t="s">
        <v>3645</v>
      </c>
      <c r="D86" t="s">
        <v>2647</v>
      </c>
      <c r="E86" t="s">
        <v>170</v>
      </c>
      <c r="F86" t="s">
        <v>596</v>
      </c>
      <c r="G86">
        <v>60</v>
      </c>
      <c r="H86">
        <v>55</v>
      </c>
      <c r="I86">
        <v>385.54</v>
      </c>
      <c r="J86">
        <v>23132.400000000001</v>
      </c>
      <c r="K86">
        <v>13.9</v>
      </c>
      <c r="L86">
        <v>3701.18</v>
      </c>
      <c r="M86">
        <v>23618.18</v>
      </c>
      <c r="N86" t="s">
        <v>1178</v>
      </c>
      <c r="O86" t="s">
        <v>3442</v>
      </c>
      <c r="P86" t="s">
        <v>2407</v>
      </c>
      <c r="Q86" t="s">
        <v>2568</v>
      </c>
      <c r="R86" t="s">
        <v>3434</v>
      </c>
      <c r="S86" t="s">
        <v>3426</v>
      </c>
    </row>
    <row r="87" spans="1:19" x14ac:dyDescent="0.25">
      <c r="A87" t="s">
        <v>3646</v>
      </c>
      <c r="B87" t="s">
        <v>3647</v>
      </c>
      <c r="C87" t="s">
        <v>3496</v>
      </c>
      <c r="D87" t="s">
        <v>3620</v>
      </c>
      <c r="E87" t="s">
        <v>57</v>
      </c>
      <c r="F87" t="s">
        <v>616</v>
      </c>
      <c r="G87">
        <v>5</v>
      </c>
      <c r="H87">
        <v>1</v>
      </c>
      <c r="I87">
        <v>327</v>
      </c>
      <c r="J87">
        <v>1635</v>
      </c>
      <c r="K87">
        <v>5.4</v>
      </c>
      <c r="L87">
        <v>261.60000000000002</v>
      </c>
      <c r="M87">
        <v>1808.31</v>
      </c>
      <c r="N87" t="s">
        <v>1178</v>
      </c>
      <c r="O87" t="s">
        <v>3442</v>
      </c>
      <c r="P87" t="s">
        <v>2416</v>
      </c>
      <c r="Q87" t="s">
        <v>2548</v>
      </c>
      <c r="R87" t="s">
        <v>2633</v>
      </c>
      <c r="S87" t="s">
        <v>3509</v>
      </c>
    </row>
    <row r="88" spans="1:19" x14ac:dyDescent="0.25">
      <c r="A88" t="s">
        <v>3648</v>
      </c>
      <c r="B88" t="s">
        <v>3649</v>
      </c>
      <c r="C88" t="s">
        <v>2750</v>
      </c>
      <c r="D88" t="s">
        <v>3650</v>
      </c>
      <c r="E88" t="s">
        <v>376</v>
      </c>
      <c r="F88" t="s">
        <v>677</v>
      </c>
      <c r="G88">
        <v>60</v>
      </c>
      <c r="H88">
        <v>55</v>
      </c>
      <c r="I88">
        <v>57.77</v>
      </c>
      <c r="J88">
        <v>3466.2</v>
      </c>
      <c r="K88">
        <v>0.1</v>
      </c>
      <c r="L88">
        <v>554.59</v>
      </c>
      <c r="M88">
        <v>4017.32</v>
      </c>
      <c r="N88" t="s">
        <v>1161</v>
      </c>
      <c r="O88" t="s">
        <v>3424</v>
      </c>
      <c r="P88" t="s">
        <v>2432</v>
      </c>
      <c r="Q88" t="s">
        <v>2481</v>
      </c>
      <c r="R88" t="s">
        <v>3425</v>
      </c>
      <c r="S88" t="s">
        <v>3509</v>
      </c>
    </row>
    <row r="89" spans="1:19" x14ac:dyDescent="0.25">
      <c r="A89" t="s">
        <v>3651</v>
      </c>
      <c r="B89" t="s">
        <v>3012</v>
      </c>
      <c r="C89" t="s">
        <v>3652</v>
      </c>
      <c r="D89" t="s">
        <v>3465</v>
      </c>
      <c r="E89" t="s">
        <v>387</v>
      </c>
      <c r="F89" t="s">
        <v>819</v>
      </c>
      <c r="G89">
        <v>41</v>
      </c>
      <c r="H89">
        <v>38</v>
      </c>
      <c r="I89">
        <v>478.98</v>
      </c>
      <c r="J89">
        <v>19638.18</v>
      </c>
      <c r="K89">
        <v>6.6</v>
      </c>
      <c r="L89">
        <v>3142.11</v>
      </c>
      <c r="M89">
        <v>21484.17</v>
      </c>
      <c r="N89" t="s">
        <v>1178</v>
      </c>
      <c r="O89" t="s">
        <v>3424</v>
      </c>
      <c r="P89" t="s">
        <v>2398</v>
      </c>
      <c r="Q89" t="s">
        <v>2495</v>
      </c>
      <c r="R89" t="s">
        <v>3425</v>
      </c>
    </row>
    <row r="90" spans="1:19" x14ac:dyDescent="0.25">
      <c r="A90" t="s">
        <v>3653</v>
      </c>
      <c r="B90" t="s">
        <v>2691</v>
      </c>
      <c r="C90" t="s">
        <v>2721</v>
      </c>
      <c r="D90" t="s">
        <v>2918</v>
      </c>
      <c r="E90" t="s">
        <v>435</v>
      </c>
      <c r="F90" t="s">
        <v>950</v>
      </c>
      <c r="G90">
        <v>5</v>
      </c>
      <c r="H90">
        <v>5</v>
      </c>
      <c r="I90">
        <v>132.91</v>
      </c>
      <c r="J90">
        <v>664.55</v>
      </c>
      <c r="K90">
        <v>7.6</v>
      </c>
      <c r="L90">
        <v>106.33</v>
      </c>
      <c r="M90">
        <v>720.37</v>
      </c>
      <c r="N90" t="s">
        <v>1161</v>
      </c>
      <c r="O90" t="s">
        <v>3424</v>
      </c>
      <c r="P90" t="s">
        <v>2376</v>
      </c>
      <c r="Q90" t="s">
        <v>2561</v>
      </c>
      <c r="R90" t="s">
        <v>3434</v>
      </c>
      <c r="S90" t="s">
        <v>3509</v>
      </c>
    </row>
    <row r="91" spans="1:19" x14ac:dyDescent="0.25">
      <c r="A91" t="s">
        <v>3654</v>
      </c>
      <c r="B91" t="s">
        <v>2711</v>
      </c>
      <c r="C91" t="s">
        <v>3655</v>
      </c>
      <c r="D91" t="s">
        <v>2628</v>
      </c>
      <c r="E91" t="s">
        <v>189</v>
      </c>
      <c r="F91" t="s">
        <v>980</v>
      </c>
      <c r="G91">
        <v>46</v>
      </c>
      <c r="H91">
        <v>46</v>
      </c>
      <c r="I91">
        <v>293.2</v>
      </c>
      <c r="J91">
        <v>13487.2</v>
      </c>
      <c r="K91">
        <v>0.7</v>
      </c>
      <c r="L91">
        <v>2157.9499999999998</v>
      </c>
      <c r="M91">
        <v>15550.74</v>
      </c>
      <c r="N91" t="s">
        <v>1161</v>
      </c>
      <c r="O91" t="s">
        <v>3428</v>
      </c>
      <c r="P91" t="s">
        <v>2388</v>
      </c>
      <c r="Q91" t="s">
        <v>2541</v>
      </c>
      <c r="R91" t="s">
        <v>3425</v>
      </c>
    </row>
    <row r="92" spans="1:19" x14ac:dyDescent="0.25">
      <c r="A92" t="s">
        <v>3656</v>
      </c>
      <c r="B92" t="s">
        <v>2988</v>
      </c>
      <c r="C92" t="s">
        <v>2733</v>
      </c>
      <c r="D92" t="s">
        <v>2692</v>
      </c>
      <c r="E92" t="s">
        <v>74</v>
      </c>
      <c r="F92" t="s">
        <v>525</v>
      </c>
      <c r="G92">
        <v>74</v>
      </c>
      <c r="H92">
        <v>71</v>
      </c>
      <c r="I92">
        <v>217.11</v>
      </c>
      <c r="J92">
        <v>16066.14</v>
      </c>
      <c r="K92">
        <v>12.3</v>
      </c>
      <c r="L92">
        <v>2570.58</v>
      </c>
      <c r="M92">
        <v>16660.580000000002</v>
      </c>
      <c r="N92" t="s">
        <v>1178</v>
      </c>
      <c r="O92" t="s">
        <v>3424</v>
      </c>
      <c r="P92" t="s">
        <v>2376</v>
      </c>
      <c r="Q92" t="s">
        <v>2522</v>
      </c>
      <c r="R92" t="s">
        <v>2633</v>
      </c>
      <c r="S92" t="s">
        <v>3426</v>
      </c>
    </row>
    <row r="93" spans="1:19" x14ac:dyDescent="0.25">
      <c r="A93" t="s">
        <v>3657</v>
      </c>
      <c r="B93" t="s">
        <v>3658</v>
      </c>
      <c r="C93" t="s">
        <v>3538</v>
      </c>
      <c r="D93" t="s">
        <v>3659</v>
      </c>
      <c r="E93" t="s">
        <v>429</v>
      </c>
      <c r="F93" t="s">
        <v>945</v>
      </c>
      <c r="G93">
        <v>48</v>
      </c>
      <c r="H93">
        <v>46</v>
      </c>
      <c r="I93">
        <v>261.81</v>
      </c>
      <c r="J93">
        <v>12566.88</v>
      </c>
      <c r="K93">
        <v>14.6</v>
      </c>
      <c r="L93">
        <v>2010.7</v>
      </c>
      <c r="M93">
        <v>12742.82</v>
      </c>
      <c r="N93" t="s">
        <v>1178</v>
      </c>
      <c r="O93" t="s">
        <v>1179</v>
      </c>
      <c r="P93" t="s">
        <v>2398</v>
      </c>
      <c r="Q93" t="s">
        <v>2548</v>
      </c>
      <c r="R93" t="s">
        <v>3425</v>
      </c>
    </row>
    <row r="94" spans="1:19" x14ac:dyDescent="0.25">
      <c r="A94" t="s">
        <v>3660</v>
      </c>
      <c r="B94" t="s">
        <v>3661</v>
      </c>
      <c r="C94" t="s">
        <v>3662</v>
      </c>
      <c r="D94" t="s">
        <v>3663</v>
      </c>
      <c r="E94" t="s">
        <v>66</v>
      </c>
      <c r="F94" t="s">
        <v>373</v>
      </c>
      <c r="G94">
        <v>41</v>
      </c>
      <c r="H94">
        <v>39</v>
      </c>
      <c r="I94">
        <v>279.86</v>
      </c>
      <c r="J94">
        <v>11474.26</v>
      </c>
      <c r="K94">
        <v>11.7</v>
      </c>
      <c r="L94">
        <v>1835.88</v>
      </c>
      <c r="M94">
        <v>11967.65</v>
      </c>
      <c r="N94" t="s">
        <v>1178</v>
      </c>
      <c r="O94" t="s">
        <v>3428</v>
      </c>
      <c r="P94" t="s">
        <v>2456</v>
      </c>
      <c r="Q94" t="s">
        <v>2481</v>
      </c>
      <c r="R94" t="s">
        <v>3425</v>
      </c>
      <c r="S94" t="s">
        <v>3443</v>
      </c>
    </row>
    <row r="95" spans="1:19" x14ac:dyDescent="0.25">
      <c r="A95" t="s">
        <v>3664</v>
      </c>
      <c r="B95" t="s">
        <v>2439</v>
      </c>
      <c r="C95" t="s">
        <v>3464</v>
      </c>
      <c r="D95" t="s">
        <v>3286</v>
      </c>
      <c r="E95" t="s">
        <v>1455</v>
      </c>
      <c r="F95" t="s">
        <v>945</v>
      </c>
      <c r="G95">
        <v>11</v>
      </c>
      <c r="H95">
        <v>7</v>
      </c>
      <c r="I95">
        <v>479.83</v>
      </c>
      <c r="J95">
        <v>5278.13</v>
      </c>
      <c r="K95">
        <v>14.4</v>
      </c>
      <c r="L95">
        <v>844.5</v>
      </c>
      <c r="M95">
        <v>5362.58</v>
      </c>
      <c r="N95" t="s">
        <v>1161</v>
      </c>
      <c r="O95" t="s">
        <v>3428</v>
      </c>
      <c r="P95" t="s">
        <v>2449</v>
      </c>
      <c r="Q95" t="s">
        <v>2564</v>
      </c>
      <c r="R95" t="s">
        <v>3425</v>
      </c>
    </row>
    <row r="96" spans="1:19" x14ac:dyDescent="0.25">
      <c r="A96" t="s">
        <v>3665</v>
      </c>
      <c r="B96" t="s">
        <v>2995</v>
      </c>
      <c r="C96" t="s">
        <v>3096</v>
      </c>
      <c r="D96" t="s">
        <v>3666</v>
      </c>
      <c r="E96" t="s">
        <v>66</v>
      </c>
      <c r="F96" t="s">
        <v>713</v>
      </c>
      <c r="G96">
        <v>85</v>
      </c>
      <c r="H96">
        <v>83</v>
      </c>
      <c r="I96">
        <v>286</v>
      </c>
      <c r="J96">
        <v>24310</v>
      </c>
      <c r="K96">
        <v>6.6</v>
      </c>
      <c r="L96">
        <v>3889.6</v>
      </c>
      <c r="M96">
        <v>26595.14</v>
      </c>
      <c r="N96" t="s">
        <v>1178</v>
      </c>
      <c r="O96" t="s">
        <v>1179</v>
      </c>
      <c r="P96" t="s">
        <v>2407</v>
      </c>
      <c r="Q96" t="s">
        <v>2568</v>
      </c>
      <c r="R96" t="s">
        <v>2633</v>
      </c>
    </row>
    <row r="97" spans="1:19" x14ac:dyDescent="0.25">
      <c r="A97" t="s">
        <v>3667</v>
      </c>
      <c r="B97" t="s">
        <v>2927</v>
      </c>
      <c r="C97" t="s">
        <v>3268</v>
      </c>
      <c r="D97" t="s">
        <v>2883</v>
      </c>
      <c r="E97" t="s">
        <v>340</v>
      </c>
      <c r="F97" t="s">
        <v>510</v>
      </c>
      <c r="G97">
        <v>96</v>
      </c>
      <c r="H97">
        <v>96</v>
      </c>
      <c r="I97">
        <v>487.58</v>
      </c>
      <c r="J97">
        <v>46807.68</v>
      </c>
      <c r="K97">
        <v>10.4</v>
      </c>
      <c r="L97">
        <v>7489.23</v>
      </c>
      <c r="M97">
        <v>49428.91</v>
      </c>
      <c r="N97" t="s">
        <v>1178</v>
      </c>
      <c r="O97" t="s">
        <v>3436</v>
      </c>
      <c r="P97" t="s">
        <v>2449</v>
      </c>
      <c r="Q97" t="s">
        <v>2486</v>
      </c>
      <c r="R97" t="s">
        <v>2633</v>
      </c>
      <c r="S97" t="s">
        <v>3466</v>
      </c>
    </row>
    <row r="98" spans="1:19" x14ac:dyDescent="0.25">
      <c r="A98" t="s">
        <v>3668</v>
      </c>
      <c r="B98" t="s">
        <v>2984</v>
      </c>
      <c r="C98" t="s">
        <v>3141</v>
      </c>
      <c r="D98" t="s">
        <v>3051</v>
      </c>
      <c r="E98" t="s">
        <v>66</v>
      </c>
      <c r="F98" t="s">
        <v>395</v>
      </c>
      <c r="G98">
        <v>58</v>
      </c>
      <c r="H98">
        <v>55</v>
      </c>
      <c r="I98">
        <v>403.84</v>
      </c>
      <c r="J98">
        <v>23422.720000000001</v>
      </c>
      <c r="K98">
        <v>3.4</v>
      </c>
      <c r="L98">
        <v>3747.64</v>
      </c>
      <c r="M98">
        <v>26373.99</v>
      </c>
      <c r="N98" t="s">
        <v>1161</v>
      </c>
      <c r="O98" t="s">
        <v>3424</v>
      </c>
      <c r="P98" t="s">
        <v>2456</v>
      </c>
      <c r="Q98" t="s">
        <v>2515</v>
      </c>
      <c r="R98" t="s">
        <v>3434</v>
      </c>
      <c r="S98" t="s">
        <v>3426</v>
      </c>
    </row>
    <row r="99" spans="1:19" x14ac:dyDescent="0.25">
      <c r="A99" t="s">
        <v>3669</v>
      </c>
      <c r="B99" t="s">
        <v>3545</v>
      </c>
      <c r="C99" t="s">
        <v>3670</v>
      </c>
      <c r="D99" t="s">
        <v>3357</v>
      </c>
      <c r="E99" t="s">
        <v>847</v>
      </c>
      <c r="F99" t="s">
        <v>248</v>
      </c>
      <c r="G99">
        <v>11</v>
      </c>
      <c r="H99">
        <v>6</v>
      </c>
      <c r="I99">
        <v>233.83</v>
      </c>
      <c r="J99">
        <v>2572.13</v>
      </c>
      <c r="K99">
        <v>7.6</v>
      </c>
      <c r="L99">
        <v>411.54</v>
      </c>
      <c r="M99">
        <v>2788.19</v>
      </c>
      <c r="N99" t="s">
        <v>1178</v>
      </c>
      <c r="O99" t="s">
        <v>3424</v>
      </c>
      <c r="P99" t="s">
        <v>2440</v>
      </c>
      <c r="Q99" t="s">
        <v>2475</v>
      </c>
      <c r="R99" t="s">
        <v>3425</v>
      </c>
    </row>
    <row r="100" spans="1:19" x14ac:dyDescent="0.25">
      <c r="A100" t="s">
        <v>3671</v>
      </c>
      <c r="B100" t="s">
        <v>3672</v>
      </c>
      <c r="C100" t="s">
        <v>3673</v>
      </c>
      <c r="D100" t="s">
        <v>3674</v>
      </c>
      <c r="E100" t="s">
        <v>429</v>
      </c>
      <c r="F100" t="s">
        <v>443</v>
      </c>
      <c r="G100">
        <v>98</v>
      </c>
      <c r="H100">
        <v>98</v>
      </c>
      <c r="I100">
        <v>299.56</v>
      </c>
      <c r="J100">
        <v>29356.880000000001</v>
      </c>
      <c r="K100">
        <v>14</v>
      </c>
      <c r="L100">
        <v>4697.1000000000004</v>
      </c>
      <c r="M100">
        <v>29944.02</v>
      </c>
      <c r="N100" t="s">
        <v>1189</v>
      </c>
      <c r="O100" t="s">
        <v>3442</v>
      </c>
      <c r="P100" t="s">
        <v>2398</v>
      </c>
      <c r="Q100" t="s">
        <v>2486</v>
      </c>
      <c r="R100" t="s">
        <v>3425</v>
      </c>
      <c r="S100" t="s">
        <v>3443</v>
      </c>
    </row>
    <row r="101" spans="1:19" x14ac:dyDescent="0.25">
      <c r="A101" t="s">
        <v>3675</v>
      </c>
      <c r="B101" t="s">
        <v>3676</v>
      </c>
      <c r="C101" t="s">
        <v>3677</v>
      </c>
      <c r="D101" t="s">
        <v>3678</v>
      </c>
      <c r="E101" t="s">
        <v>423</v>
      </c>
      <c r="F101" t="s">
        <v>561</v>
      </c>
      <c r="G101">
        <v>17</v>
      </c>
      <c r="H101">
        <v>15</v>
      </c>
      <c r="I101">
        <v>231.04</v>
      </c>
      <c r="J101">
        <v>3927.68</v>
      </c>
      <c r="K101">
        <v>8.4</v>
      </c>
      <c r="L101">
        <v>628.42999999999995</v>
      </c>
      <c r="M101">
        <v>4226.18</v>
      </c>
      <c r="N101" t="s">
        <v>1178</v>
      </c>
      <c r="O101" t="s">
        <v>3436</v>
      </c>
      <c r="P101" t="s">
        <v>2456</v>
      </c>
      <c r="Q101" t="s">
        <v>2551</v>
      </c>
      <c r="R101" t="s">
        <v>3425</v>
      </c>
    </row>
    <row r="102" spans="1:19" x14ac:dyDescent="0.25">
      <c r="A102" t="s">
        <v>3679</v>
      </c>
      <c r="B102" t="s">
        <v>3433</v>
      </c>
      <c r="C102" t="s">
        <v>3680</v>
      </c>
      <c r="D102" t="s">
        <v>3496</v>
      </c>
      <c r="E102" t="s">
        <v>156</v>
      </c>
      <c r="F102" t="s">
        <v>1061</v>
      </c>
      <c r="G102">
        <v>46</v>
      </c>
      <c r="H102">
        <v>43</v>
      </c>
      <c r="I102">
        <v>477.46</v>
      </c>
      <c r="J102">
        <v>21963.16</v>
      </c>
      <c r="K102">
        <v>13.7</v>
      </c>
      <c r="L102">
        <v>3514.11</v>
      </c>
      <c r="M102">
        <v>22468.32</v>
      </c>
      <c r="N102" t="s">
        <v>1178</v>
      </c>
      <c r="O102" t="s">
        <v>3428</v>
      </c>
      <c r="P102" t="s">
        <v>2398</v>
      </c>
      <c r="Q102" t="s">
        <v>2564</v>
      </c>
      <c r="R102" t="s">
        <v>3425</v>
      </c>
    </row>
    <row r="103" spans="1:19" x14ac:dyDescent="0.25">
      <c r="A103" t="s">
        <v>3681</v>
      </c>
      <c r="B103" t="s">
        <v>3682</v>
      </c>
      <c r="C103" t="s">
        <v>2992</v>
      </c>
      <c r="D103" t="s">
        <v>3683</v>
      </c>
      <c r="E103" t="s">
        <v>45</v>
      </c>
      <c r="F103" t="s">
        <v>38</v>
      </c>
      <c r="G103">
        <v>76</v>
      </c>
      <c r="H103">
        <v>73</v>
      </c>
      <c r="I103">
        <v>316.87</v>
      </c>
      <c r="J103">
        <v>24082.12</v>
      </c>
      <c r="K103">
        <v>10.1</v>
      </c>
      <c r="L103">
        <v>3853.14</v>
      </c>
      <c r="M103">
        <v>25502.97</v>
      </c>
      <c r="N103" t="s">
        <v>1178</v>
      </c>
      <c r="O103" t="s">
        <v>3436</v>
      </c>
      <c r="P103" t="s">
        <v>2456</v>
      </c>
      <c r="Q103" t="s">
        <v>2515</v>
      </c>
      <c r="R103" t="s">
        <v>3425</v>
      </c>
    </row>
    <row r="104" spans="1:19" x14ac:dyDescent="0.25">
      <c r="A104" t="s">
        <v>3684</v>
      </c>
      <c r="B104" t="s">
        <v>3540</v>
      </c>
      <c r="C104" t="s">
        <v>3685</v>
      </c>
      <c r="D104" t="s">
        <v>3686</v>
      </c>
      <c r="E104" t="s">
        <v>476</v>
      </c>
      <c r="F104" t="s">
        <v>744</v>
      </c>
      <c r="G104">
        <v>44</v>
      </c>
      <c r="H104">
        <v>41</v>
      </c>
      <c r="I104">
        <v>71.73</v>
      </c>
      <c r="J104">
        <v>3156.12</v>
      </c>
      <c r="K104">
        <v>7.8</v>
      </c>
      <c r="L104">
        <v>504.98</v>
      </c>
      <c r="M104">
        <v>3414.92</v>
      </c>
      <c r="N104" t="s">
        <v>1178</v>
      </c>
      <c r="O104" t="s">
        <v>1179</v>
      </c>
      <c r="P104" t="s">
        <v>2432</v>
      </c>
      <c r="Q104" t="s">
        <v>2522</v>
      </c>
      <c r="R104" t="s">
        <v>3425</v>
      </c>
    </row>
    <row r="105" spans="1:19" x14ac:dyDescent="0.25">
      <c r="A105" t="s">
        <v>3687</v>
      </c>
      <c r="B105" t="s">
        <v>3688</v>
      </c>
      <c r="C105" t="s">
        <v>3689</v>
      </c>
      <c r="D105" t="s">
        <v>3690</v>
      </c>
      <c r="E105" t="s">
        <v>303</v>
      </c>
      <c r="F105" t="s">
        <v>1056</v>
      </c>
      <c r="G105">
        <v>94</v>
      </c>
      <c r="H105">
        <v>94</v>
      </c>
      <c r="I105">
        <v>144.81</v>
      </c>
      <c r="J105">
        <v>13612.14</v>
      </c>
      <c r="K105">
        <v>7.8</v>
      </c>
      <c r="L105">
        <v>2177.94</v>
      </c>
      <c r="M105">
        <v>14728.33</v>
      </c>
      <c r="N105" t="s">
        <v>1178</v>
      </c>
      <c r="O105" t="s">
        <v>1179</v>
      </c>
      <c r="P105" t="s">
        <v>2398</v>
      </c>
      <c r="Q105" t="s">
        <v>2491</v>
      </c>
      <c r="R105" t="s">
        <v>3434</v>
      </c>
      <c r="S105" t="s">
        <v>3509</v>
      </c>
    </row>
    <row r="106" spans="1:19" x14ac:dyDescent="0.25">
      <c r="A106" t="s">
        <v>3691</v>
      </c>
      <c r="B106" t="s">
        <v>3655</v>
      </c>
      <c r="C106" t="s">
        <v>2622</v>
      </c>
      <c r="D106" t="s">
        <v>3279</v>
      </c>
      <c r="E106" t="s">
        <v>212</v>
      </c>
      <c r="F106" t="s">
        <v>672</v>
      </c>
      <c r="G106">
        <v>29</v>
      </c>
      <c r="H106">
        <v>29</v>
      </c>
      <c r="I106">
        <v>448.41</v>
      </c>
      <c r="J106">
        <v>13003.89</v>
      </c>
      <c r="K106">
        <v>4.3</v>
      </c>
      <c r="L106">
        <v>2080.62</v>
      </c>
      <c r="M106">
        <v>14525.34</v>
      </c>
      <c r="N106" t="s">
        <v>1178</v>
      </c>
      <c r="O106" t="s">
        <v>1179</v>
      </c>
      <c r="P106" t="s">
        <v>2398</v>
      </c>
      <c r="Q106" t="s">
        <v>2491</v>
      </c>
      <c r="R106" t="s">
        <v>3425</v>
      </c>
    </row>
    <row r="107" spans="1:19" x14ac:dyDescent="0.25">
      <c r="A107" t="s">
        <v>3692</v>
      </c>
      <c r="B107" t="s">
        <v>2924</v>
      </c>
      <c r="C107" t="s">
        <v>3332</v>
      </c>
      <c r="D107" t="s">
        <v>3174</v>
      </c>
      <c r="E107" t="s">
        <v>189</v>
      </c>
      <c r="F107" t="s">
        <v>880</v>
      </c>
      <c r="G107">
        <v>6</v>
      </c>
      <c r="H107">
        <v>6</v>
      </c>
      <c r="I107">
        <v>481.94</v>
      </c>
      <c r="J107">
        <v>2891.64</v>
      </c>
      <c r="K107">
        <v>8.1</v>
      </c>
      <c r="L107">
        <v>462.66</v>
      </c>
      <c r="M107">
        <v>3120.08</v>
      </c>
      <c r="N107" t="s">
        <v>1178</v>
      </c>
      <c r="O107" t="s">
        <v>3424</v>
      </c>
      <c r="P107" t="s">
        <v>2416</v>
      </c>
      <c r="Q107" t="s">
        <v>2548</v>
      </c>
      <c r="R107" t="s">
        <v>3429</v>
      </c>
      <c r="S107" t="s">
        <v>3466</v>
      </c>
    </row>
    <row r="108" spans="1:19" x14ac:dyDescent="0.25">
      <c r="A108" t="s">
        <v>3693</v>
      </c>
      <c r="B108" t="s">
        <v>3694</v>
      </c>
      <c r="C108" t="s">
        <v>3695</v>
      </c>
      <c r="D108" t="s">
        <v>3642</v>
      </c>
      <c r="E108" t="s">
        <v>106</v>
      </c>
      <c r="F108" t="s">
        <v>258</v>
      </c>
      <c r="G108">
        <v>59</v>
      </c>
      <c r="H108">
        <v>56</v>
      </c>
      <c r="I108">
        <v>182.72</v>
      </c>
      <c r="J108">
        <v>10780.48</v>
      </c>
      <c r="K108">
        <v>1.6</v>
      </c>
      <c r="L108">
        <v>1724.88</v>
      </c>
      <c r="M108">
        <v>12332.87</v>
      </c>
      <c r="N108" t="s">
        <v>1189</v>
      </c>
      <c r="O108" t="s">
        <v>1179</v>
      </c>
      <c r="P108" t="s">
        <v>2388</v>
      </c>
      <c r="Q108" t="s">
        <v>2495</v>
      </c>
      <c r="R108" t="s">
        <v>3434</v>
      </c>
    </row>
    <row r="109" spans="1:19" x14ac:dyDescent="0.25">
      <c r="A109" t="s">
        <v>3696</v>
      </c>
      <c r="B109" t="s">
        <v>3486</v>
      </c>
      <c r="C109" t="s">
        <v>3009</v>
      </c>
      <c r="D109" t="s">
        <v>3485</v>
      </c>
      <c r="E109" t="s">
        <v>177</v>
      </c>
      <c r="F109" t="s">
        <v>186</v>
      </c>
      <c r="G109">
        <v>96</v>
      </c>
      <c r="H109">
        <v>94</v>
      </c>
      <c r="I109">
        <v>406.99</v>
      </c>
      <c r="J109">
        <v>39071.040000000001</v>
      </c>
      <c r="K109">
        <v>10.9</v>
      </c>
      <c r="L109">
        <v>6251.37</v>
      </c>
      <c r="M109">
        <v>41063.67</v>
      </c>
      <c r="N109" t="s">
        <v>1178</v>
      </c>
      <c r="O109" t="s">
        <v>3428</v>
      </c>
      <c r="P109" t="s">
        <v>2449</v>
      </c>
      <c r="Q109" t="s">
        <v>2558</v>
      </c>
      <c r="R109" t="s">
        <v>3425</v>
      </c>
      <c r="S109" t="s">
        <v>3426</v>
      </c>
    </row>
    <row r="110" spans="1:19" x14ac:dyDescent="0.25">
      <c r="A110" t="s">
        <v>3697</v>
      </c>
      <c r="B110" t="s">
        <v>3558</v>
      </c>
      <c r="C110" t="s">
        <v>2609</v>
      </c>
      <c r="D110" t="s">
        <v>3698</v>
      </c>
      <c r="E110" t="s">
        <v>303</v>
      </c>
      <c r="F110" t="s">
        <v>662</v>
      </c>
      <c r="G110">
        <v>13</v>
      </c>
      <c r="H110">
        <v>8</v>
      </c>
      <c r="I110">
        <v>469.57</v>
      </c>
      <c r="J110">
        <v>6104.41</v>
      </c>
      <c r="K110">
        <v>11.9</v>
      </c>
      <c r="L110">
        <v>976.71</v>
      </c>
      <c r="M110">
        <v>6354.7</v>
      </c>
      <c r="N110" t="s">
        <v>1178</v>
      </c>
      <c r="O110" t="s">
        <v>3442</v>
      </c>
      <c r="P110" t="s">
        <v>2407</v>
      </c>
      <c r="Q110" t="s">
        <v>2495</v>
      </c>
      <c r="R110" t="s">
        <v>3429</v>
      </c>
    </row>
    <row r="111" spans="1:19" x14ac:dyDescent="0.25">
      <c r="A111" t="s">
        <v>3699</v>
      </c>
      <c r="B111" t="s">
        <v>2946</v>
      </c>
      <c r="C111" t="s">
        <v>2940</v>
      </c>
      <c r="D111" t="s">
        <v>3422</v>
      </c>
      <c r="E111" t="s">
        <v>1422</v>
      </c>
      <c r="F111" t="s">
        <v>353</v>
      </c>
      <c r="G111">
        <v>34</v>
      </c>
      <c r="H111">
        <v>33</v>
      </c>
      <c r="I111">
        <v>261.55</v>
      </c>
      <c r="J111">
        <v>8892.7000000000007</v>
      </c>
      <c r="K111">
        <v>7.3</v>
      </c>
      <c r="L111">
        <v>1422.83</v>
      </c>
      <c r="M111">
        <v>9666.36</v>
      </c>
      <c r="N111" t="s">
        <v>1178</v>
      </c>
      <c r="O111" t="s">
        <v>3442</v>
      </c>
      <c r="P111" t="s">
        <v>2449</v>
      </c>
      <c r="Q111" t="s">
        <v>2564</v>
      </c>
      <c r="R111" t="s">
        <v>3425</v>
      </c>
    </row>
    <row r="112" spans="1:19" x14ac:dyDescent="0.25">
      <c r="A112" t="s">
        <v>3700</v>
      </c>
      <c r="B112" t="s">
        <v>2678</v>
      </c>
      <c r="C112" t="s">
        <v>3701</v>
      </c>
      <c r="D112" t="s">
        <v>3702</v>
      </c>
      <c r="E112" t="s">
        <v>423</v>
      </c>
      <c r="F112" t="s">
        <v>165</v>
      </c>
      <c r="G112">
        <v>63</v>
      </c>
      <c r="H112">
        <v>58</v>
      </c>
      <c r="I112">
        <v>300.98</v>
      </c>
      <c r="J112">
        <v>18961.740000000002</v>
      </c>
      <c r="K112">
        <v>3.1</v>
      </c>
      <c r="L112">
        <v>3033.88</v>
      </c>
      <c r="M112">
        <v>21407.81</v>
      </c>
      <c r="N112" t="s">
        <v>1178</v>
      </c>
      <c r="O112" t="s">
        <v>3436</v>
      </c>
      <c r="P112" t="s">
        <v>2432</v>
      </c>
      <c r="Q112" t="s">
        <v>2554</v>
      </c>
      <c r="R112" t="s">
        <v>3425</v>
      </c>
      <c r="S112" t="s">
        <v>3426</v>
      </c>
    </row>
    <row r="113" spans="1:19" x14ac:dyDescent="0.25">
      <c r="A113" t="s">
        <v>3703</v>
      </c>
      <c r="B113" t="s">
        <v>2415</v>
      </c>
      <c r="C113" t="s">
        <v>3171</v>
      </c>
      <c r="D113" t="s">
        <v>2741</v>
      </c>
      <c r="E113" t="s">
        <v>121</v>
      </c>
      <c r="F113" t="s">
        <v>789</v>
      </c>
      <c r="G113">
        <v>85</v>
      </c>
      <c r="H113">
        <v>82</v>
      </c>
      <c r="I113">
        <v>479.45</v>
      </c>
      <c r="J113">
        <v>40753.25</v>
      </c>
      <c r="K113">
        <v>13.2</v>
      </c>
      <c r="L113">
        <v>6520.52</v>
      </c>
      <c r="M113">
        <v>41894.339999999997</v>
      </c>
      <c r="N113" t="s">
        <v>1189</v>
      </c>
      <c r="O113" t="s">
        <v>3428</v>
      </c>
      <c r="P113" t="s">
        <v>2456</v>
      </c>
      <c r="Q113" t="s">
        <v>2525</v>
      </c>
      <c r="R113" t="s">
        <v>3437</v>
      </c>
      <c r="S113" t="s">
        <v>3509</v>
      </c>
    </row>
    <row r="114" spans="1:19" x14ac:dyDescent="0.25">
      <c r="A114" t="s">
        <v>3704</v>
      </c>
      <c r="B114" t="s">
        <v>3705</v>
      </c>
      <c r="C114" t="s">
        <v>3706</v>
      </c>
      <c r="D114" t="s">
        <v>3707</v>
      </c>
      <c r="E114" t="s">
        <v>482</v>
      </c>
      <c r="F114" t="s">
        <v>384</v>
      </c>
      <c r="G114">
        <v>15</v>
      </c>
      <c r="H114">
        <v>12</v>
      </c>
      <c r="I114">
        <v>483.31</v>
      </c>
      <c r="J114">
        <v>7249.65</v>
      </c>
      <c r="K114">
        <v>13.5</v>
      </c>
      <c r="L114">
        <v>1159.94</v>
      </c>
      <c r="M114">
        <v>7430.89</v>
      </c>
      <c r="N114" t="s">
        <v>1178</v>
      </c>
      <c r="O114" t="s">
        <v>3424</v>
      </c>
      <c r="P114" t="s">
        <v>2432</v>
      </c>
      <c r="Q114" t="s">
        <v>2491</v>
      </c>
      <c r="R114" t="s">
        <v>3425</v>
      </c>
      <c r="S114" t="s">
        <v>3466</v>
      </c>
    </row>
    <row r="115" spans="1:19" x14ac:dyDescent="0.25">
      <c r="A115" t="s">
        <v>3708</v>
      </c>
      <c r="B115" t="s">
        <v>3252</v>
      </c>
      <c r="C115" t="s">
        <v>3709</v>
      </c>
      <c r="D115" t="s">
        <v>3709</v>
      </c>
      <c r="E115" t="s">
        <v>847</v>
      </c>
      <c r="F115" t="s">
        <v>960</v>
      </c>
      <c r="G115">
        <v>15</v>
      </c>
      <c r="H115">
        <v>11</v>
      </c>
      <c r="I115">
        <v>206.41</v>
      </c>
      <c r="J115">
        <v>3096.15</v>
      </c>
      <c r="K115">
        <v>6</v>
      </c>
      <c r="L115">
        <v>495.38</v>
      </c>
      <c r="M115">
        <v>3405.76</v>
      </c>
      <c r="N115" t="s">
        <v>1189</v>
      </c>
      <c r="O115" t="s">
        <v>3424</v>
      </c>
      <c r="P115" t="s">
        <v>2376</v>
      </c>
      <c r="Q115" t="s">
        <v>2519</v>
      </c>
      <c r="R115" t="s">
        <v>3434</v>
      </c>
    </row>
    <row r="116" spans="1:19" x14ac:dyDescent="0.25">
      <c r="A116" t="s">
        <v>3710</v>
      </c>
      <c r="B116" t="s">
        <v>3558</v>
      </c>
      <c r="C116" t="s">
        <v>3711</v>
      </c>
      <c r="D116" t="s">
        <v>2707</v>
      </c>
      <c r="E116" t="s">
        <v>429</v>
      </c>
      <c r="F116" t="s">
        <v>152</v>
      </c>
      <c r="G116">
        <v>72</v>
      </c>
      <c r="H116">
        <v>69</v>
      </c>
      <c r="I116">
        <v>397.31</v>
      </c>
      <c r="J116">
        <v>28606.32</v>
      </c>
      <c r="K116">
        <v>3.9</v>
      </c>
      <c r="L116">
        <v>4577.01</v>
      </c>
      <c r="M116">
        <v>32067.68</v>
      </c>
      <c r="N116" t="s">
        <v>1189</v>
      </c>
      <c r="O116" t="s">
        <v>3428</v>
      </c>
      <c r="P116" t="s">
        <v>2416</v>
      </c>
      <c r="Q116" t="s">
        <v>2481</v>
      </c>
      <c r="R116" t="s">
        <v>3434</v>
      </c>
      <c r="S116" t="s">
        <v>3466</v>
      </c>
    </row>
    <row r="117" spans="1:19" x14ac:dyDescent="0.25">
      <c r="A117" t="s">
        <v>3712</v>
      </c>
      <c r="B117" t="s">
        <v>2816</v>
      </c>
      <c r="C117" t="s">
        <v>3713</v>
      </c>
      <c r="D117" t="s">
        <v>2817</v>
      </c>
      <c r="E117" t="s">
        <v>1442</v>
      </c>
      <c r="F117" t="s">
        <v>384</v>
      </c>
      <c r="G117">
        <v>44</v>
      </c>
      <c r="H117">
        <v>40</v>
      </c>
      <c r="I117">
        <v>336.32</v>
      </c>
      <c r="J117">
        <v>14798.08</v>
      </c>
      <c r="K117">
        <v>0.7</v>
      </c>
      <c r="L117">
        <v>2367.69</v>
      </c>
      <c r="M117">
        <v>17062.18</v>
      </c>
      <c r="N117" t="s">
        <v>1178</v>
      </c>
      <c r="O117" t="s">
        <v>3436</v>
      </c>
      <c r="P117" t="s">
        <v>2407</v>
      </c>
      <c r="Q117" t="s">
        <v>2568</v>
      </c>
      <c r="R117" t="s">
        <v>3425</v>
      </c>
      <c r="S117" t="s">
        <v>3426</v>
      </c>
    </row>
    <row r="118" spans="1:19" x14ac:dyDescent="0.25">
      <c r="A118" t="s">
        <v>3714</v>
      </c>
      <c r="B118" t="s">
        <v>2218</v>
      </c>
      <c r="C118" t="s">
        <v>3715</v>
      </c>
      <c r="D118" t="s">
        <v>3253</v>
      </c>
      <c r="E118" t="s">
        <v>654</v>
      </c>
      <c r="F118" t="s">
        <v>885</v>
      </c>
      <c r="G118">
        <v>70</v>
      </c>
      <c r="H118">
        <v>68</v>
      </c>
      <c r="I118">
        <v>58.96</v>
      </c>
      <c r="J118">
        <v>4127.2</v>
      </c>
      <c r="K118">
        <v>10.8</v>
      </c>
      <c r="L118">
        <v>660.35</v>
      </c>
      <c r="M118">
        <v>4341.8100000000004</v>
      </c>
      <c r="N118" t="s">
        <v>1178</v>
      </c>
      <c r="O118" t="s">
        <v>3436</v>
      </c>
      <c r="P118" t="s">
        <v>2388</v>
      </c>
      <c r="Q118" t="s">
        <v>2554</v>
      </c>
      <c r="R118" t="s">
        <v>3425</v>
      </c>
    </row>
    <row r="119" spans="1:19" x14ac:dyDescent="0.25">
      <c r="A119" t="s">
        <v>3716</v>
      </c>
      <c r="B119" t="s">
        <v>3340</v>
      </c>
      <c r="C119" t="s">
        <v>3717</v>
      </c>
      <c r="D119" t="s">
        <v>2988</v>
      </c>
      <c r="E119" t="s">
        <v>558</v>
      </c>
      <c r="F119" t="s">
        <v>799</v>
      </c>
      <c r="G119">
        <v>26</v>
      </c>
      <c r="H119">
        <v>25</v>
      </c>
      <c r="I119">
        <v>493.35</v>
      </c>
      <c r="J119">
        <v>12827.1</v>
      </c>
      <c r="K119">
        <v>12.6</v>
      </c>
      <c r="L119">
        <v>2052.34</v>
      </c>
      <c r="M119">
        <v>13263.23</v>
      </c>
      <c r="N119" t="s">
        <v>1178</v>
      </c>
      <c r="O119" t="s">
        <v>1179</v>
      </c>
      <c r="P119" t="s">
        <v>2432</v>
      </c>
      <c r="Q119" t="s">
        <v>2506</v>
      </c>
      <c r="R119" t="s">
        <v>3425</v>
      </c>
    </row>
    <row r="120" spans="1:19" x14ac:dyDescent="0.25">
      <c r="A120" t="s">
        <v>3718</v>
      </c>
      <c r="B120" t="s">
        <v>2033</v>
      </c>
      <c r="C120" t="s">
        <v>2755</v>
      </c>
      <c r="D120" t="s">
        <v>3719</v>
      </c>
      <c r="E120" t="s">
        <v>303</v>
      </c>
      <c r="F120" t="s">
        <v>77</v>
      </c>
      <c r="G120">
        <v>97</v>
      </c>
      <c r="H120">
        <v>96</v>
      </c>
      <c r="I120">
        <v>473.16</v>
      </c>
      <c r="J120">
        <v>45896.52</v>
      </c>
      <c r="K120">
        <v>1.5</v>
      </c>
      <c r="L120">
        <v>7343.44</v>
      </c>
      <c r="M120">
        <v>52551.51</v>
      </c>
      <c r="N120" t="s">
        <v>1178</v>
      </c>
      <c r="O120" t="s">
        <v>1179</v>
      </c>
      <c r="P120" t="s">
        <v>2376</v>
      </c>
      <c r="Q120" t="s">
        <v>2512</v>
      </c>
      <c r="R120" t="s">
        <v>3425</v>
      </c>
    </row>
    <row r="121" spans="1:19" x14ac:dyDescent="0.25">
      <c r="A121" t="s">
        <v>3720</v>
      </c>
      <c r="B121" t="s">
        <v>2632</v>
      </c>
      <c r="C121" t="s">
        <v>1487</v>
      </c>
      <c r="D121" t="s">
        <v>3721</v>
      </c>
      <c r="E121" t="s">
        <v>1018</v>
      </c>
      <c r="F121" t="s">
        <v>1071</v>
      </c>
      <c r="G121">
        <v>16</v>
      </c>
      <c r="H121">
        <v>14</v>
      </c>
      <c r="I121">
        <v>415.85</v>
      </c>
      <c r="J121">
        <v>6653.6</v>
      </c>
      <c r="K121">
        <v>5.7</v>
      </c>
      <c r="L121">
        <v>1064.58</v>
      </c>
      <c r="M121">
        <v>7338.92</v>
      </c>
      <c r="N121" t="s">
        <v>1178</v>
      </c>
      <c r="O121" t="s">
        <v>3442</v>
      </c>
      <c r="P121" t="s">
        <v>2388</v>
      </c>
      <c r="Q121" t="s">
        <v>2541</v>
      </c>
      <c r="R121" t="s">
        <v>3429</v>
      </c>
    </row>
    <row r="122" spans="1:19" x14ac:dyDescent="0.25">
      <c r="A122" t="s">
        <v>3722</v>
      </c>
      <c r="B122" t="s">
        <v>3642</v>
      </c>
      <c r="C122" t="s">
        <v>3723</v>
      </c>
      <c r="D122" t="s">
        <v>3454</v>
      </c>
      <c r="E122" t="s">
        <v>195</v>
      </c>
      <c r="F122" t="s">
        <v>1066</v>
      </c>
      <c r="G122">
        <v>70</v>
      </c>
      <c r="H122">
        <v>69</v>
      </c>
      <c r="I122">
        <v>322.19</v>
      </c>
      <c r="J122">
        <v>22553.3</v>
      </c>
      <c r="K122">
        <v>2.2999999999999998</v>
      </c>
      <c r="L122">
        <v>3608.53</v>
      </c>
      <c r="M122">
        <v>25643.1</v>
      </c>
      <c r="N122" t="s">
        <v>1161</v>
      </c>
      <c r="O122" t="s">
        <v>1179</v>
      </c>
      <c r="P122" t="s">
        <v>2425</v>
      </c>
      <c r="Q122" t="s">
        <v>2531</v>
      </c>
      <c r="R122" t="s">
        <v>3425</v>
      </c>
      <c r="S122" t="s">
        <v>3509</v>
      </c>
    </row>
    <row r="123" spans="1:19" x14ac:dyDescent="0.25">
      <c r="A123" t="s">
        <v>3724</v>
      </c>
      <c r="B123" t="s">
        <v>3725</v>
      </c>
      <c r="C123" t="s">
        <v>3726</v>
      </c>
      <c r="D123" t="s">
        <v>3727</v>
      </c>
      <c r="E123" t="s">
        <v>1018</v>
      </c>
      <c r="F123" t="s">
        <v>698</v>
      </c>
      <c r="G123">
        <v>26</v>
      </c>
      <c r="H123">
        <v>24</v>
      </c>
      <c r="I123">
        <v>94.86</v>
      </c>
      <c r="J123">
        <v>2466.36</v>
      </c>
      <c r="K123">
        <v>14.5</v>
      </c>
      <c r="L123">
        <v>394.62</v>
      </c>
      <c r="M123">
        <v>2503.36</v>
      </c>
      <c r="N123" t="s">
        <v>1189</v>
      </c>
      <c r="O123" t="s">
        <v>3442</v>
      </c>
      <c r="P123" t="s">
        <v>2407</v>
      </c>
      <c r="Q123" t="s">
        <v>2531</v>
      </c>
      <c r="R123" t="s">
        <v>3434</v>
      </c>
      <c r="S123" t="s">
        <v>3466</v>
      </c>
    </row>
    <row r="124" spans="1:19" x14ac:dyDescent="0.25">
      <c r="A124" t="s">
        <v>3728</v>
      </c>
      <c r="B124" t="s">
        <v>3478</v>
      </c>
      <c r="C124" t="s">
        <v>3729</v>
      </c>
      <c r="D124" t="s">
        <v>3632</v>
      </c>
      <c r="E124" t="s">
        <v>162</v>
      </c>
      <c r="F124" t="s">
        <v>1010</v>
      </c>
      <c r="G124">
        <v>69</v>
      </c>
      <c r="H124">
        <v>65</v>
      </c>
      <c r="I124">
        <v>277.97000000000003</v>
      </c>
      <c r="J124">
        <v>19179.93</v>
      </c>
      <c r="K124">
        <v>5.7</v>
      </c>
      <c r="L124">
        <v>3068.79</v>
      </c>
      <c r="M124">
        <v>21155.46</v>
      </c>
      <c r="N124" t="s">
        <v>1178</v>
      </c>
      <c r="O124" t="s">
        <v>3428</v>
      </c>
      <c r="P124" t="s">
        <v>2407</v>
      </c>
      <c r="Q124" t="s">
        <v>2548</v>
      </c>
      <c r="R124" t="s">
        <v>3425</v>
      </c>
      <c r="S124" t="s">
        <v>3443</v>
      </c>
    </row>
    <row r="125" spans="1:19" x14ac:dyDescent="0.25">
      <c r="A125" t="s">
        <v>3730</v>
      </c>
      <c r="B125" t="s">
        <v>3731</v>
      </c>
      <c r="C125" t="s">
        <v>3732</v>
      </c>
      <c r="D125" t="s">
        <v>3733</v>
      </c>
      <c r="E125" t="s">
        <v>1461</v>
      </c>
      <c r="F125" t="s">
        <v>400</v>
      </c>
      <c r="G125">
        <v>58</v>
      </c>
      <c r="H125">
        <v>57</v>
      </c>
      <c r="I125">
        <v>216.42</v>
      </c>
      <c r="J125">
        <v>12552.36</v>
      </c>
      <c r="K125">
        <v>8.4</v>
      </c>
      <c r="L125">
        <v>2008.38</v>
      </c>
      <c r="M125">
        <v>13506.34</v>
      </c>
      <c r="N125" t="s">
        <v>1178</v>
      </c>
      <c r="O125" t="s">
        <v>3442</v>
      </c>
      <c r="P125" t="s">
        <v>2449</v>
      </c>
      <c r="Q125" t="s">
        <v>2501</v>
      </c>
      <c r="R125" t="s">
        <v>3425</v>
      </c>
      <c r="S125" t="s">
        <v>3466</v>
      </c>
    </row>
    <row r="126" spans="1:19" x14ac:dyDescent="0.25">
      <c r="A126" t="s">
        <v>3734</v>
      </c>
      <c r="B126" t="s">
        <v>3268</v>
      </c>
      <c r="C126" t="s">
        <v>3661</v>
      </c>
      <c r="D126" t="s">
        <v>3735</v>
      </c>
      <c r="E126" t="s">
        <v>32</v>
      </c>
      <c r="F126" t="s">
        <v>420</v>
      </c>
      <c r="G126">
        <v>11</v>
      </c>
      <c r="H126">
        <v>7</v>
      </c>
      <c r="I126">
        <v>113.6</v>
      </c>
      <c r="J126">
        <v>1249.5999999999999</v>
      </c>
      <c r="K126">
        <v>9.1999999999999993</v>
      </c>
      <c r="L126">
        <v>199.94</v>
      </c>
      <c r="M126">
        <v>1334.58</v>
      </c>
      <c r="N126" t="s">
        <v>1178</v>
      </c>
      <c r="O126" t="s">
        <v>3442</v>
      </c>
      <c r="P126" t="s">
        <v>2440</v>
      </c>
      <c r="Q126" t="s">
        <v>2515</v>
      </c>
      <c r="R126" t="s">
        <v>3429</v>
      </c>
      <c r="S126" t="s">
        <v>3509</v>
      </c>
    </row>
    <row r="127" spans="1:19" x14ac:dyDescent="0.25">
      <c r="A127" t="s">
        <v>3736</v>
      </c>
      <c r="B127" t="s">
        <v>3737</v>
      </c>
      <c r="C127" t="s">
        <v>3738</v>
      </c>
      <c r="D127" t="s">
        <v>3739</v>
      </c>
      <c r="E127" t="s">
        <v>1448</v>
      </c>
      <c r="F127" t="s">
        <v>540</v>
      </c>
      <c r="G127">
        <v>20</v>
      </c>
      <c r="H127">
        <v>18</v>
      </c>
      <c r="I127">
        <v>66.430000000000007</v>
      </c>
      <c r="J127">
        <v>1328.6</v>
      </c>
      <c r="K127">
        <v>10.3</v>
      </c>
      <c r="L127">
        <v>212.58</v>
      </c>
      <c r="M127">
        <v>1404.33</v>
      </c>
      <c r="N127" t="s">
        <v>1178</v>
      </c>
      <c r="O127" t="s">
        <v>3436</v>
      </c>
      <c r="P127" t="s">
        <v>2440</v>
      </c>
      <c r="Q127" t="s">
        <v>2544</v>
      </c>
      <c r="R127" t="s">
        <v>3437</v>
      </c>
      <c r="S127" t="s">
        <v>3426</v>
      </c>
    </row>
    <row r="128" spans="1:19" x14ac:dyDescent="0.25">
      <c r="A128" t="s">
        <v>3740</v>
      </c>
      <c r="B128" t="s">
        <v>3741</v>
      </c>
      <c r="C128" t="s">
        <v>3742</v>
      </c>
      <c r="D128" t="s">
        <v>3742</v>
      </c>
      <c r="E128" t="s">
        <v>1410</v>
      </c>
      <c r="F128" t="s">
        <v>405</v>
      </c>
      <c r="G128">
        <v>42</v>
      </c>
      <c r="H128">
        <v>39</v>
      </c>
      <c r="I128">
        <v>257.62</v>
      </c>
      <c r="J128">
        <v>10820.04</v>
      </c>
      <c r="K128">
        <v>7.2</v>
      </c>
      <c r="L128">
        <v>1731.21</v>
      </c>
      <c r="M128">
        <v>11772.21</v>
      </c>
      <c r="N128" t="s">
        <v>1178</v>
      </c>
      <c r="O128" t="s">
        <v>3428</v>
      </c>
      <c r="P128" t="s">
        <v>2398</v>
      </c>
      <c r="Q128" t="s">
        <v>2568</v>
      </c>
      <c r="R128" t="s">
        <v>3425</v>
      </c>
    </row>
    <row r="129" spans="1:19" x14ac:dyDescent="0.25">
      <c r="A129" t="s">
        <v>3743</v>
      </c>
      <c r="B129" t="s">
        <v>3635</v>
      </c>
      <c r="C129" t="s">
        <v>3155</v>
      </c>
      <c r="D129" t="s">
        <v>3051</v>
      </c>
      <c r="E129" t="s">
        <v>106</v>
      </c>
      <c r="F129" t="s">
        <v>1071</v>
      </c>
      <c r="G129">
        <v>16</v>
      </c>
      <c r="H129">
        <v>13</v>
      </c>
      <c r="I129">
        <v>124.79</v>
      </c>
      <c r="J129">
        <v>1996.64</v>
      </c>
      <c r="K129">
        <v>6.6</v>
      </c>
      <c r="L129">
        <v>319.45999999999998</v>
      </c>
      <c r="M129">
        <v>2184.3200000000002</v>
      </c>
      <c r="N129" t="s">
        <v>1178</v>
      </c>
      <c r="O129" t="s">
        <v>3436</v>
      </c>
      <c r="P129" t="s">
        <v>2440</v>
      </c>
      <c r="Q129" t="s">
        <v>2495</v>
      </c>
      <c r="R129" t="s">
        <v>3429</v>
      </c>
      <c r="S129" t="s">
        <v>3443</v>
      </c>
    </row>
    <row r="130" spans="1:19" x14ac:dyDescent="0.25">
      <c r="A130" t="s">
        <v>3744</v>
      </c>
      <c r="B130" t="s">
        <v>3745</v>
      </c>
      <c r="C130" t="s">
        <v>3746</v>
      </c>
      <c r="D130" t="s">
        <v>3747</v>
      </c>
      <c r="E130" t="s">
        <v>195</v>
      </c>
      <c r="F130" t="s">
        <v>485</v>
      </c>
      <c r="G130">
        <v>16</v>
      </c>
      <c r="H130">
        <v>14</v>
      </c>
      <c r="I130">
        <v>245.97</v>
      </c>
      <c r="J130">
        <v>3935.52</v>
      </c>
      <c r="K130">
        <v>4.4000000000000004</v>
      </c>
      <c r="L130">
        <v>629.67999999999995</v>
      </c>
      <c r="M130">
        <v>4392.04</v>
      </c>
      <c r="N130" t="s">
        <v>1161</v>
      </c>
      <c r="O130" t="s">
        <v>1179</v>
      </c>
      <c r="P130" t="s">
        <v>2456</v>
      </c>
      <c r="Q130" t="s">
        <v>2554</v>
      </c>
      <c r="R130" t="s">
        <v>3425</v>
      </c>
    </row>
    <row r="131" spans="1:19" x14ac:dyDescent="0.25">
      <c r="A131" t="s">
        <v>3748</v>
      </c>
      <c r="B131" t="s">
        <v>3749</v>
      </c>
      <c r="C131" t="s">
        <v>3750</v>
      </c>
      <c r="D131" t="s">
        <v>3751</v>
      </c>
      <c r="E131" t="s">
        <v>162</v>
      </c>
      <c r="F131" t="s">
        <v>779</v>
      </c>
      <c r="G131">
        <v>88</v>
      </c>
      <c r="H131">
        <v>84</v>
      </c>
      <c r="I131">
        <v>142.01</v>
      </c>
      <c r="J131">
        <v>12496.88</v>
      </c>
      <c r="K131">
        <v>9.1999999999999993</v>
      </c>
      <c r="L131">
        <v>1999.5</v>
      </c>
      <c r="M131">
        <v>13346.67</v>
      </c>
      <c r="N131" t="s">
        <v>1178</v>
      </c>
      <c r="O131" t="s">
        <v>3428</v>
      </c>
      <c r="P131" t="s">
        <v>2440</v>
      </c>
      <c r="Q131" t="s">
        <v>2506</v>
      </c>
      <c r="R131" t="s">
        <v>2633</v>
      </c>
    </row>
    <row r="132" spans="1:19" x14ac:dyDescent="0.25">
      <c r="A132" t="s">
        <v>3752</v>
      </c>
      <c r="B132" t="s">
        <v>3753</v>
      </c>
      <c r="C132" t="s">
        <v>1863</v>
      </c>
      <c r="D132" t="s">
        <v>3062</v>
      </c>
      <c r="E132" t="s">
        <v>170</v>
      </c>
      <c r="F132" t="s">
        <v>784</v>
      </c>
      <c r="G132">
        <v>92</v>
      </c>
      <c r="H132">
        <v>89</v>
      </c>
      <c r="I132">
        <v>423.23</v>
      </c>
      <c r="J132">
        <v>38937.160000000003</v>
      </c>
      <c r="K132">
        <v>0.1</v>
      </c>
      <c r="L132">
        <v>6229.95</v>
      </c>
      <c r="M132">
        <v>45128.17</v>
      </c>
      <c r="N132" t="s">
        <v>1178</v>
      </c>
      <c r="O132" t="s">
        <v>3442</v>
      </c>
      <c r="P132" t="s">
        <v>2416</v>
      </c>
      <c r="Q132" t="s">
        <v>2561</v>
      </c>
      <c r="R132" t="s">
        <v>3425</v>
      </c>
    </row>
    <row r="133" spans="1:19" x14ac:dyDescent="0.25">
      <c r="A133" t="s">
        <v>3754</v>
      </c>
      <c r="B133" t="s">
        <v>3460</v>
      </c>
      <c r="C133" t="s">
        <v>3755</v>
      </c>
      <c r="D133" t="s">
        <v>3756</v>
      </c>
      <c r="E133" t="s">
        <v>1429</v>
      </c>
      <c r="F133" t="s">
        <v>209</v>
      </c>
      <c r="G133">
        <v>69</v>
      </c>
      <c r="H133">
        <v>68</v>
      </c>
      <c r="I133">
        <v>256.37</v>
      </c>
      <c r="J133">
        <v>17689.53</v>
      </c>
      <c r="K133">
        <v>1.4</v>
      </c>
      <c r="L133">
        <v>2830.32</v>
      </c>
      <c r="M133">
        <v>20272.2</v>
      </c>
      <c r="N133" t="s">
        <v>1178</v>
      </c>
      <c r="O133" t="s">
        <v>1179</v>
      </c>
      <c r="P133" t="s">
        <v>2449</v>
      </c>
      <c r="Q133" t="s">
        <v>2512</v>
      </c>
      <c r="R133" t="s">
        <v>2633</v>
      </c>
    </row>
    <row r="134" spans="1:19" x14ac:dyDescent="0.25">
      <c r="A134" t="s">
        <v>3757</v>
      </c>
      <c r="B134" t="s">
        <v>3610</v>
      </c>
      <c r="C134" t="s">
        <v>3758</v>
      </c>
      <c r="D134" t="s">
        <v>3726</v>
      </c>
      <c r="E134" t="s">
        <v>128</v>
      </c>
      <c r="F134" t="s">
        <v>458</v>
      </c>
      <c r="G134">
        <v>37</v>
      </c>
      <c r="H134">
        <v>33</v>
      </c>
      <c r="I134">
        <v>419.34</v>
      </c>
      <c r="J134">
        <v>15515.58</v>
      </c>
      <c r="K134">
        <v>13</v>
      </c>
      <c r="L134">
        <v>2482.4899999999998</v>
      </c>
      <c r="M134">
        <v>15981.04</v>
      </c>
      <c r="N134" t="s">
        <v>1189</v>
      </c>
      <c r="O134" t="s">
        <v>1179</v>
      </c>
      <c r="P134" t="s">
        <v>2449</v>
      </c>
      <c r="Q134" t="s">
        <v>2544</v>
      </c>
      <c r="R134" t="s">
        <v>3425</v>
      </c>
    </row>
    <row r="135" spans="1:19" x14ac:dyDescent="0.25">
      <c r="A135" t="s">
        <v>3759</v>
      </c>
      <c r="B135" t="s">
        <v>3462</v>
      </c>
      <c r="C135" t="s">
        <v>2773</v>
      </c>
      <c r="D135" t="s">
        <v>3531</v>
      </c>
      <c r="E135" t="s">
        <v>32</v>
      </c>
      <c r="F135" t="s">
        <v>295</v>
      </c>
      <c r="G135">
        <v>14</v>
      </c>
      <c r="H135">
        <v>13</v>
      </c>
      <c r="I135">
        <v>378.8</v>
      </c>
      <c r="J135">
        <v>5303.2</v>
      </c>
      <c r="K135">
        <v>4.2</v>
      </c>
      <c r="L135">
        <v>848.51</v>
      </c>
      <c r="M135">
        <v>5928.98</v>
      </c>
      <c r="N135" t="s">
        <v>1161</v>
      </c>
      <c r="O135" t="s">
        <v>3436</v>
      </c>
      <c r="P135" t="s">
        <v>2432</v>
      </c>
      <c r="Q135" t="s">
        <v>2522</v>
      </c>
      <c r="R135" t="s">
        <v>3434</v>
      </c>
      <c r="S135" t="s">
        <v>3466</v>
      </c>
    </row>
    <row r="136" spans="1:19" x14ac:dyDescent="0.25">
      <c r="A136" t="s">
        <v>3760</v>
      </c>
      <c r="B136" t="s">
        <v>3761</v>
      </c>
      <c r="C136" t="s">
        <v>3644</v>
      </c>
      <c r="D136" t="s">
        <v>1695</v>
      </c>
      <c r="E136" t="s">
        <v>74</v>
      </c>
      <c r="F136" t="s">
        <v>316</v>
      </c>
      <c r="G136">
        <v>1</v>
      </c>
      <c r="H136">
        <v>0</v>
      </c>
      <c r="I136">
        <v>402.51</v>
      </c>
      <c r="J136">
        <v>402.51</v>
      </c>
      <c r="K136">
        <v>14.8</v>
      </c>
      <c r="L136">
        <v>64.400000000000006</v>
      </c>
      <c r="M136">
        <v>407.34</v>
      </c>
      <c r="N136" t="s">
        <v>1178</v>
      </c>
      <c r="O136" t="s">
        <v>3428</v>
      </c>
      <c r="P136" t="s">
        <v>2376</v>
      </c>
      <c r="Q136" t="s">
        <v>2522</v>
      </c>
      <c r="R136" t="s">
        <v>3425</v>
      </c>
    </row>
    <row r="137" spans="1:19" x14ac:dyDescent="0.25">
      <c r="A137" t="s">
        <v>3762</v>
      </c>
      <c r="B137" t="s">
        <v>3204</v>
      </c>
      <c r="C137" t="s">
        <v>3763</v>
      </c>
      <c r="D137" t="s">
        <v>2787</v>
      </c>
      <c r="E137" t="s">
        <v>654</v>
      </c>
      <c r="F137" t="s">
        <v>764</v>
      </c>
      <c r="G137">
        <v>57</v>
      </c>
      <c r="H137">
        <v>57</v>
      </c>
      <c r="I137">
        <v>241.43</v>
      </c>
      <c r="J137">
        <v>13761.51</v>
      </c>
      <c r="K137">
        <v>7.1</v>
      </c>
      <c r="L137">
        <v>2201.84</v>
      </c>
      <c r="M137">
        <v>14986.28</v>
      </c>
      <c r="N137" t="s">
        <v>1178</v>
      </c>
      <c r="O137" t="s">
        <v>3436</v>
      </c>
      <c r="P137" t="s">
        <v>2432</v>
      </c>
      <c r="Q137" t="s">
        <v>2527</v>
      </c>
      <c r="R137" t="s">
        <v>3429</v>
      </c>
      <c r="S137" t="s">
        <v>3466</v>
      </c>
    </row>
    <row r="138" spans="1:19" x14ac:dyDescent="0.25">
      <c r="A138" t="s">
        <v>3764</v>
      </c>
      <c r="B138" t="s">
        <v>3765</v>
      </c>
      <c r="C138" t="s">
        <v>3522</v>
      </c>
      <c r="D138" t="s">
        <v>3766</v>
      </c>
      <c r="E138" t="s">
        <v>177</v>
      </c>
      <c r="F138" t="s">
        <v>505</v>
      </c>
      <c r="G138">
        <v>67</v>
      </c>
      <c r="H138">
        <v>62</v>
      </c>
      <c r="I138">
        <v>192.64</v>
      </c>
      <c r="J138">
        <v>12906.88</v>
      </c>
      <c r="K138">
        <v>1.2</v>
      </c>
      <c r="L138">
        <v>2065.1</v>
      </c>
      <c r="M138">
        <v>14817.1</v>
      </c>
      <c r="N138" t="s">
        <v>1178</v>
      </c>
      <c r="O138" t="s">
        <v>3424</v>
      </c>
      <c r="P138" t="s">
        <v>2432</v>
      </c>
      <c r="Q138" t="s">
        <v>2544</v>
      </c>
      <c r="R138" t="s">
        <v>3437</v>
      </c>
      <c r="S138" t="s">
        <v>3466</v>
      </c>
    </row>
    <row r="139" spans="1:19" x14ac:dyDescent="0.25">
      <c r="A139" t="s">
        <v>3767</v>
      </c>
      <c r="B139" t="s">
        <v>3602</v>
      </c>
      <c r="C139" t="s">
        <v>3745</v>
      </c>
      <c r="D139" t="s">
        <v>3732</v>
      </c>
      <c r="E139" t="s">
        <v>1429</v>
      </c>
      <c r="F139" t="s">
        <v>426</v>
      </c>
      <c r="G139">
        <v>88</v>
      </c>
      <c r="H139">
        <v>88</v>
      </c>
      <c r="I139">
        <v>104.11</v>
      </c>
      <c r="J139">
        <v>9161.68</v>
      </c>
      <c r="K139">
        <v>13.5</v>
      </c>
      <c r="L139">
        <v>1465.87</v>
      </c>
      <c r="M139">
        <v>9390.7199999999993</v>
      </c>
      <c r="N139" t="s">
        <v>1178</v>
      </c>
      <c r="O139" t="s">
        <v>3428</v>
      </c>
      <c r="P139" t="s">
        <v>2425</v>
      </c>
      <c r="Q139" t="s">
        <v>2564</v>
      </c>
      <c r="R139" t="s">
        <v>3429</v>
      </c>
    </row>
    <row r="140" spans="1:19" x14ac:dyDescent="0.25">
      <c r="A140" t="s">
        <v>3768</v>
      </c>
      <c r="B140" t="s">
        <v>3769</v>
      </c>
      <c r="C140" t="s">
        <v>3770</v>
      </c>
      <c r="D140" t="s">
        <v>3473</v>
      </c>
      <c r="E140" t="s">
        <v>387</v>
      </c>
      <c r="F140" t="s">
        <v>829</v>
      </c>
      <c r="G140">
        <v>25</v>
      </c>
      <c r="H140">
        <v>22</v>
      </c>
      <c r="I140">
        <v>222.11</v>
      </c>
      <c r="J140">
        <v>5552.75</v>
      </c>
      <c r="K140">
        <v>2.7</v>
      </c>
      <c r="L140">
        <v>888.44</v>
      </c>
      <c r="M140">
        <v>6291.27</v>
      </c>
      <c r="N140" t="s">
        <v>1178</v>
      </c>
      <c r="O140" t="s">
        <v>3436</v>
      </c>
      <c r="P140" t="s">
        <v>2407</v>
      </c>
      <c r="Q140" t="s">
        <v>2475</v>
      </c>
      <c r="R140" t="s">
        <v>3434</v>
      </c>
      <c r="S140" t="s">
        <v>3426</v>
      </c>
    </row>
    <row r="141" spans="1:19" x14ac:dyDescent="0.25">
      <c r="A141" t="s">
        <v>3771</v>
      </c>
      <c r="B141" t="s">
        <v>3772</v>
      </c>
      <c r="C141" t="s">
        <v>3652</v>
      </c>
      <c r="D141" t="s">
        <v>3773</v>
      </c>
      <c r="E141" t="s">
        <v>482</v>
      </c>
      <c r="F141" t="s">
        <v>581</v>
      </c>
      <c r="G141">
        <v>33</v>
      </c>
      <c r="H141">
        <v>31</v>
      </c>
      <c r="I141">
        <v>276.26</v>
      </c>
      <c r="J141">
        <v>9116.58</v>
      </c>
      <c r="K141">
        <v>0.2</v>
      </c>
      <c r="L141">
        <v>1458.65</v>
      </c>
      <c r="M141">
        <v>10557</v>
      </c>
      <c r="N141" t="s">
        <v>1189</v>
      </c>
      <c r="O141" t="s">
        <v>3428</v>
      </c>
      <c r="P141" t="s">
        <v>2376</v>
      </c>
      <c r="Q141" t="s">
        <v>2561</v>
      </c>
      <c r="R141" t="s">
        <v>3434</v>
      </c>
      <c r="S141" t="s">
        <v>3509</v>
      </c>
    </row>
    <row r="142" spans="1:19" x14ac:dyDescent="0.25">
      <c r="A142" t="s">
        <v>3774</v>
      </c>
      <c r="B142" t="s">
        <v>3092</v>
      </c>
      <c r="C142" t="s">
        <v>3488</v>
      </c>
      <c r="D142" t="s">
        <v>3775</v>
      </c>
      <c r="E142" t="s">
        <v>1403</v>
      </c>
      <c r="F142" t="s">
        <v>146</v>
      </c>
      <c r="G142">
        <v>74</v>
      </c>
      <c r="H142">
        <v>71</v>
      </c>
      <c r="I142">
        <v>420.5</v>
      </c>
      <c r="J142">
        <v>31117</v>
      </c>
      <c r="K142">
        <v>12.9</v>
      </c>
      <c r="L142">
        <v>4978.72</v>
      </c>
      <c r="M142">
        <v>32081.63</v>
      </c>
      <c r="N142" t="s">
        <v>1189</v>
      </c>
      <c r="O142" t="s">
        <v>3424</v>
      </c>
      <c r="P142" t="s">
        <v>2440</v>
      </c>
      <c r="Q142" t="s">
        <v>2564</v>
      </c>
      <c r="R142" t="s">
        <v>3425</v>
      </c>
    </row>
    <row r="143" spans="1:19" x14ac:dyDescent="0.25">
      <c r="A143" t="s">
        <v>3776</v>
      </c>
      <c r="B143" t="s">
        <v>3642</v>
      </c>
      <c r="C143" t="s">
        <v>3777</v>
      </c>
      <c r="D143" t="s">
        <v>3778</v>
      </c>
      <c r="E143" t="s">
        <v>558</v>
      </c>
      <c r="F143" t="s">
        <v>95</v>
      </c>
      <c r="G143">
        <v>79</v>
      </c>
      <c r="H143">
        <v>79</v>
      </c>
      <c r="I143">
        <v>452.42</v>
      </c>
      <c r="J143">
        <v>35741.18</v>
      </c>
      <c r="K143">
        <v>2.2999999999999998</v>
      </c>
      <c r="L143">
        <v>5718.59</v>
      </c>
      <c r="M143">
        <v>40637.72</v>
      </c>
      <c r="N143" t="s">
        <v>1189</v>
      </c>
      <c r="O143" t="s">
        <v>3442</v>
      </c>
      <c r="P143" t="s">
        <v>2376</v>
      </c>
      <c r="Q143" t="s">
        <v>2535</v>
      </c>
      <c r="R143" t="s">
        <v>3425</v>
      </c>
      <c r="S143" t="s">
        <v>3426</v>
      </c>
    </row>
    <row r="144" spans="1:19" x14ac:dyDescent="0.25">
      <c r="A144" t="s">
        <v>3779</v>
      </c>
      <c r="B144" t="s">
        <v>3575</v>
      </c>
      <c r="C144" t="s">
        <v>3458</v>
      </c>
      <c r="D144" t="s">
        <v>3780</v>
      </c>
      <c r="E144" t="s">
        <v>482</v>
      </c>
      <c r="F144" t="s">
        <v>809</v>
      </c>
      <c r="G144">
        <v>36</v>
      </c>
      <c r="H144">
        <v>31</v>
      </c>
      <c r="I144">
        <v>492.53</v>
      </c>
      <c r="J144">
        <v>17731.080000000002</v>
      </c>
      <c r="K144">
        <v>2.9</v>
      </c>
      <c r="L144">
        <v>2836.97</v>
      </c>
      <c r="M144">
        <v>20053.849999999999</v>
      </c>
      <c r="N144" t="s">
        <v>1178</v>
      </c>
      <c r="O144" t="s">
        <v>3424</v>
      </c>
      <c r="P144" t="s">
        <v>2456</v>
      </c>
      <c r="Q144" t="s">
        <v>2564</v>
      </c>
      <c r="R144" t="s">
        <v>2633</v>
      </c>
    </row>
    <row r="145" spans="1:19" x14ac:dyDescent="0.25">
      <c r="A145" t="s">
        <v>3781</v>
      </c>
      <c r="B145" t="s">
        <v>2891</v>
      </c>
      <c r="C145" t="s">
        <v>3782</v>
      </c>
      <c r="D145" t="s">
        <v>3635</v>
      </c>
      <c r="E145" t="s">
        <v>1416</v>
      </c>
      <c r="F145" t="s">
        <v>626</v>
      </c>
      <c r="G145">
        <v>54</v>
      </c>
      <c r="H145">
        <v>50</v>
      </c>
      <c r="I145">
        <v>426.97</v>
      </c>
      <c r="J145">
        <v>23056.38</v>
      </c>
      <c r="K145">
        <v>10</v>
      </c>
      <c r="L145">
        <v>3689.02</v>
      </c>
      <c r="M145">
        <v>24439.759999999998</v>
      </c>
      <c r="N145" t="s">
        <v>1178</v>
      </c>
      <c r="O145" t="s">
        <v>1179</v>
      </c>
      <c r="P145" t="s">
        <v>2388</v>
      </c>
      <c r="Q145" t="s">
        <v>2501</v>
      </c>
      <c r="R145" t="s">
        <v>3437</v>
      </c>
    </row>
    <row r="146" spans="1:19" x14ac:dyDescent="0.25">
      <c r="A146" t="s">
        <v>3783</v>
      </c>
      <c r="B146" t="s">
        <v>3784</v>
      </c>
      <c r="C146" t="s">
        <v>3576</v>
      </c>
      <c r="D146" t="s">
        <v>3755</v>
      </c>
      <c r="E146" t="s">
        <v>1018</v>
      </c>
      <c r="F146" t="s">
        <v>890</v>
      </c>
      <c r="G146">
        <v>26</v>
      </c>
      <c r="H146">
        <v>24</v>
      </c>
      <c r="I146">
        <v>359.92</v>
      </c>
      <c r="J146">
        <v>9357.92</v>
      </c>
      <c r="K146">
        <v>6.1</v>
      </c>
      <c r="L146">
        <v>1497.27</v>
      </c>
      <c r="M146">
        <v>10284.36</v>
      </c>
      <c r="N146" t="s">
        <v>1161</v>
      </c>
      <c r="O146" t="s">
        <v>1179</v>
      </c>
      <c r="P146" t="s">
        <v>2388</v>
      </c>
      <c r="Q146" t="s">
        <v>2522</v>
      </c>
      <c r="R146" t="s">
        <v>3437</v>
      </c>
    </row>
    <row r="147" spans="1:19" x14ac:dyDescent="0.25">
      <c r="A147" t="s">
        <v>3785</v>
      </c>
      <c r="B147" t="s">
        <v>3786</v>
      </c>
      <c r="C147" t="s">
        <v>3622</v>
      </c>
      <c r="D147" t="s">
        <v>3672</v>
      </c>
      <c r="E147" t="s">
        <v>57</v>
      </c>
      <c r="F147" t="s">
        <v>703</v>
      </c>
      <c r="G147">
        <v>12</v>
      </c>
      <c r="H147">
        <v>10</v>
      </c>
      <c r="I147">
        <v>102.32</v>
      </c>
      <c r="J147">
        <v>1227.8399999999999</v>
      </c>
      <c r="K147">
        <v>1.4</v>
      </c>
      <c r="L147">
        <v>196.45</v>
      </c>
      <c r="M147">
        <v>1407.1</v>
      </c>
      <c r="N147" t="s">
        <v>1161</v>
      </c>
      <c r="O147" t="s">
        <v>3442</v>
      </c>
      <c r="P147" t="s">
        <v>2398</v>
      </c>
      <c r="Q147" t="s">
        <v>2475</v>
      </c>
      <c r="R147" t="s">
        <v>3425</v>
      </c>
      <c r="S147" t="s">
        <v>3426</v>
      </c>
    </row>
    <row r="148" spans="1:19" x14ac:dyDescent="0.25">
      <c r="A148" t="s">
        <v>3787</v>
      </c>
      <c r="B148" t="s">
        <v>3788</v>
      </c>
      <c r="C148" t="s">
        <v>3789</v>
      </c>
      <c r="D148" t="s">
        <v>3790</v>
      </c>
      <c r="E148" t="s">
        <v>340</v>
      </c>
      <c r="F148" t="s">
        <v>186</v>
      </c>
      <c r="G148">
        <v>93</v>
      </c>
      <c r="H148">
        <v>88</v>
      </c>
      <c r="I148">
        <v>474.46</v>
      </c>
      <c r="J148">
        <v>44124.78</v>
      </c>
      <c r="K148">
        <v>4.5999999999999996</v>
      </c>
      <c r="L148">
        <v>7059.96</v>
      </c>
      <c r="M148">
        <v>49155</v>
      </c>
      <c r="N148" t="s">
        <v>1178</v>
      </c>
      <c r="O148" t="s">
        <v>1179</v>
      </c>
      <c r="P148" t="s">
        <v>2376</v>
      </c>
      <c r="Q148" t="s">
        <v>2527</v>
      </c>
      <c r="R148" t="s">
        <v>3434</v>
      </c>
    </row>
    <row r="149" spans="1:19" x14ac:dyDescent="0.25">
      <c r="A149" t="s">
        <v>3791</v>
      </c>
      <c r="B149" t="s">
        <v>2600</v>
      </c>
      <c r="C149" t="s">
        <v>2782</v>
      </c>
      <c r="D149" t="s">
        <v>3578</v>
      </c>
      <c r="E149" t="s">
        <v>1018</v>
      </c>
      <c r="F149" t="s">
        <v>274</v>
      </c>
      <c r="G149">
        <v>73</v>
      </c>
      <c r="H149">
        <v>72</v>
      </c>
      <c r="I149">
        <v>191.99</v>
      </c>
      <c r="J149">
        <v>14015.27</v>
      </c>
      <c r="K149">
        <v>3.4</v>
      </c>
      <c r="L149">
        <v>2242.44</v>
      </c>
      <c r="M149">
        <v>15781.19</v>
      </c>
      <c r="N149" t="s">
        <v>1178</v>
      </c>
      <c r="O149" t="s">
        <v>1179</v>
      </c>
      <c r="P149" t="s">
        <v>2440</v>
      </c>
      <c r="Q149" t="s">
        <v>2515</v>
      </c>
      <c r="R149" t="s">
        <v>3425</v>
      </c>
      <c r="S149" t="s">
        <v>3466</v>
      </c>
    </row>
    <row r="150" spans="1:19" x14ac:dyDescent="0.25">
      <c r="A150" t="s">
        <v>3792</v>
      </c>
      <c r="B150" t="s">
        <v>3793</v>
      </c>
      <c r="C150" t="s">
        <v>3794</v>
      </c>
      <c r="D150" t="s">
        <v>2102</v>
      </c>
      <c r="E150" t="s">
        <v>177</v>
      </c>
      <c r="F150" t="s">
        <v>855</v>
      </c>
      <c r="G150">
        <v>47</v>
      </c>
      <c r="H150">
        <v>46</v>
      </c>
      <c r="I150">
        <v>206.99</v>
      </c>
      <c r="J150">
        <v>9728.5300000000007</v>
      </c>
      <c r="K150">
        <v>9.6</v>
      </c>
      <c r="L150">
        <v>1556.56</v>
      </c>
      <c r="M150">
        <v>10351.15</v>
      </c>
      <c r="N150" t="s">
        <v>1178</v>
      </c>
      <c r="O150" t="s">
        <v>3436</v>
      </c>
      <c r="P150" t="s">
        <v>2432</v>
      </c>
      <c r="Q150" t="s">
        <v>2495</v>
      </c>
      <c r="R150" t="s">
        <v>3425</v>
      </c>
      <c r="S150" t="s">
        <v>3443</v>
      </c>
    </row>
    <row r="151" spans="1:19" x14ac:dyDescent="0.25">
      <c r="A151" t="s">
        <v>3795</v>
      </c>
      <c r="B151" t="s">
        <v>3796</v>
      </c>
      <c r="C151" t="s">
        <v>3612</v>
      </c>
      <c r="D151" t="s">
        <v>3642</v>
      </c>
      <c r="E151" t="s">
        <v>177</v>
      </c>
      <c r="F151" t="s">
        <v>940</v>
      </c>
      <c r="G151">
        <v>88</v>
      </c>
      <c r="H151">
        <v>83</v>
      </c>
      <c r="I151">
        <v>408.32</v>
      </c>
      <c r="J151">
        <v>35932.160000000003</v>
      </c>
      <c r="K151">
        <v>3.1</v>
      </c>
      <c r="L151">
        <v>5749.15</v>
      </c>
      <c r="M151">
        <v>40567.410000000003</v>
      </c>
      <c r="N151" t="s">
        <v>1178</v>
      </c>
      <c r="O151" t="s">
        <v>3442</v>
      </c>
      <c r="P151" t="s">
        <v>2449</v>
      </c>
      <c r="Q151" t="s">
        <v>2568</v>
      </c>
      <c r="R151" t="s">
        <v>3425</v>
      </c>
      <c r="S151" t="s">
        <v>3509</v>
      </c>
    </row>
    <row r="152" spans="1:19" x14ac:dyDescent="0.25">
      <c r="A152" t="s">
        <v>3797</v>
      </c>
      <c r="B152" t="s">
        <v>3445</v>
      </c>
      <c r="C152" t="s">
        <v>3798</v>
      </c>
      <c r="D152" t="s">
        <v>3495</v>
      </c>
      <c r="E152" t="s">
        <v>74</v>
      </c>
      <c r="F152" t="s">
        <v>708</v>
      </c>
      <c r="G152">
        <v>34</v>
      </c>
      <c r="H152">
        <v>31</v>
      </c>
      <c r="I152">
        <v>64.150000000000006</v>
      </c>
      <c r="J152">
        <v>2181.1</v>
      </c>
      <c r="K152">
        <v>1.7</v>
      </c>
      <c r="L152">
        <v>348.98</v>
      </c>
      <c r="M152">
        <v>2493</v>
      </c>
      <c r="N152" t="s">
        <v>1178</v>
      </c>
      <c r="O152" t="s">
        <v>3428</v>
      </c>
      <c r="P152" t="s">
        <v>2456</v>
      </c>
      <c r="Q152" t="s">
        <v>2522</v>
      </c>
      <c r="R152" t="s">
        <v>2633</v>
      </c>
      <c r="S152" t="s">
        <v>3443</v>
      </c>
    </row>
    <row r="153" spans="1:19" x14ac:dyDescent="0.25">
      <c r="A153" t="s">
        <v>3799</v>
      </c>
      <c r="B153" t="s">
        <v>3001</v>
      </c>
      <c r="C153" t="s">
        <v>3406</v>
      </c>
      <c r="D153" t="s">
        <v>3511</v>
      </c>
      <c r="E153" t="s">
        <v>1416</v>
      </c>
      <c r="F153" t="s">
        <v>865</v>
      </c>
      <c r="G153">
        <v>5</v>
      </c>
      <c r="H153">
        <v>2</v>
      </c>
      <c r="I153">
        <v>195.07</v>
      </c>
      <c r="J153">
        <v>975.35</v>
      </c>
      <c r="K153">
        <v>1.6</v>
      </c>
      <c r="L153">
        <v>156.06</v>
      </c>
      <c r="M153">
        <v>1115.8</v>
      </c>
      <c r="N153" t="s">
        <v>1189</v>
      </c>
      <c r="O153" t="s">
        <v>1179</v>
      </c>
      <c r="P153" t="s">
        <v>2425</v>
      </c>
      <c r="Q153" t="s">
        <v>2554</v>
      </c>
      <c r="R153" t="s">
        <v>3425</v>
      </c>
    </row>
    <row r="154" spans="1:19" x14ac:dyDescent="0.25">
      <c r="A154" t="s">
        <v>3800</v>
      </c>
      <c r="B154" t="s">
        <v>2810</v>
      </c>
      <c r="C154" t="s">
        <v>3371</v>
      </c>
      <c r="D154" t="s">
        <v>2931</v>
      </c>
      <c r="E154" t="s">
        <v>177</v>
      </c>
      <c r="F154" t="s">
        <v>500</v>
      </c>
      <c r="G154">
        <v>21</v>
      </c>
      <c r="H154">
        <v>18</v>
      </c>
      <c r="I154">
        <v>260.08</v>
      </c>
      <c r="J154">
        <v>5461.68</v>
      </c>
      <c r="K154">
        <v>2.8</v>
      </c>
      <c r="L154">
        <v>873.87</v>
      </c>
      <c r="M154">
        <v>6182.62</v>
      </c>
      <c r="N154" t="s">
        <v>1161</v>
      </c>
      <c r="O154" t="s">
        <v>3436</v>
      </c>
      <c r="P154" t="s">
        <v>2432</v>
      </c>
      <c r="Q154" t="s">
        <v>2564</v>
      </c>
      <c r="R154" t="s">
        <v>3429</v>
      </c>
      <c r="S154" t="s">
        <v>3466</v>
      </c>
    </row>
    <row r="155" spans="1:19" x14ac:dyDescent="0.25">
      <c r="A155" t="s">
        <v>3801</v>
      </c>
      <c r="B155" t="s">
        <v>3496</v>
      </c>
      <c r="C155" t="s">
        <v>3802</v>
      </c>
      <c r="D155" t="s">
        <v>3803</v>
      </c>
      <c r="E155" t="s">
        <v>225</v>
      </c>
      <c r="F155" t="s">
        <v>426</v>
      </c>
      <c r="G155">
        <v>93</v>
      </c>
      <c r="H155">
        <v>93</v>
      </c>
      <c r="I155">
        <v>217.95</v>
      </c>
      <c r="J155">
        <v>20269.349999999999</v>
      </c>
      <c r="K155">
        <v>5.0999999999999996</v>
      </c>
      <c r="L155">
        <v>3243.1</v>
      </c>
      <c r="M155">
        <v>22478.71</v>
      </c>
      <c r="N155" t="s">
        <v>1178</v>
      </c>
      <c r="O155" t="s">
        <v>3436</v>
      </c>
      <c r="P155" t="s">
        <v>2388</v>
      </c>
      <c r="Q155" t="s">
        <v>2531</v>
      </c>
      <c r="R155" t="s">
        <v>3429</v>
      </c>
      <c r="S155" t="s">
        <v>3509</v>
      </c>
    </row>
    <row r="156" spans="1:19" x14ac:dyDescent="0.25">
      <c r="A156" t="s">
        <v>3804</v>
      </c>
      <c r="B156" t="s">
        <v>2749</v>
      </c>
      <c r="C156" t="s">
        <v>3805</v>
      </c>
      <c r="D156" t="s">
        <v>3806</v>
      </c>
      <c r="E156" t="s">
        <v>57</v>
      </c>
      <c r="F156" t="s">
        <v>621</v>
      </c>
      <c r="G156">
        <v>76</v>
      </c>
      <c r="H156">
        <v>72</v>
      </c>
      <c r="I156">
        <v>62.85</v>
      </c>
      <c r="J156">
        <v>4776.6000000000004</v>
      </c>
      <c r="K156">
        <v>7.7</v>
      </c>
      <c r="L156">
        <v>764.26</v>
      </c>
      <c r="M156">
        <v>5173.0600000000004</v>
      </c>
      <c r="N156" t="s">
        <v>1178</v>
      </c>
      <c r="O156" t="s">
        <v>3436</v>
      </c>
      <c r="P156" t="s">
        <v>2398</v>
      </c>
      <c r="Q156" t="s">
        <v>2495</v>
      </c>
      <c r="R156" t="s">
        <v>2633</v>
      </c>
    </row>
    <row r="157" spans="1:19" x14ac:dyDescent="0.25">
      <c r="A157" t="s">
        <v>3807</v>
      </c>
      <c r="B157" t="s">
        <v>3340</v>
      </c>
      <c r="C157" t="s">
        <v>2878</v>
      </c>
      <c r="D157" t="s">
        <v>3808</v>
      </c>
      <c r="E157" t="s">
        <v>82</v>
      </c>
      <c r="F157" t="s">
        <v>505</v>
      </c>
      <c r="G157">
        <v>99</v>
      </c>
      <c r="H157">
        <v>99</v>
      </c>
      <c r="I157">
        <v>113.66</v>
      </c>
      <c r="J157">
        <v>11252.34</v>
      </c>
      <c r="K157">
        <v>5.2</v>
      </c>
      <c r="L157">
        <v>1800.37</v>
      </c>
      <c r="M157">
        <v>12467.59</v>
      </c>
      <c r="N157" t="s">
        <v>1178</v>
      </c>
      <c r="O157" t="s">
        <v>3424</v>
      </c>
      <c r="P157" t="s">
        <v>2398</v>
      </c>
      <c r="Q157" t="s">
        <v>2519</v>
      </c>
      <c r="R157" t="s">
        <v>3434</v>
      </c>
    </row>
    <row r="158" spans="1:19" x14ac:dyDescent="0.25">
      <c r="A158" t="s">
        <v>3809</v>
      </c>
      <c r="B158" t="s">
        <v>2758</v>
      </c>
      <c r="C158" t="s">
        <v>2832</v>
      </c>
      <c r="D158" t="s">
        <v>2678</v>
      </c>
      <c r="E158" t="s">
        <v>376</v>
      </c>
      <c r="F158" t="s">
        <v>405</v>
      </c>
      <c r="G158">
        <v>27</v>
      </c>
      <c r="H158">
        <v>27</v>
      </c>
      <c r="I158">
        <v>246.45</v>
      </c>
      <c r="J158">
        <v>6654.15</v>
      </c>
      <c r="K158">
        <v>10.9</v>
      </c>
      <c r="L158">
        <v>1064.6600000000001</v>
      </c>
      <c r="M158">
        <v>6993.51</v>
      </c>
      <c r="N158" t="s">
        <v>1189</v>
      </c>
      <c r="O158" t="s">
        <v>3424</v>
      </c>
      <c r="P158" t="s">
        <v>2425</v>
      </c>
      <c r="Q158" t="s">
        <v>2491</v>
      </c>
      <c r="R158" t="s">
        <v>3437</v>
      </c>
      <c r="S158" t="s">
        <v>3443</v>
      </c>
    </row>
    <row r="159" spans="1:19" x14ac:dyDescent="0.25">
      <c r="A159" t="s">
        <v>3810</v>
      </c>
      <c r="B159" t="s">
        <v>3694</v>
      </c>
      <c r="C159" t="s">
        <v>3789</v>
      </c>
      <c r="D159" t="s">
        <v>3811</v>
      </c>
      <c r="E159" t="s">
        <v>1429</v>
      </c>
      <c r="F159" t="s">
        <v>373</v>
      </c>
      <c r="G159">
        <v>61</v>
      </c>
      <c r="H159">
        <v>61</v>
      </c>
      <c r="I159">
        <v>350.8</v>
      </c>
      <c r="J159">
        <v>21398.799999999999</v>
      </c>
      <c r="K159">
        <v>12.5</v>
      </c>
      <c r="L159">
        <v>3423.81</v>
      </c>
      <c r="M159">
        <v>22147.759999999998</v>
      </c>
      <c r="N159" t="s">
        <v>1189</v>
      </c>
      <c r="O159" t="s">
        <v>3424</v>
      </c>
      <c r="P159" t="s">
        <v>2425</v>
      </c>
      <c r="Q159" t="s">
        <v>2568</v>
      </c>
      <c r="R159" t="s">
        <v>3425</v>
      </c>
      <c r="S159" t="s">
        <v>3443</v>
      </c>
    </row>
    <row r="160" spans="1:19" x14ac:dyDescent="0.25">
      <c r="A160" t="s">
        <v>3812</v>
      </c>
      <c r="B160" t="s">
        <v>3813</v>
      </c>
      <c r="C160" t="s">
        <v>3376</v>
      </c>
      <c r="D160" t="s">
        <v>2654</v>
      </c>
      <c r="E160" t="s">
        <v>1461</v>
      </c>
      <c r="F160" t="s">
        <v>525</v>
      </c>
      <c r="G160">
        <v>37</v>
      </c>
      <c r="H160">
        <v>33</v>
      </c>
      <c r="I160">
        <v>418.91</v>
      </c>
      <c r="J160">
        <v>15499.67</v>
      </c>
      <c r="K160">
        <v>11</v>
      </c>
      <c r="L160">
        <v>2479.9499999999998</v>
      </c>
      <c r="M160">
        <v>16274.66</v>
      </c>
      <c r="N160" t="s">
        <v>1178</v>
      </c>
      <c r="O160" t="s">
        <v>1179</v>
      </c>
      <c r="P160" t="s">
        <v>2440</v>
      </c>
      <c r="Q160" t="s">
        <v>2558</v>
      </c>
      <c r="R160" t="s">
        <v>3425</v>
      </c>
    </row>
    <row r="161" spans="1:19" x14ac:dyDescent="0.25">
      <c r="A161" t="s">
        <v>3814</v>
      </c>
      <c r="B161" t="s">
        <v>3815</v>
      </c>
      <c r="C161" t="s">
        <v>3816</v>
      </c>
      <c r="D161" t="s">
        <v>3592</v>
      </c>
      <c r="E161" t="s">
        <v>66</v>
      </c>
      <c r="F161" t="s">
        <v>327</v>
      </c>
      <c r="G161">
        <v>99</v>
      </c>
      <c r="H161">
        <v>95</v>
      </c>
      <c r="I161">
        <v>155.82</v>
      </c>
      <c r="J161">
        <v>15426.18</v>
      </c>
      <c r="K161">
        <v>5.4</v>
      </c>
      <c r="L161">
        <v>2468.19</v>
      </c>
      <c r="M161">
        <v>17061.36</v>
      </c>
      <c r="N161" t="s">
        <v>1189</v>
      </c>
      <c r="O161" t="s">
        <v>3442</v>
      </c>
      <c r="P161" t="s">
        <v>2407</v>
      </c>
      <c r="Q161" t="s">
        <v>2495</v>
      </c>
      <c r="R161" t="s">
        <v>3437</v>
      </c>
    </row>
    <row r="162" spans="1:19" x14ac:dyDescent="0.25">
      <c r="A162" t="s">
        <v>3817</v>
      </c>
      <c r="B162" t="s">
        <v>3459</v>
      </c>
      <c r="C162" t="s">
        <v>3818</v>
      </c>
      <c r="D162" t="s">
        <v>3819</v>
      </c>
      <c r="E162" t="s">
        <v>303</v>
      </c>
      <c r="F162" t="s">
        <v>373</v>
      </c>
      <c r="G162">
        <v>39</v>
      </c>
      <c r="H162">
        <v>38</v>
      </c>
      <c r="I162">
        <v>245.93</v>
      </c>
      <c r="J162">
        <v>9591.27</v>
      </c>
      <c r="K162">
        <v>5.0999999999999996</v>
      </c>
      <c r="L162">
        <v>1534.6</v>
      </c>
      <c r="M162">
        <v>10636.72</v>
      </c>
      <c r="N162" t="s">
        <v>1178</v>
      </c>
      <c r="O162" t="s">
        <v>1179</v>
      </c>
      <c r="P162" t="s">
        <v>2432</v>
      </c>
      <c r="Q162" t="s">
        <v>2558</v>
      </c>
      <c r="R162" t="s">
        <v>3437</v>
      </c>
    </row>
    <row r="163" spans="1:19" x14ac:dyDescent="0.25">
      <c r="A163" t="s">
        <v>3820</v>
      </c>
      <c r="B163" t="s">
        <v>2942</v>
      </c>
      <c r="C163" t="s">
        <v>3821</v>
      </c>
      <c r="D163" t="s">
        <v>2563</v>
      </c>
      <c r="E163" t="s">
        <v>731</v>
      </c>
      <c r="F163" t="s">
        <v>646</v>
      </c>
      <c r="G163">
        <v>23</v>
      </c>
      <c r="H163">
        <v>21</v>
      </c>
      <c r="I163">
        <v>123.59</v>
      </c>
      <c r="J163">
        <v>2842.57</v>
      </c>
      <c r="K163">
        <v>10.199999999999999</v>
      </c>
      <c r="L163">
        <v>454.81</v>
      </c>
      <c r="M163">
        <v>3007.44</v>
      </c>
      <c r="N163" t="s">
        <v>1178</v>
      </c>
      <c r="O163" t="s">
        <v>3428</v>
      </c>
      <c r="P163" t="s">
        <v>2376</v>
      </c>
      <c r="Q163" t="s">
        <v>2501</v>
      </c>
      <c r="R163" t="s">
        <v>2633</v>
      </c>
    </row>
    <row r="164" spans="1:19" x14ac:dyDescent="0.25">
      <c r="A164" t="s">
        <v>3822</v>
      </c>
      <c r="B164" t="s">
        <v>3459</v>
      </c>
      <c r="C164" t="s">
        <v>3823</v>
      </c>
      <c r="D164" t="s">
        <v>3824</v>
      </c>
      <c r="E164" t="s">
        <v>57</v>
      </c>
      <c r="F164" t="s">
        <v>759</v>
      </c>
      <c r="G164">
        <v>50</v>
      </c>
      <c r="H164">
        <v>47</v>
      </c>
      <c r="I164">
        <v>358.83</v>
      </c>
      <c r="J164">
        <v>17941.5</v>
      </c>
      <c r="K164">
        <v>0.2</v>
      </c>
      <c r="L164">
        <v>2870.64</v>
      </c>
      <c r="M164">
        <v>20776.259999999998</v>
      </c>
      <c r="N164" t="s">
        <v>1178</v>
      </c>
      <c r="O164" t="s">
        <v>1179</v>
      </c>
      <c r="P164" t="s">
        <v>2432</v>
      </c>
      <c r="Q164" t="s">
        <v>2515</v>
      </c>
      <c r="R164" t="s">
        <v>3425</v>
      </c>
      <c r="S164" t="s">
        <v>3466</v>
      </c>
    </row>
    <row r="165" spans="1:19" x14ac:dyDescent="0.25">
      <c r="A165" t="s">
        <v>3825</v>
      </c>
      <c r="B165" t="s">
        <v>3587</v>
      </c>
      <c r="C165" t="s">
        <v>3441</v>
      </c>
      <c r="D165" t="s">
        <v>3628</v>
      </c>
      <c r="E165" t="s">
        <v>324</v>
      </c>
      <c r="F165" t="s">
        <v>586</v>
      </c>
      <c r="G165">
        <v>100</v>
      </c>
      <c r="H165">
        <v>99</v>
      </c>
      <c r="I165">
        <v>263.10000000000002</v>
      </c>
      <c r="J165">
        <v>26310</v>
      </c>
      <c r="K165">
        <v>5</v>
      </c>
      <c r="L165">
        <v>4209.6000000000004</v>
      </c>
      <c r="M165">
        <v>29204.1</v>
      </c>
      <c r="N165" t="s">
        <v>1189</v>
      </c>
      <c r="O165" t="s">
        <v>3436</v>
      </c>
      <c r="P165" t="s">
        <v>2432</v>
      </c>
      <c r="Q165" t="s">
        <v>2558</v>
      </c>
      <c r="R165" t="s">
        <v>3425</v>
      </c>
    </row>
    <row r="166" spans="1:19" x14ac:dyDescent="0.25">
      <c r="A166" t="s">
        <v>3826</v>
      </c>
      <c r="B166" t="s">
        <v>3827</v>
      </c>
      <c r="C166" t="s">
        <v>3828</v>
      </c>
      <c r="D166" t="s">
        <v>3731</v>
      </c>
      <c r="E166" t="s">
        <v>195</v>
      </c>
      <c r="F166" t="s">
        <v>540</v>
      </c>
      <c r="G166">
        <v>91</v>
      </c>
      <c r="H166">
        <v>91</v>
      </c>
      <c r="I166">
        <v>315.57</v>
      </c>
      <c r="J166">
        <v>28716.87</v>
      </c>
      <c r="K166">
        <v>3</v>
      </c>
      <c r="L166">
        <v>4594.7</v>
      </c>
      <c r="M166">
        <v>32450.06</v>
      </c>
      <c r="N166" t="s">
        <v>1189</v>
      </c>
      <c r="O166" t="s">
        <v>1179</v>
      </c>
      <c r="P166" t="s">
        <v>2376</v>
      </c>
      <c r="Q166" t="s">
        <v>2491</v>
      </c>
      <c r="R166" t="s">
        <v>3437</v>
      </c>
      <c r="S166" t="s">
        <v>3466</v>
      </c>
    </row>
    <row r="167" spans="1:19" x14ac:dyDescent="0.25">
      <c r="A167" t="s">
        <v>3829</v>
      </c>
      <c r="B167" t="s">
        <v>2668</v>
      </c>
      <c r="C167" t="s">
        <v>3218</v>
      </c>
      <c r="D167" t="s">
        <v>3805</v>
      </c>
      <c r="E167" t="s">
        <v>558</v>
      </c>
      <c r="F167" t="s">
        <v>131</v>
      </c>
      <c r="G167">
        <v>77</v>
      </c>
      <c r="H167">
        <v>73</v>
      </c>
      <c r="I167">
        <v>358.87</v>
      </c>
      <c r="J167">
        <v>27632.99</v>
      </c>
      <c r="K167">
        <v>3.8</v>
      </c>
      <c r="L167">
        <v>4421.28</v>
      </c>
      <c r="M167">
        <v>31004.22</v>
      </c>
      <c r="N167" t="s">
        <v>1178</v>
      </c>
      <c r="O167" t="s">
        <v>3424</v>
      </c>
      <c r="P167" t="s">
        <v>2416</v>
      </c>
      <c r="Q167" t="s">
        <v>2525</v>
      </c>
      <c r="R167" t="s">
        <v>3429</v>
      </c>
    </row>
    <row r="168" spans="1:19" x14ac:dyDescent="0.25">
      <c r="A168" t="s">
        <v>3830</v>
      </c>
      <c r="B168" t="s">
        <v>2874</v>
      </c>
      <c r="C168" t="s">
        <v>3406</v>
      </c>
      <c r="D168" t="s">
        <v>3831</v>
      </c>
      <c r="E168" t="s">
        <v>218</v>
      </c>
      <c r="F168" t="s">
        <v>525</v>
      </c>
      <c r="G168">
        <v>39</v>
      </c>
      <c r="H168">
        <v>34</v>
      </c>
      <c r="I168">
        <v>336.19</v>
      </c>
      <c r="J168">
        <v>13111.41</v>
      </c>
      <c r="K168">
        <v>8.9</v>
      </c>
      <c r="L168">
        <v>2097.83</v>
      </c>
      <c r="M168">
        <v>14042.32</v>
      </c>
      <c r="N168" t="s">
        <v>1189</v>
      </c>
      <c r="O168" t="s">
        <v>3424</v>
      </c>
      <c r="P168" t="s">
        <v>2398</v>
      </c>
      <c r="Q168" t="s">
        <v>2486</v>
      </c>
      <c r="R168" t="s">
        <v>3425</v>
      </c>
    </row>
    <row r="169" spans="1:19" x14ac:dyDescent="0.25">
      <c r="A169" t="s">
        <v>3832</v>
      </c>
      <c r="B169" t="s">
        <v>3806</v>
      </c>
      <c r="C169" t="s">
        <v>2560</v>
      </c>
      <c r="D169" t="s">
        <v>3321</v>
      </c>
      <c r="E169" t="s">
        <v>1442</v>
      </c>
      <c r="F169" t="s">
        <v>284</v>
      </c>
      <c r="G169">
        <v>82</v>
      </c>
      <c r="H169">
        <v>78</v>
      </c>
      <c r="I169">
        <v>272.05</v>
      </c>
      <c r="J169">
        <v>22308.1</v>
      </c>
      <c r="K169">
        <v>13.4</v>
      </c>
      <c r="L169">
        <v>3569.3</v>
      </c>
      <c r="M169">
        <v>22888.11</v>
      </c>
      <c r="N169" t="s">
        <v>1178</v>
      </c>
      <c r="O169" t="s">
        <v>3436</v>
      </c>
      <c r="P169" t="s">
        <v>2456</v>
      </c>
      <c r="Q169" t="s">
        <v>2535</v>
      </c>
      <c r="R169" t="s">
        <v>3425</v>
      </c>
    </row>
    <row r="170" spans="1:19" x14ac:dyDescent="0.25">
      <c r="A170" t="s">
        <v>3833</v>
      </c>
      <c r="B170" t="s">
        <v>3576</v>
      </c>
      <c r="C170" t="s">
        <v>3834</v>
      </c>
      <c r="D170" t="s">
        <v>3756</v>
      </c>
      <c r="E170" t="s">
        <v>847</v>
      </c>
      <c r="F170" t="s">
        <v>586</v>
      </c>
      <c r="G170">
        <v>5</v>
      </c>
      <c r="H170">
        <v>1</v>
      </c>
      <c r="I170">
        <v>116.04</v>
      </c>
      <c r="J170">
        <v>580.20000000000005</v>
      </c>
      <c r="K170">
        <v>14.7</v>
      </c>
      <c r="L170">
        <v>92.83</v>
      </c>
      <c r="M170">
        <v>587.74</v>
      </c>
      <c r="N170" t="s">
        <v>1178</v>
      </c>
      <c r="O170" t="s">
        <v>1179</v>
      </c>
      <c r="P170" t="s">
        <v>2416</v>
      </c>
      <c r="Q170" t="s">
        <v>2531</v>
      </c>
      <c r="R170" t="s">
        <v>3429</v>
      </c>
    </row>
    <row r="171" spans="1:19" x14ac:dyDescent="0.25">
      <c r="A171" t="s">
        <v>3835</v>
      </c>
      <c r="B171" t="s">
        <v>3782</v>
      </c>
      <c r="C171" t="s">
        <v>3836</v>
      </c>
      <c r="D171" t="s">
        <v>1989</v>
      </c>
      <c r="E171" t="s">
        <v>376</v>
      </c>
      <c r="F171" t="s">
        <v>1071</v>
      </c>
      <c r="G171">
        <v>33</v>
      </c>
      <c r="H171">
        <v>32</v>
      </c>
      <c r="I171">
        <v>374.72</v>
      </c>
      <c r="J171">
        <v>12365.76</v>
      </c>
      <c r="K171">
        <v>11.1</v>
      </c>
      <c r="L171">
        <v>1978.52</v>
      </c>
      <c r="M171">
        <v>12971.68</v>
      </c>
      <c r="N171" t="s">
        <v>1161</v>
      </c>
      <c r="O171" t="s">
        <v>1179</v>
      </c>
      <c r="P171" t="s">
        <v>2416</v>
      </c>
      <c r="Q171" t="s">
        <v>2551</v>
      </c>
      <c r="R171" t="s">
        <v>3425</v>
      </c>
    </row>
    <row r="172" spans="1:19" x14ac:dyDescent="0.25">
      <c r="A172" t="s">
        <v>3837</v>
      </c>
      <c r="B172" t="s">
        <v>2741</v>
      </c>
      <c r="C172" t="s">
        <v>2961</v>
      </c>
      <c r="D172" t="s">
        <v>2252</v>
      </c>
      <c r="E172" t="s">
        <v>558</v>
      </c>
      <c r="F172" t="s">
        <v>844</v>
      </c>
      <c r="G172">
        <v>61</v>
      </c>
      <c r="H172">
        <v>57</v>
      </c>
      <c r="I172">
        <v>146.84</v>
      </c>
      <c r="J172">
        <v>8957.24</v>
      </c>
      <c r="K172">
        <v>14</v>
      </c>
      <c r="L172">
        <v>1433.16</v>
      </c>
      <c r="M172">
        <v>9136.39</v>
      </c>
      <c r="N172" t="s">
        <v>1178</v>
      </c>
      <c r="O172" t="s">
        <v>3436</v>
      </c>
      <c r="P172" t="s">
        <v>2432</v>
      </c>
      <c r="Q172" t="s">
        <v>2501</v>
      </c>
      <c r="R172" t="s">
        <v>3434</v>
      </c>
      <c r="S172" t="s">
        <v>3509</v>
      </c>
    </row>
    <row r="173" spans="1:19" x14ac:dyDescent="0.25">
      <c r="A173" t="s">
        <v>3838</v>
      </c>
      <c r="B173" t="s">
        <v>2614</v>
      </c>
      <c r="C173" t="s">
        <v>2835</v>
      </c>
      <c r="D173" t="s">
        <v>3545</v>
      </c>
      <c r="E173" t="s">
        <v>195</v>
      </c>
      <c r="F173" t="s">
        <v>631</v>
      </c>
      <c r="G173">
        <v>27</v>
      </c>
      <c r="H173">
        <v>24</v>
      </c>
      <c r="I173">
        <v>58.42</v>
      </c>
      <c r="J173">
        <v>1577.34</v>
      </c>
      <c r="K173">
        <v>6.2</v>
      </c>
      <c r="L173">
        <v>252.37</v>
      </c>
      <c r="M173">
        <v>1731.91</v>
      </c>
      <c r="N173" t="s">
        <v>1161</v>
      </c>
      <c r="O173" t="s">
        <v>1179</v>
      </c>
      <c r="P173" t="s">
        <v>2388</v>
      </c>
      <c r="Q173" t="s">
        <v>2512</v>
      </c>
      <c r="R173" t="s">
        <v>3425</v>
      </c>
    </row>
    <row r="174" spans="1:19" x14ac:dyDescent="0.25">
      <c r="A174" t="s">
        <v>3839</v>
      </c>
      <c r="B174" t="s">
        <v>3676</v>
      </c>
      <c r="C174" t="s">
        <v>3674</v>
      </c>
      <c r="D174" t="s">
        <v>3672</v>
      </c>
      <c r="E174" t="s">
        <v>1435</v>
      </c>
      <c r="F174" t="s">
        <v>525</v>
      </c>
      <c r="G174">
        <v>29</v>
      </c>
      <c r="H174">
        <v>25</v>
      </c>
      <c r="I174">
        <v>78.680000000000007</v>
      </c>
      <c r="J174">
        <v>2281.7199999999998</v>
      </c>
      <c r="K174">
        <v>4.3</v>
      </c>
      <c r="L174">
        <v>365.08</v>
      </c>
      <c r="M174">
        <v>2548.69</v>
      </c>
      <c r="N174" t="s">
        <v>1189</v>
      </c>
      <c r="O174" t="s">
        <v>3436</v>
      </c>
      <c r="P174" t="s">
        <v>2425</v>
      </c>
      <c r="Q174" t="s">
        <v>2544</v>
      </c>
      <c r="R174" t="s">
        <v>3429</v>
      </c>
      <c r="S174" t="s">
        <v>3466</v>
      </c>
    </row>
    <row r="175" spans="1:19" x14ac:dyDescent="0.25">
      <c r="A175" t="s">
        <v>3840</v>
      </c>
      <c r="B175" t="s">
        <v>2927</v>
      </c>
      <c r="C175" t="s">
        <v>3315</v>
      </c>
      <c r="D175" t="s">
        <v>3683</v>
      </c>
      <c r="E175" t="s">
        <v>287</v>
      </c>
      <c r="F175" t="s">
        <v>62</v>
      </c>
      <c r="G175">
        <v>44</v>
      </c>
      <c r="H175">
        <v>39</v>
      </c>
      <c r="I175">
        <v>203.27</v>
      </c>
      <c r="J175">
        <v>8943.8799999999992</v>
      </c>
      <c r="K175">
        <v>5.2</v>
      </c>
      <c r="L175">
        <v>1431.02</v>
      </c>
      <c r="M175">
        <v>9909.82</v>
      </c>
      <c r="N175" t="s">
        <v>1189</v>
      </c>
      <c r="O175" t="s">
        <v>3424</v>
      </c>
      <c r="P175" t="s">
        <v>2449</v>
      </c>
      <c r="Q175" t="s">
        <v>2561</v>
      </c>
      <c r="R175" t="s">
        <v>3425</v>
      </c>
      <c r="S175" t="s">
        <v>3443</v>
      </c>
    </row>
    <row r="176" spans="1:19" x14ac:dyDescent="0.25">
      <c r="A176" t="s">
        <v>3841</v>
      </c>
      <c r="B176" t="s">
        <v>3842</v>
      </c>
      <c r="C176" t="s">
        <v>3843</v>
      </c>
      <c r="D176" t="s">
        <v>3002</v>
      </c>
      <c r="E176" t="s">
        <v>731</v>
      </c>
      <c r="F176" t="s">
        <v>626</v>
      </c>
      <c r="G176">
        <v>5</v>
      </c>
      <c r="H176">
        <v>1</v>
      </c>
      <c r="I176">
        <v>347.31</v>
      </c>
      <c r="J176">
        <v>1736.55</v>
      </c>
      <c r="K176">
        <v>8.6</v>
      </c>
      <c r="L176">
        <v>277.85000000000002</v>
      </c>
      <c r="M176">
        <v>1865.06</v>
      </c>
      <c r="N176" t="s">
        <v>1178</v>
      </c>
      <c r="O176" t="s">
        <v>3442</v>
      </c>
      <c r="P176" t="s">
        <v>2407</v>
      </c>
      <c r="Q176" t="s">
        <v>2564</v>
      </c>
      <c r="R176" t="s">
        <v>2633</v>
      </c>
      <c r="S176" t="s">
        <v>3509</v>
      </c>
    </row>
    <row r="177" spans="1:19" x14ac:dyDescent="0.25">
      <c r="A177" t="s">
        <v>3844</v>
      </c>
      <c r="B177" t="s">
        <v>3036</v>
      </c>
      <c r="C177" t="s">
        <v>2994</v>
      </c>
      <c r="D177" t="s">
        <v>2763</v>
      </c>
      <c r="E177" t="s">
        <v>162</v>
      </c>
      <c r="F177" t="s">
        <v>1076</v>
      </c>
      <c r="G177">
        <v>41</v>
      </c>
      <c r="H177">
        <v>40</v>
      </c>
      <c r="I177">
        <v>253.17</v>
      </c>
      <c r="J177">
        <v>10379.969999999999</v>
      </c>
      <c r="K177">
        <v>7</v>
      </c>
      <c r="L177">
        <v>1660.8</v>
      </c>
      <c r="M177">
        <v>11314.17</v>
      </c>
      <c r="N177" t="s">
        <v>1161</v>
      </c>
      <c r="O177" t="s">
        <v>1179</v>
      </c>
      <c r="P177" t="s">
        <v>2456</v>
      </c>
      <c r="Q177" t="s">
        <v>2531</v>
      </c>
      <c r="R177" t="s">
        <v>3429</v>
      </c>
    </row>
    <row r="178" spans="1:19" x14ac:dyDescent="0.25">
      <c r="A178" t="s">
        <v>3845</v>
      </c>
      <c r="B178" t="s">
        <v>3202</v>
      </c>
      <c r="C178" t="s">
        <v>1487</v>
      </c>
      <c r="D178" t="s">
        <v>2900</v>
      </c>
      <c r="E178" t="s">
        <v>1455</v>
      </c>
      <c r="F178" t="s">
        <v>468</v>
      </c>
      <c r="G178">
        <v>72</v>
      </c>
      <c r="H178">
        <v>69</v>
      </c>
      <c r="I178">
        <v>384.82</v>
      </c>
      <c r="J178">
        <v>27707.040000000001</v>
      </c>
      <c r="K178">
        <v>14.8</v>
      </c>
      <c r="L178">
        <v>4433.13</v>
      </c>
      <c r="M178">
        <v>28039.53</v>
      </c>
      <c r="N178" t="s">
        <v>1161</v>
      </c>
      <c r="O178" t="s">
        <v>3442</v>
      </c>
      <c r="P178" t="s">
        <v>2388</v>
      </c>
      <c r="Q178" t="s">
        <v>2527</v>
      </c>
      <c r="R178" t="s">
        <v>3425</v>
      </c>
    </row>
    <row r="179" spans="1:19" x14ac:dyDescent="0.25">
      <c r="A179" t="s">
        <v>3846</v>
      </c>
      <c r="B179" t="s">
        <v>3847</v>
      </c>
      <c r="C179" t="s">
        <v>3848</v>
      </c>
      <c r="D179" t="s">
        <v>3849</v>
      </c>
      <c r="E179" t="s">
        <v>435</v>
      </c>
      <c r="F179" t="s">
        <v>844</v>
      </c>
      <c r="G179">
        <v>38</v>
      </c>
      <c r="H179">
        <v>35</v>
      </c>
      <c r="I179">
        <v>130.38</v>
      </c>
      <c r="J179">
        <v>4954.4399999999996</v>
      </c>
      <c r="K179">
        <v>2.4</v>
      </c>
      <c r="L179">
        <v>792.71</v>
      </c>
      <c r="M179">
        <v>5628.24</v>
      </c>
      <c r="N179" t="s">
        <v>1178</v>
      </c>
      <c r="O179" t="s">
        <v>3424</v>
      </c>
      <c r="P179" t="s">
        <v>2432</v>
      </c>
      <c r="Q179" t="s">
        <v>2551</v>
      </c>
      <c r="R179" t="s">
        <v>3434</v>
      </c>
      <c r="S179" t="s">
        <v>3426</v>
      </c>
    </row>
    <row r="180" spans="1:19" x14ac:dyDescent="0.25">
      <c r="A180" t="s">
        <v>3850</v>
      </c>
      <c r="B180" t="s">
        <v>3659</v>
      </c>
      <c r="C180" t="s">
        <v>3597</v>
      </c>
      <c r="D180" t="s">
        <v>2505</v>
      </c>
      <c r="E180" t="s">
        <v>1461</v>
      </c>
      <c r="F180" t="s">
        <v>571</v>
      </c>
      <c r="G180">
        <v>81</v>
      </c>
      <c r="H180">
        <v>77</v>
      </c>
      <c r="I180">
        <v>97.54</v>
      </c>
      <c r="J180">
        <v>7900.74</v>
      </c>
      <c r="K180">
        <v>13.3</v>
      </c>
      <c r="L180">
        <v>1264.1199999999999</v>
      </c>
      <c r="M180">
        <v>8114.06</v>
      </c>
      <c r="N180" t="s">
        <v>1161</v>
      </c>
      <c r="O180" t="s">
        <v>3436</v>
      </c>
      <c r="P180" t="s">
        <v>2432</v>
      </c>
      <c r="Q180" t="s">
        <v>2512</v>
      </c>
      <c r="R180" t="s">
        <v>3429</v>
      </c>
      <c r="S180" t="s">
        <v>3466</v>
      </c>
    </row>
    <row r="181" spans="1:19" x14ac:dyDescent="0.25">
      <c r="A181" t="s">
        <v>3851</v>
      </c>
      <c r="B181" t="s">
        <v>3852</v>
      </c>
      <c r="C181" t="s">
        <v>3074</v>
      </c>
      <c r="D181" t="s">
        <v>2994</v>
      </c>
      <c r="E181" t="s">
        <v>1455</v>
      </c>
      <c r="F181" t="s">
        <v>703</v>
      </c>
      <c r="G181">
        <v>37</v>
      </c>
      <c r="H181">
        <v>37</v>
      </c>
      <c r="I181">
        <v>421.76</v>
      </c>
      <c r="J181">
        <v>15605.12</v>
      </c>
      <c r="K181">
        <v>6.7</v>
      </c>
      <c r="L181">
        <v>2496.8200000000002</v>
      </c>
      <c r="M181">
        <v>17056.400000000001</v>
      </c>
      <c r="N181" t="s">
        <v>1161</v>
      </c>
      <c r="O181" t="s">
        <v>1179</v>
      </c>
      <c r="P181" t="s">
        <v>2440</v>
      </c>
      <c r="Q181" t="s">
        <v>2554</v>
      </c>
      <c r="R181" t="s">
        <v>3425</v>
      </c>
    </row>
    <row r="182" spans="1:19" x14ac:dyDescent="0.25">
      <c r="A182" t="s">
        <v>3853</v>
      </c>
      <c r="B182" t="s">
        <v>3360</v>
      </c>
      <c r="C182" t="s">
        <v>3854</v>
      </c>
      <c r="D182" t="s">
        <v>3423</v>
      </c>
      <c r="E182" t="s">
        <v>231</v>
      </c>
      <c r="F182" t="s">
        <v>855</v>
      </c>
      <c r="G182">
        <v>84</v>
      </c>
      <c r="H182">
        <v>80</v>
      </c>
      <c r="I182">
        <v>238.14</v>
      </c>
      <c r="J182">
        <v>20003.759999999998</v>
      </c>
      <c r="K182">
        <v>6.3</v>
      </c>
      <c r="L182">
        <v>3200.6</v>
      </c>
      <c r="M182">
        <v>21944.12</v>
      </c>
      <c r="N182" t="s">
        <v>1178</v>
      </c>
      <c r="O182" t="s">
        <v>3424</v>
      </c>
      <c r="P182" t="s">
        <v>2456</v>
      </c>
      <c r="Q182" t="s">
        <v>2551</v>
      </c>
      <c r="R182" t="s">
        <v>3425</v>
      </c>
      <c r="S182" t="s">
        <v>3443</v>
      </c>
    </row>
    <row r="183" spans="1:19" x14ac:dyDescent="0.25">
      <c r="A183" t="s">
        <v>3855</v>
      </c>
      <c r="B183" t="s">
        <v>2915</v>
      </c>
      <c r="C183" t="s">
        <v>2992</v>
      </c>
      <c r="D183" t="s">
        <v>3478</v>
      </c>
      <c r="E183" t="s">
        <v>189</v>
      </c>
      <c r="F183" t="s">
        <v>525</v>
      </c>
      <c r="G183">
        <v>79</v>
      </c>
      <c r="H183">
        <v>79</v>
      </c>
      <c r="I183">
        <v>162.47</v>
      </c>
      <c r="J183">
        <v>12835.13</v>
      </c>
      <c r="K183">
        <v>8.5</v>
      </c>
      <c r="L183">
        <v>2053.62</v>
      </c>
      <c r="M183">
        <v>13797.76</v>
      </c>
      <c r="N183" t="s">
        <v>1161</v>
      </c>
      <c r="O183" t="s">
        <v>3428</v>
      </c>
      <c r="P183" t="s">
        <v>2449</v>
      </c>
      <c r="Q183" t="s">
        <v>2541</v>
      </c>
      <c r="R183" t="s">
        <v>3425</v>
      </c>
    </row>
    <row r="184" spans="1:19" x14ac:dyDescent="0.25">
      <c r="A184" t="s">
        <v>3856</v>
      </c>
      <c r="B184" t="s">
        <v>3676</v>
      </c>
      <c r="C184" t="s">
        <v>3857</v>
      </c>
      <c r="D184" t="s">
        <v>3612</v>
      </c>
      <c r="E184" t="s">
        <v>340</v>
      </c>
      <c r="F184" t="s">
        <v>581</v>
      </c>
      <c r="G184">
        <v>93</v>
      </c>
      <c r="H184">
        <v>92</v>
      </c>
      <c r="I184">
        <v>443.59</v>
      </c>
      <c r="J184">
        <v>41253.870000000003</v>
      </c>
      <c r="K184">
        <v>2.6</v>
      </c>
      <c r="L184">
        <v>6600.62</v>
      </c>
      <c r="M184">
        <v>46781.89</v>
      </c>
      <c r="N184" t="s">
        <v>1178</v>
      </c>
      <c r="O184" t="s">
        <v>3442</v>
      </c>
      <c r="P184" t="s">
        <v>2376</v>
      </c>
      <c r="Q184" t="s">
        <v>2506</v>
      </c>
      <c r="R184" t="s">
        <v>3437</v>
      </c>
      <c r="S184" t="s">
        <v>3466</v>
      </c>
    </row>
    <row r="185" spans="1:19" x14ac:dyDescent="0.25">
      <c r="A185" t="s">
        <v>3858</v>
      </c>
      <c r="B185" t="s">
        <v>3852</v>
      </c>
      <c r="C185" t="s">
        <v>3859</v>
      </c>
      <c r="D185" t="s">
        <v>2772</v>
      </c>
      <c r="E185" t="s">
        <v>225</v>
      </c>
      <c r="F185" t="s">
        <v>990</v>
      </c>
      <c r="G185">
        <v>78</v>
      </c>
      <c r="H185">
        <v>73</v>
      </c>
      <c r="I185">
        <v>249.64</v>
      </c>
      <c r="J185">
        <v>19471.919999999998</v>
      </c>
      <c r="K185">
        <v>3.6</v>
      </c>
      <c r="L185">
        <v>3115.51</v>
      </c>
      <c r="M185">
        <v>21886.44</v>
      </c>
      <c r="N185" t="s">
        <v>1178</v>
      </c>
      <c r="O185" t="s">
        <v>3436</v>
      </c>
      <c r="P185" t="s">
        <v>2425</v>
      </c>
      <c r="Q185" t="s">
        <v>2501</v>
      </c>
      <c r="R185" t="s">
        <v>3425</v>
      </c>
      <c r="S185" t="s">
        <v>3466</v>
      </c>
    </row>
    <row r="186" spans="1:19" x14ac:dyDescent="0.25">
      <c r="A186" t="s">
        <v>3860</v>
      </c>
      <c r="B186" t="s">
        <v>3861</v>
      </c>
      <c r="C186" t="s">
        <v>3316</v>
      </c>
      <c r="D186" t="s">
        <v>2143</v>
      </c>
      <c r="E186" t="s">
        <v>1442</v>
      </c>
      <c r="F186" t="s">
        <v>165</v>
      </c>
      <c r="G186">
        <v>1</v>
      </c>
      <c r="H186">
        <v>0</v>
      </c>
      <c r="I186">
        <v>386.87</v>
      </c>
      <c r="J186">
        <v>386.87</v>
      </c>
      <c r="K186">
        <v>10.199999999999999</v>
      </c>
      <c r="L186">
        <v>61.9</v>
      </c>
      <c r="M186">
        <v>409.31</v>
      </c>
      <c r="N186" t="s">
        <v>1178</v>
      </c>
      <c r="O186" t="s">
        <v>3428</v>
      </c>
      <c r="P186" t="s">
        <v>2416</v>
      </c>
      <c r="Q186" t="s">
        <v>2561</v>
      </c>
      <c r="R186" t="s">
        <v>3425</v>
      </c>
    </row>
    <row r="187" spans="1:19" x14ac:dyDescent="0.25">
      <c r="A187" t="s">
        <v>3862</v>
      </c>
      <c r="B187" t="s">
        <v>3863</v>
      </c>
      <c r="C187" t="s">
        <v>3786</v>
      </c>
      <c r="D187" t="s">
        <v>3777</v>
      </c>
      <c r="E187" t="s">
        <v>218</v>
      </c>
      <c r="F187" t="s">
        <v>728</v>
      </c>
      <c r="G187">
        <v>93</v>
      </c>
      <c r="H187">
        <v>90</v>
      </c>
      <c r="I187">
        <v>76.900000000000006</v>
      </c>
      <c r="J187">
        <v>7151.7</v>
      </c>
      <c r="K187">
        <v>12.2</v>
      </c>
      <c r="L187">
        <v>1144.27</v>
      </c>
      <c r="M187">
        <v>7423.46</v>
      </c>
      <c r="N187" t="s">
        <v>1161</v>
      </c>
      <c r="O187" t="s">
        <v>3428</v>
      </c>
      <c r="P187" t="s">
        <v>2432</v>
      </c>
      <c r="Q187" t="s">
        <v>2491</v>
      </c>
      <c r="R187" t="s">
        <v>3425</v>
      </c>
    </row>
    <row r="188" spans="1:19" x14ac:dyDescent="0.25">
      <c r="A188" t="s">
        <v>3864</v>
      </c>
      <c r="B188" t="s">
        <v>3865</v>
      </c>
      <c r="C188" t="s">
        <v>2924</v>
      </c>
      <c r="D188" t="s">
        <v>2994</v>
      </c>
      <c r="E188" t="s">
        <v>731</v>
      </c>
      <c r="F188" t="s">
        <v>1086</v>
      </c>
      <c r="G188">
        <v>75</v>
      </c>
      <c r="H188">
        <v>70</v>
      </c>
      <c r="I188">
        <v>389.11</v>
      </c>
      <c r="J188">
        <v>29183.25</v>
      </c>
      <c r="K188">
        <v>1.7</v>
      </c>
      <c r="L188">
        <v>4669.32</v>
      </c>
      <c r="M188">
        <v>33356.449999999997</v>
      </c>
      <c r="N188" t="s">
        <v>1178</v>
      </c>
      <c r="O188" t="s">
        <v>3424</v>
      </c>
      <c r="P188" t="s">
        <v>2407</v>
      </c>
      <c r="Q188" t="s">
        <v>2538</v>
      </c>
      <c r="R188" t="s">
        <v>3425</v>
      </c>
      <c r="S188" t="s">
        <v>3509</v>
      </c>
    </row>
    <row r="189" spans="1:19" x14ac:dyDescent="0.25">
      <c r="A189" t="s">
        <v>3866</v>
      </c>
      <c r="B189" t="s">
        <v>3867</v>
      </c>
      <c r="C189" t="s">
        <v>3672</v>
      </c>
      <c r="D189" t="s">
        <v>3868</v>
      </c>
      <c r="E189" t="s">
        <v>482</v>
      </c>
      <c r="F189" t="s">
        <v>530</v>
      </c>
      <c r="G189">
        <v>83</v>
      </c>
      <c r="H189">
        <v>82</v>
      </c>
      <c r="I189">
        <v>362.17</v>
      </c>
      <c r="J189">
        <v>30060.11</v>
      </c>
      <c r="K189">
        <v>6.9</v>
      </c>
      <c r="L189">
        <v>4809.62</v>
      </c>
      <c r="M189">
        <v>32795.58</v>
      </c>
      <c r="N189" t="s">
        <v>1178</v>
      </c>
      <c r="O189" t="s">
        <v>1179</v>
      </c>
      <c r="P189" t="s">
        <v>2416</v>
      </c>
      <c r="Q189" t="s">
        <v>2561</v>
      </c>
      <c r="R189" t="s">
        <v>3437</v>
      </c>
      <c r="S189" t="s">
        <v>3426</v>
      </c>
    </row>
    <row r="190" spans="1:19" x14ac:dyDescent="0.25">
      <c r="A190" t="s">
        <v>3869</v>
      </c>
      <c r="B190" t="s">
        <v>3473</v>
      </c>
      <c r="C190" t="s">
        <v>3870</v>
      </c>
      <c r="D190" t="s">
        <v>3870</v>
      </c>
      <c r="E190" t="s">
        <v>218</v>
      </c>
      <c r="F190" t="s">
        <v>1010</v>
      </c>
      <c r="G190">
        <v>34</v>
      </c>
      <c r="H190">
        <v>30</v>
      </c>
      <c r="I190">
        <v>305.7</v>
      </c>
      <c r="J190">
        <v>10393.799999999999</v>
      </c>
      <c r="K190">
        <v>8.9</v>
      </c>
      <c r="L190">
        <v>1663.01</v>
      </c>
      <c r="M190">
        <v>11131.76</v>
      </c>
      <c r="N190" t="s">
        <v>1178</v>
      </c>
      <c r="O190" t="s">
        <v>3442</v>
      </c>
      <c r="P190" t="s">
        <v>2407</v>
      </c>
      <c r="Q190" t="s">
        <v>2525</v>
      </c>
      <c r="R190" t="s">
        <v>2633</v>
      </c>
      <c r="S190" t="s">
        <v>3509</v>
      </c>
    </row>
    <row r="191" spans="1:19" x14ac:dyDescent="0.25">
      <c r="A191" t="s">
        <v>3871</v>
      </c>
      <c r="B191" t="s">
        <v>3872</v>
      </c>
      <c r="C191" t="s">
        <v>3483</v>
      </c>
      <c r="D191" t="s">
        <v>3613</v>
      </c>
      <c r="E191" t="s">
        <v>476</v>
      </c>
      <c r="F191" t="s">
        <v>1031</v>
      </c>
      <c r="G191">
        <v>21</v>
      </c>
      <c r="H191">
        <v>19</v>
      </c>
      <c r="I191">
        <v>305.44</v>
      </c>
      <c r="J191">
        <v>6414.24</v>
      </c>
      <c r="K191">
        <v>4.5999999999999996</v>
      </c>
      <c r="L191">
        <v>1026.28</v>
      </c>
      <c r="M191">
        <v>7145.46</v>
      </c>
      <c r="N191" t="s">
        <v>1178</v>
      </c>
      <c r="O191" t="s">
        <v>3424</v>
      </c>
      <c r="P191" t="s">
        <v>2398</v>
      </c>
      <c r="Q191" t="s">
        <v>2551</v>
      </c>
      <c r="R191" t="s">
        <v>3434</v>
      </c>
      <c r="S191" t="s">
        <v>3443</v>
      </c>
    </row>
    <row r="192" spans="1:19" x14ac:dyDescent="0.25">
      <c r="A192" t="s">
        <v>3873</v>
      </c>
      <c r="B192" t="s">
        <v>3384</v>
      </c>
      <c r="C192" t="s">
        <v>3773</v>
      </c>
      <c r="D192" t="s">
        <v>3082</v>
      </c>
      <c r="E192" t="s">
        <v>731</v>
      </c>
      <c r="F192" t="s">
        <v>930</v>
      </c>
      <c r="G192">
        <v>30</v>
      </c>
      <c r="H192">
        <v>30</v>
      </c>
      <c r="I192">
        <v>62.6</v>
      </c>
      <c r="J192">
        <v>1878</v>
      </c>
      <c r="K192">
        <v>3.2</v>
      </c>
      <c r="L192">
        <v>300.48</v>
      </c>
      <c r="M192">
        <v>2118.38</v>
      </c>
      <c r="N192" t="s">
        <v>1178</v>
      </c>
      <c r="O192" t="s">
        <v>1179</v>
      </c>
      <c r="P192" t="s">
        <v>2449</v>
      </c>
      <c r="Q192" t="s">
        <v>2564</v>
      </c>
      <c r="R192" t="s">
        <v>3429</v>
      </c>
      <c r="S192" t="s">
        <v>3466</v>
      </c>
    </row>
    <row r="193" spans="1:19" x14ac:dyDescent="0.25">
      <c r="A193" t="s">
        <v>3874</v>
      </c>
      <c r="B193" t="s">
        <v>3815</v>
      </c>
      <c r="C193" t="s">
        <v>3729</v>
      </c>
      <c r="D193" t="s">
        <v>3875</v>
      </c>
      <c r="E193" t="s">
        <v>387</v>
      </c>
      <c r="F193" t="s">
        <v>316</v>
      </c>
      <c r="G193">
        <v>45</v>
      </c>
      <c r="H193">
        <v>43</v>
      </c>
      <c r="I193">
        <v>339.73</v>
      </c>
      <c r="J193">
        <v>15287.85</v>
      </c>
      <c r="K193">
        <v>8.8000000000000007</v>
      </c>
      <c r="L193">
        <v>2446.06</v>
      </c>
      <c r="M193">
        <v>16388.580000000002</v>
      </c>
      <c r="N193" t="s">
        <v>1189</v>
      </c>
      <c r="O193" t="s">
        <v>3428</v>
      </c>
      <c r="P193" t="s">
        <v>2398</v>
      </c>
      <c r="Q193" t="s">
        <v>2541</v>
      </c>
      <c r="R193" t="s">
        <v>3437</v>
      </c>
    </row>
    <row r="194" spans="1:19" x14ac:dyDescent="0.25">
      <c r="A194" t="s">
        <v>3876</v>
      </c>
      <c r="B194" t="s">
        <v>1828</v>
      </c>
      <c r="C194" t="s">
        <v>2663</v>
      </c>
      <c r="D194" t="s">
        <v>3877</v>
      </c>
      <c r="E194" t="s">
        <v>121</v>
      </c>
      <c r="F194" t="s">
        <v>596</v>
      </c>
      <c r="G194">
        <v>2</v>
      </c>
      <c r="H194">
        <v>1</v>
      </c>
      <c r="I194">
        <v>350.94</v>
      </c>
      <c r="J194">
        <v>701.88</v>
      </c>
      <c r="K194">
        <v>1</v>
      </c>
      <c r="L194">
        <v>112.3</v>
      </c>
      <c r="M194">
        <v>807.16</v>
      </c>
      <c r="N194" t="s">
        <v>1178</v>
      </c>
      <c r="O194" t="s">
        <v>1179</v>
      </c>
      <c r="P194" t="s">
        <v>2456</v>
      </c>
      <c r="Q194" t="s">
        <v>2568</v>
      </c>
      <c r="R194" t="s">
        <v>3425</v>
      </c>
    </row>
    <row r="195" spans="1:19" x14ac:dyDescent="0.25">
      <c r="A195" t="s">
        <v>3878</v>
      </c>
      <c r="B195" t="s">
        <v>3879</v>
      </c>
      <c r="C195" t="s">
        <v>2825</v>
      </c>
      <c r="D195" t="s">
        <v>1964</v>
      </c>
      <c r="E195" t="s">
        <v>177</v>
      </c>
      <c r="F195" t="s">
        <v>749</v>
      </c>
      <c r="G195">
        <v>59</v>
      </c>
      <c r="H195">
        <v>54</v>
      </c>
      <c r="I195">
        <v>306.23</v>
      </c>
      <c r="J195">
        <v>18067.57</v>
      </c>
      <c r="K195">
        <v>9.6</v>
      </c>
      <c r="L195">
        <v>2890.81</v>
      </c>
      <c r="M195">
        <v>19223.89</v>
      </c>
      <c r="N195" t="s">
        <v>1178</v>
      </c>
      <c r="O195" t="s">
        <v>1179</v>
      </c>
      <c r="P195" t="s">
        <v>2376</v>
      </c>
      <c r="Q195" t="s">
        <v>2527</v>
      </c>
      <c r="R195" t="s">
        <v>3425</v>
      </c>
      <c r="S195" t="s">
        <v>3426</v>
      </c>
    </row>
    <row r="196" spans="1:19" x14ac:dyDescent="0.25">
      <c r="A196" t="s">
        <v>3880</v>
      </c>
      <c r="B196" t="s">
        <v>3451</v>
      </c>
      <c r="C196" t="s">
        <v>3847</v>
      </c>
      <c r="D196" t="s">
        <v>3751</v>
      </c>
      <c r="E196" t="s">
        <v>324</v>
      </c>
      <c r="F196" t="s">
        <v>165</v>
      </c>
      <c r="G196">
        <v>35</v>
      </c>
      <c r="H196">
        <v>35</v>
      </c>
      <c r="I196">
        <v>298.98</v>
      </c>
      <c r="J196">
        <v>10464.299999999999</v>
      </c>
      <c r="K196">
        <v>8</v>
      </c>
      <c r="L196">
        <v>1674.29</v>
      </c>
      <c r="M196">
        <v>11301.45</v>
      </c>
      <c r="N196" t="s">
        <v>1189</v>
      </c>
      <c r="O196" t="s">
        <v>3436</v>
      </c>
      <c r="P196" t="s">
        <v>2449</v>
      </c>
      <c r="Q196" t="s">
        <v>2512</v>
      </c>
      <c r="R196" t="s">
        <v>3425</v>
      </c>
      <c r="S196" t="s">
        <v>3509</v>
      </c>
    </row>
    <row r="197" spans="1:19" x14ac:dyDescent="0.25">
      <c r="A197" t="s">
        <v>3881</v>
      </c>
      <c r="B197" t="s">
        <v>2943</v>
      </c>
      <c r="C197" t="s">
        <v>3655</v>
      </c>
      <c r="D197" t="s">
        <v>3152</v>
      </c>
      <c r="E197" t="s">
        <v>1448</v>
      </c>
      <c r="F197" t="s">
        <v>332</v>
      </c>
      <c r="G197">
        <v>89</v>
      </c>
      <c r="H197">
        <v>89</v>
      </c>
      <c r="I197">
        <v>471.35</v>
      </c>
      <c r="J197">
        <v>41950.15</v>
      </c>
      <c r="K197">
        <v>12.9</v>
      </c>
      <c r="L197">
        <v>6712.02</v>
      </c>
      <c r="M197">
        <v>43250.6</v>
      </c>
      <c r="N197" t="s">
        <v>1161</v>
      </c>
      <c r="O197" t="s">
        <v>1179</v>
      </c>
      <c r="P197" t="s">
        <v>2449</v>
      </c>
      <c r="Q197" t="s">
        <v>2515</v>
      </c>
      <c r="R197" t="s">
        <v>3425</v>
      </c>
    </row>
    <row r="198" spans="1:19" x14ac:dyDescent="0.25">
      <c r="A198" t="s">
        <v>3882</v>
      </c>
      <c r="B198" t="s">
        <v>2943</v>
      </c>
      <c r="C198" t="s">
        <v>1794</v>
      </c>
      <c r="D198" t="s">
        <v>3883</v>
      </c>
      <c r="E198" t="s">
        <v>1442</v>
      </c>
      <c r="F198" t="s">
        <v>159</v>
      </c>
      <c r="G198">
        <v>17</v>
      </c>
      <c r="H198">
        <v>13</v>
      </c>
      <c r="I198">
        <v>285.14999999999998</v>
      </c>
      <c r="J198">
        <v>4847.55</v>
      </c>
      <c r="K198">
        <v>0.9</v>
      </c>
      <c r="L198">
        <v>775.61</v>
      </c>
      <c r="M198">
        <v>5579.53</v>
      </c>
      <c r="N198" t="s">
        <v>1189</v>
      </c>
      <c r="O198" t="s">
        <v>3428</v>
      </c>
      <c r="P198" t="s">
        <v>2388</v>
      </c>
      <c r="Q198" t="s">
        <v>2544</v>
      </c>
      <c r="R198" t="s">
        <v>3425</v>
      </c>
      <c r="S198" t="s">
        <v>3426</v>
      </c>
    </row>
    <row r="199" spans="1:19" x14ac:dyDescent="0.25">
      <c r="A199" t="s">
        <v>3884</v>
      </c>
      <c r="B199" t="s">
        <v>3713</v>
      </c>
      <c r="C199" t="s">
        <v>3885</v>
      </c>
      <c r="D199" t="s">
        <v>3886</v>
      </c>
      <c r="E199" t="s">
        <v>1403</v>
      </c>
      <c r="F199" t="s">
        <v>174</v>
      </c>
      <c r="G199">
        <v>26</v>
      </c>
      <c r="H199">
        <v>22</v>
      </c>
      <c r="I199">
        <v>265.23</v>
      </c>
      <c r="J199">
        <v>6895.98</v>
      </c>
      <c r="K199">
        <v>6.6</v>
      </c>
      <c r="L199">
        <v>1103.3599999999999</v>
      </c>
      <c r="M199">
        <v>7544.21</v>
      </c>
      <c r="N199" t="s">
        <v>1161</v>
      </c>
      <c r="O199" t="s">
        <v>3424</v>
      </c>
      <c r="P199" t="s">
        <v>2456</v>
      </c>
      <c r="Q199" t="s">
        <v>2538</v>
      </c>
      <c r="R199" t="s">
        <v>3434</v>
      </c>
    </row>
    <row r="200" spans="1:19" x14ac:dyDescent="0.25">
      <c r="A200" t="s">
        <v>3887</v>
      </c>
      <c r="B200" t="s">
        <v>3731</v>
      </c>
      <c r="C200" t="s">
        <v>3888</v>
      </c>
      <c r="D200" t="s">
        <v>3788</v>
      </c>
      <c r="E200" t="s">
        <v>32</v>
      </c>
      <c r="F200" t="s">
        <v>662</v>
      </c>
      <c r="G200">
        <v>15</v>
      </c>
      <c r="H200">
        <v>10</v>
      </c>
      <c r="I200">
        <v>373.99</v>
      </c>
      <c r="J200">
        <v>5609.85</v>
      </c>
      <c r="K200">
        <v>6.6</v>
      </c>
      <c r="L200">
        <v>897.58</v>
      </c>
      <c r="M200">
        <v>6137.18</v>
      </c>
      <c r="N200" t="s">
        <v>1161</v>
      </c>
      <c r="O200" t="s">
        <v>3428</v>
      </c>
      <c r="P200" t="s">
        <v>2376</v>
      </c>
      <c r="Q200" t="s">
        <v>2515</v>
      </c>
      <c r="R200" t="s">
        <v>3429</v>
      </c>
      <c r="S200" t="s">
        <v>3509</v>
      </c>
    </row>
    <row r="201" spans="1:19" x14ac:dyDescent="0.25">
      <c r="A201" t="s">
        <v>3889</v>
      </c>
      <c r="B201" t="s">
        <v>3096</v>
      </c>
      <c r="C201" t="s">
        <v>3486</v>
      </c>
      <c r="D201" t="s">
        <v>3890</v>
      </c>
      <c r="E201" t="s">
        <v>212</v>
      </c>
      <c r="F201" t="s">
        <v>920</v>
      </c>
      <c r="G201">
        <v>23</v>
      </c>
      <c r="H201">
        <v>21</v>
      </c>
      <c r="I201">
        <v>197.89</v>
      </c>
      <c r="J201">
        <v>4551.47</v>
      </c>
      <c r="K201">
        <v>7.2</v>
      </c>
      <c r="L201">
        <v>728.24</v>
      </c>
      <c r="M201">
        <v>4952</v>
      </c>
      <c r="N201" t="s">
        <v>1161</v>
      </c>
      <c r="O201" t="s">
        <v>3424</v>
      </c>
      <c r="P201" t="s">
        <v>2425</v>
      </c>
      <c r="Q201" t="s">
        <v>2515</v>
      </c>
      <c r="R201" t="s">
        <v>3434</v>
      </c>
      <c r="S201" t="s">
        <v>3466</v>
      </c>
    </row>
    <row r="202" spans="1:19" x14ac:dyDescent="0.25">
      <c r="A202" t="s">
        <v>3891</v>
      </c>
      <c r="B202" t="s">
        <v>3892</v>
      </c>
      <c r="C202" t="s">
        <v>3592</v>
      </c>
      <c r="D202" t="s">
        <v>3592</v>
      </c>
      <c r="E202" t="s">
        <v>435</v>
      </c>
      <c r="F202" t="s">
        <v>1081</v>
      </c>
      <c r="G202">
        <v>24</v>
      </c>
      <c r="H202">
        <v>23</v>
      </c>
      <c r="I202">
        <v>269.41000000000003</v>
      </c>
      <c r="J202">
        <v>6465.84</v>
      </c>
      <c r="K202">
        <v>4.8</v>
      </c>
      <c r="L202">
        <v>1034.53</v>
      </c>
      <c r="M202">
        <v>7190.01</v>
      </c>
      <c r="N202" t="s">
        <v>1178</v>
      </c>
      <c r="O202" t="s">
        <v>3442</v>
      </c>
      <c r="P202" t="s">
        <v>2432</v>
      </c>
      <c r="Q202" t="s">
        <v>2558</v>
      </c>
      <c r="R202" t="s">
        <v>3434</v>
      </c>
    </row>
    <row r="203" spans="1:19" x14ac:dyDescent="0.25">
      <c r="A203" t="s">
        <v>3893</v>
      </c>
      <c r="B203" t="s">
        <v>2763</v>
      </c>
      <c r="C203" t="s">
        <v>3177</v>
      </c>
      <c r="D203" t="s">
        <v>2628</v>
      </c>
      <c r="E203" t="s">
        <v>218</v>
      </c>
      <c r="F203" t="s">
        <v>545</v>
      </c>
      <c r="G203">
        <v>82</v>
      </c>
      <c r="H203">
        <v>81</v>
      </c>
      <c r="I203">
        <v>359.13</v>
      </c>
      <c r="J203">
        <v>29448.66</v>
      </c>
      <c r="K203">
        <v>12.3</v>
      </c>
      <c r="L203">
        <v>4711.79</v>
      </c>
      <c r="M203">
        <v>30538.26</v>
      </c>
      <c r="N203" t="s">
        <v>1178</v>
      </c>
      <c r="O203" t="s">
        <v>1179</v>
      </c>
      <c r="P203" t="s">
        <v>2449</v>
      </c>
      <c r="Q203" t="s">
        <v>2519</v>
      </c>
      <c r="R203" t="s">
        <v>2633</v>
      </c>
      <c r="S203" t="s">
        <v>3466</v>
      </c>
    </row>
    <row r="204" spans="1:19" x14ac:dyDescent="0.25">
      <c r="A204" t="s">
        <v>3894</v>
      </c>
      <c r="B204" t="s">
        <v>3895</v>
      </c>
      <c r="C204" t="s">
        <v>3896</v>
      </c>
      <c r="D204" t="s">
        <v>3897</v>
      </c>
      <c r="E204" t="s">
        <v>482</v>
      </c>
      <c r="F204" t="s">
        <v>990</v>
      </c>
      <c r="G204">
        <v>39</v>
      </c>
      <c r="H204">
        <v>38</v>
      </c>
      <c r="I204">
        <v>467.4</v>
      </c>
      <c r="J204">
        <v>18228.599999999999</v>
      </c>
      <c r="K204">
        <v>3.2</v>
      </c>
      <c r="L204">
        <v>2916.58</v>
      </c>
      <c r="M204">
        <v>20561.86</v>
      </c>
      <c r="N204" t="s">
        <v>1178</v>
      </c>
      <c r="O204" t="s">
        <v>3428</v>
      </c>
      <c r="P204" t="s">
        <v>2398</v>
      </c>
      <c r="Q204" t="s">
        <v>2501</v>
      </c>
      <c r="R204" t="s">
        <v>3425</v>
      </c>
      <c r="S204" t="s">
        <v>3426</v>
      </c>
    </row>
    <row r="205" spans="1:19" x14ac:dyDescent="0.25">
      <c r="A205" t="s">
        <v>3898</v>
      </c>
      <c r="B205" t="s">
        <v>3899</v>
      </c>
      <c r="C205" t="s">
        <v>3778</v>
      </c>
      <c r="D205" t="s">
        <v>3451</v>
      </c>
      <c r="E205" t="s">
        <v>106</v>
      </c>
      <c r="F205" t="s">
        <v>718</v>
      </c>
      <c r="G205">
        <v>84</v>
      </c>
      <c r="H205">
        <v>82</v>
      </c>
      <c r="I205">
        <v>317.85000000000002</v>
      </c>
      <c r="J205">
        <v>26699.4</v>
      </c>
      <c r="K205">
        <v>6.3</v>
      </c>
      <c r="L205">
        <v>4271.8999999999996</v>
      </c>
      <c r="M205">
        <v>29289.24</v>
      </c>
      <c r="N205" t="s">
        <v>1189</v>
      </c>
      <c r="O205" t="s">
        <v>1179</v>
      </c>
      <c r="P205" t="s">
        <v>2425</v>
      </c>
      <c r="Q205" t="s">
        <v>2495</v>
      </c>
      <c r="R205" t="s">
        <v>3434</v>
      </c>
      <c r="S205" t="s">
        <v>3426</v>
      </c>
    </row>
    <row r="206" spans="1:19" x14ac:dyDescent="0.25">
      <c r="A206" t="s">
        <v>3900</v>
      </c>
      <c r="B206" t="s">
        <v>3742</v>
      </c>
      <c r="C206" t="s">
        <v>2550</v>
      </c>
      <c r="D206" t="s">
        <v>3901</v>
      </c>
      <c r="E206" t="s">
        <v>1442</v>
      </c>
      <c r="F206" t="s">
        <v>561</v>
      </c>
      <c r="G206">
        <v>96</v>
      </c>
      <c r="H206">
        <v>93</v>
      </c>
      <c r="I206">
        <v>191.91</v>
      </c>
      <c r="J206">
        <v>18423.36</v>
      </c>
      <c r="K206">
        <v>4.5999999999999996</v>
      </c>
      <c r="L206">
        <v>2947.74</v>
      </c>
      <c r="M206">
        <v>20523.63</v>
      </c>
      <c r="N206" t="s">
        <v>1178</v>
      </c>
      <c r="O206" t="s">
        <v>3428</v>
      </c>
      <c r="P206" t="s">
        <v>2376</v>
      </c>
      <c r="Q206" t="s">
        <v>2531</v>
      </c>
      <c r="R206" t="s">
        <v>2633</v>
      </c>
    </row>
    <row r="207" spans="1:19" x14ac:dyDescent="0.25">
      <c r="A207" t="s">
        <v>3902</v>
      </c>
      <c r="B207" t="s">
        <v>3859</v>
      </c>
      <c r="C207" t="s">
        <v>3171</v>
      </c>
      <c r="D207" t="s">
        <v>2972</v>
      </c>
      <c r="E207" t="s">
        <v>340</v>
      </c>
      <c r="F207" t="s">
        <v>1096</v>
      </c>
      <c r="G207">
        <v>36</v>
      </c>
      <c r="H207">
        <v>34</v>
      </c>
      <c r="I207">
        <v>58.77</v>
      </c>
      <c r="J207">
        <v>2115.7199999999998</v>
      </c>
      <c r="K207">
        <v>10.6</v>
      </c>
      <c r="L207">
        <v>338.52</v>
      </c>
      <c r="M207">
        <v>2229.9699999999998</v>
      </c>
      <c r="N207" t="s">
        <v>1178</v>
      </c>
      <c r="O207" t="s">
        <v>1179</v>
      </c>
      <c r="P207" t="s">
        <v>2376</v>
      </c>
      <c r="Q207" t="s">
        <v>2522</v>
      </c>
      <c r="R207" t="s">
        <v>3429</v>
      </c>
      <c r="S207" t="s">
        <v>3443</v>
      </c>
    </row>
    <row r="208" spans="1:19" x14ac:dyDescent="0.25">
      <c r="A208" t="s">
        <v>3903</v>
      </c>
      <c r="B208" t="s">
        <v>3458</v>
      </c>
      <c r="C208" t="s">
        <v>3602</v>
      </c>
      <c r="D208" t="s">
        <v>3834</v>
      </c>
      <c r="E208" t="s">
        <v>847</v>
      </c>
      <c r="F208" t="s">
        <v>824</v>
      </c>
      <c r="G208">
        <v>72</v>
      </c>
      <c r="H208">
        <v>70</v>
      </c>
      <c r="I208">
        <v>382.56</v>
      </c>
      <c r="J208">
        <v>27544.32</v>
      </c>
      <c r="K208">
        <v>12</v>
      </c>
      <c r="L208">
        <v>4407.09</v>
      </c>
      <c r="M208">
        <v>28646.09</v>
      </c>
      <c r="N208" t="s">
        <v>1178</v>
      </c>
      <c r="O208" t="s">
        <v>3442</v>
      </c>
      <c r="P208" t="s">
        <v>2407</v>
      </c>
      <c r="Q208" t="s">
        <v>2501</v>
      </c>
      <c r="R208" t="s">
        <v>2633</v>
      </c>
      <c r="S208" t="s">
        <v>3466</v>
      </c>
    </row>
    <row r="209" spans="1:19" x14ac:dyDescent="0.25">
      <c r="A209" t="s">
        <v>3904</v>
      </c>
      <c r="B209" t="s">
        <v>3905</v>
      </c>
      <c r="C209" t="s">
        <v>3906</v>
      </c>
      <c r="D209" t="s">
        <v>3907</v>
      </c>
      <c r="E209" t="s">
        <v>1442</v>
      </c>
      <c r="F209" t="s">
        <v>870</v>
      </c>
      <c r="G209">
        <v>61</v>
      </c>
      <c r="H209">
        <v>56</v>
      </c>
      <c r="I209">
        <v>478.42</v>
      </c>
      <c r="J209">
        <v>29183.62</v>
      </c>
      <c r="K209">
        <v>14.2</v>
      </c>
      <c r="L209">
        <v>4669.38</v>
      </c>
      <c r="M209">
        <v>29708.93</v>
      </c>
      <c r="N209" t="s">
        <v>1189</v>
      </c>
      <c r="O209" t="s">
        <v>3424</v>
      </c>
      <c r="P209" t="s">
        <v>2416</v>
      </c>
      <c r="Q209" t="s">
        <v>2551</v>
      </c>
      <c r="R209" t="s">
        <v>3429</v>
      </c>
    </row>
    <row r="210" spans="1:19" x14ac:dyDescent="0.25">
      <c r="A210" t="s">
        <v>3908</v>
      </c>
      <c r="B210" t="s">
        <v>2143</v>
      </c>
      <c r="C210" t="s">
        <v>3119</v>
      </c>
      <c r="D210" t="s">
        <v>2610</v>
      </c>
      <c r="E210" t="s">
        <v>482</v>
      </c>
      <c r="F210" t="s">
        <v>146</v>
      </c>
      <c r="G210">
        <v>82</v>
      </c>
      <c r="H210">
        <v>79</v>
      </c>
      <c r="I210">
        <v>204.21</v>
      </c>
      <c r="J210">
        <v>16745.22</v>
      </c>
      <c r="K210">
        <v>8.1</v>
      </c>
      <c r="L210">
        <v>2679.24</v>
      </c>
      <c r="M210">
        <v>18068.099999999999</v>
      </c>
      <c r="N210" t="s">
        <v>1178</v>
      </c>
      <c r="O210" t="s">
        <v>3442</v>
      </c>
      <c r="P210" t="s">
        <v>2425</v>
      </c>
      <c r="Q210" t="s">
        <v>2568</v>
      </c>
      <c r="R210" t="s">
        <v>3429</v>
      </c>
    </row>
    <row r="211" spans="1:19" x14ac:dyDescent="0.25">
      <c r="A211" t="s">
        <v>3909</v>
      </c>
      <c r="B211" t="s">
        <v>2143</v>
      </c>
      <c r="C211" t="s">
        <v>3514</v>
      </c>
      <c r="D211" t="s">
        <v>3910</v>
      </c>
      <c r="E211" t="s">
        <v>45</v>
      </c>
      <c r="F211" t="s">
        <v>865</v>
      </c>
      <c r="G211">
        <v>39</v>
      </c>
      <c r="H211">
        <v>35</v>
      </c>
      <c r="I211">
        <v>308.33999999999997</v>
      </c>
      <c r="J211">
        <v>12025.26</v>
      </c>
      <c r="K211">
        <v>8.4</v>
      </c>
      <c r="L211">
        <v>1924.04</v>
      </c>
      <c r="M211">
        <v>12939.18</v>
      </c>
      <c r="N211" t="s">
        <v>1161</v>
      </c>
      <c r="O211" t="s">
        <v>1179</v>
      </c>
      <c r="P211" t="s">
        <v>2449</v>
      </c>
      <c r="Q211" t="s">
        <v>2541</v>
      </c>
      <c r="R211" t="s">
        <v>3434</v>
      </c>
    </row>
    <row r="212" spans="1:19" x14ac:dyDescent="0.25">
      <c r="A212" t="s">
        <v>3911</v>
      </c>
      <c r="B212" t="s">
        <v>3912</v>
      </c>
      <c r="C212" t="s">
        <v>3612</v>
      </c>
      <c r="D212" t="s">
        <v>3642</v>
      </c>
      <c r="E212" t="s">
        <v>654</v>
      </c>
      <c r="F212" t="s">
        <v>1101</v>
      </c>
      <c r="G212">
        <v>99</v>
      </c>
      <c r="H212">
        <v>96</v>
      </c>
      <c r="I212">
        <v>80.599999999999994</v>
      </c>
      <c r="J212">
        <v>7979.4</v>
      </c>
      <c r="K212">
        <v>11.8</v>
      </c>
      <c r="L212">
        <v>1276.7</v>
      </c>
      <c r="M212">
        <v>8314.5300000000007</v>
      </c>
      <c r="N212" t="s">
        <v>1178</v>
      </c>
      <c r="O212" t="s">
        <v>3424</v>
      </c>
      <c r="P212" t="s">
        <v>2425</v>
      </c>
      <c r="Q212" t="s">
        <v>2535</v>
      </c>
      <c r="R212" t="s">
        <v>3425</v>
      </c>
      <c r="S212" t="s">
        <v>3466</v>
      </c>
    </row>
    <row r="213" spans="1:19" x14ac:dyDescent="0.25">
      <c r="A213" t="s">
        <v>3913</v>
      </c>
      <c r="B213" t="s">
        <v>3914</v>
      </c>
      <c r="C213" t="s">
        <v>3915</v>
      </c>
      <c r="D213" t="s">
        <v>3384</v>
      </c>
      <c r="E213" t="s">
        <v>558</v>
      </c>
      <c r="F213" t="s">
        <v>535</v>
      </c>
      <c r="G213">
        <v>26</v>
      </c>
      <c r="H213">
        <v>26</v>
      </c>
      <c r="I213">
        <v>354.95</v>
      </c>
      <c r="J213">
        <v>9228.7000000000007</v>
      </c>
      <c r="K213">
        <v>10.6</v>
      </c>
      <c r="L213">
        <v>1476.59</v>
      </c>
      <c r="M213">
        <v>9727.0499999999993</v>
      </c>
      <c r="N213" t="s">
        <v>1178</v>
      </c>
      <c r="O213" t="s">
        <v>3442</v>
      </c>
      <c r="P213" t="s">
        <v>2432</v>
      </c>
      <c r="Q213" t="s">
        <v>2531</v>
      </c>
      <c r="R213" t="s">
        <v>3429</v>
      </c>
      <c r="S213" t="s">
        <v>3466</v>
      </c>
    </row>
    <row r="214" spans="1:19" x14ac:dyDescent="0.25">
      <c r="A214" t="s">
        <v>3916</v>
      </c>
      <c r="B214" t="s">
        <v>3917</v>
      </c>
      <c r="C214" t="s">
        <v>3918</v>
      </c>
      <c r="D214" t="s">
        <v>3223</v>
      </c>
      <c r="E214" t="s">
        <v>136</v>
      </c>
      <c r="F214" t="s">
        <v>789</v>
      </c>
      <c r="G214">
        <v>8</v>
      </c>
      <c r="H214">
        <v>8</v>
      </c>
      <c r="I214">
        <v>460.84</v>
      </c>
      <c r="J214">
        <v>3686.72</v>
      </c>
      <c r="K214">
        <v>7.7</v>
      </c>
      <c r="L214">
        <v>589.88</v>
      </c>
      <c r="M214">
        <v>3992.72</v>
      </c>
      <c r="N214" t="s">
        <v>1161</v>
      </c>
      <c r="O214" t="s">
        <v>1179</v>
      </c>
      <c r="P214" t="s">
        <v>2449</v>
      </c>
      <c r="Q214" t="s">
        <v>2538</v>
      </c>
      <c r="R214" t="s">
        <v>3434</v>
      </c>
      <c r="S214" t="s">
        <v>3426</v>
      </c>
    </row>
    <row r="215" spans="1:19" x14ac:dyDescent="0.25">
      <c r="A215" t="s">
        <v>3919</v>
      </c>
      <c r="B215" t="s">
        <v>3686</v>
      </c>
      <c r="C215" t="s">
        <v>3920</v>
      </c>
      <c r="D215" t="s">
        <v>3921</v>
      </c>
      <c r="E215" t="s">
        <v>1403</v>
      </c>
      <c r="F215" t="s">
        <v>165</v>
      </c>
      <c r="G215">
        <v>95</v>
      </c>
      <c r="H215">
        <v>94</v>
      </c>
      <c r="I215">
        <v>84</v>
      </c>
      <c r="J215">
        <v>7980</v>
      </c>
      <c r="K215">
        <v>1.4</v>
      </c>
      <c r="L215">
        <v>1276.8</v>
      </c>
      <c r="M215">
        <v>9145.08</v>
      </c>
      <c r="N215" t="s">
        <v>1161</v>
      </c>
      <c r="O215" t="s">
        <v>3442</v>
      </c>
      <c r="P215" t="s">
        <v>2456</v>
      </c>
      <c r="Q215" t="s">
        <v>2535</v>
      </c>
      <c r="R215" t="s">
        <v>3425</v>
      </c>
    </row>
    <row r="216" spans="1:19" x14ac:dyDescent="0.25">
      <c r="A216" t="s">
        <v>3922</v>
      </c>
      <c r="B216" t="s">
        <v>3923</v>
      </c>
      <c r="C216" t="s">
        <v>3770</v>
      </c>
      <c r="D216" t="s">
        <v>3905</v>
      </c>
      <c r="E216" t="s">
        <v>1461</v>
      </c>
      <c r="F216" t="s">
        <v>990</v>
      </c>
      <c r="G216">
        <v>56</v>
      </c>
      <c r="H216">
        <v>54</v>
      </c>
      <c r="I216">
        <v>417.99</v>
      </c>
      <c r="J216">
        <v>23407.439999999999</v>
      </c>
      <c r="K216">
        <v>7</v>
      </c>
      <c r="L216">
        <v>3745.19</v>
      </c>
      <c r="M216">
        <v>25514.11</v>
      </c>
      <c r="N216" t="s">
        <v>1178</v>
      </c>
      <c r="O216" t="s">
        <v>3424</v>
      </c>
      <c r="P216" t="s">
        <v>2456</v>
      </c>
      <c r="Q216" t="s">
        <v>2522</v>
      </c>
      <c r="R216" t="s">
        <v>3437</v>
      </c>
      <c r="S216" t="s">
        <v>3443</v>
      </c>
    </row>
    <row r="217" spans="1:19" x14ac:dyDescent="0.25">
      <c r="A217" t="s">
        <v>3924</v>
      </c>
      <c r="B217" t="s">
        <v>3321</v>
      </c>
      <c r="C217" t="s">
        <v>3925</v>
      </c>
      <c r="D217" t="s">
        <v>3831</v>
      </c>
      <c r="E217" t="s">
        <v>189</v>
      </c>
      <c r="F217" t="s">
        <v>621</v>
      </c>
      <c r="G217">
        <v>74</v>
      </c>
      <c r="H217">
        <v>73</v>
      </c>
      <c r="I217">
        <v>182.22</v>
      </c>
      <c r="J217">
        <v>13484.28</v>
      </c>
      <c r="K217">
        <v>9.4</v>
      </c>
      <c r="L217">
        <v>2157.48</v>
      </c>
      <c r="M217">
        <v>14374.24</v>
      </c>
      <c r="N217" t="s">
        <v>1178</v>
      </c>
      <c r="O217" t="s">
        <v>3428</v>
      </c>
      <c r="P217" t="s">
        <v>2398</v>
      </c>
      <c r="Q217" t="s">
        <v>2515</v>
      </c>
      <c r="R217" t="s">
        <v>3425</v>
      </c>
      <c r="S217" t="s">
        <v>3426</v>
      </c>
    </row>
    <row r="218" spans="1:19" x14ac:dyDescent="0.25">
      <c r="A218" t="s">
        <v>3926</v>
      </c>
      <c r="B218" t="s">
        <v>3688</v>
      </c>
      <c r="C218" t="s">
        <v>3737</v>
      </c>
      <c r="D218" t="s">
        <v>3522</v>
      </c>
      <c r="E218" t="s">
        <v>91</v>
      </c>
      <c r="F218" t="s">
        <v>698</v>
      </c>
      <c r="G218">
        <v>84</v>
      </c>
      <c r="H218">
        <v>80</v>
      </c>
      <c r="I218">
        <v>349.43</v>
      </c>
      <c r="J218">
        <v>29352.12</v>
      </c>
      <c r="K218">
        <v>11.5</v>
      </c>
      <c r="L218">
        <v>4696.34</v>
      </c>
      <c r="M218">
        <v>30672.97</v>
      </c>
      <c r="N218" t="s">
        <v>1178</v>
      </c>
      <c r="O218" t="s">
        <v>3424</v>
      </c>
      <c r="P218" t="s">
        <v>2398</v>
      </c>
      <c r="Q218" t="s">
        <v>2506</v>
      </c>
      <c r="R218" t="s">
        <v>3434</v>
      </c>
    </row>
    <row r="219" spans="1:19" x14ac:dyDescent="0.25">
      <c r="A219" t="s">
        <v>3927</v>
      </c>
      <c r="B219" t="s">
        <v>3456</v>
      </c>
      <c r="C219" t="s">
        <v>3928</v>
      </c>
      <c r="D219" t="s">
        <v>3929</v>
      </c>
      <c r="E219" t="s">
        <v>482</v>
      </c>
      <c r="F219" t="s">
        <v>87</v>
      </c>
      <c r="G219">
        <v>69</v>
      </c>
      <c r="H219">
        <v>67</v>
      </c>
      <c r="I219">
        <v>320.86</v>
      </c>
      <c r="J219">
        <v>22139.34</v>
      </c>
      <c r="K219">
        <v>12.7</v>
      </c>
      <c r="L219">
        <v>3542.29</v>
      </c>
      <c r="M219">
        <v>22869.93</v>
      </c>
      <c r="N219" t="s">
        <v>1178</v>
      </c>
      <c r="O219" t="s">
        <v>1179</v>
      </c>
      <c r="P219" t="s">
        <v>2425</v>
      </c>
      <c r="Q219" t="s">
        <v>2512</v>
      </c>
      <c r="R219" t="s">
        <v>3425</v>
      </c>
    </row>
    <row r="220" spans="1:19" x14ac:dyDescent="0.25">
      <c r="A220" t="s">
        <v>3930</v>
      </c>
      <c r="B220" t="s">
        <v>3295</v>
      </c>
      <c r="C220" t="s">
        <v>3606</v>
      </c>
      <c r="D220" t="s">
        <v>2940</v>
      </c>
      <c r="E220" t="s">
        <v>476</v>
      </c>
      <c r="F220" t="s">
        <v>306</v>
      </c>
      <c r="G220">
        <v>55</v>
      </c>
      <c r="H220">
        <v>54</v>
      </c>
      <c r="I220">
        <v>495.95</v>
      </c>
      <c r="J220">
        <v>27277.25</v>
      </c>
      <c r="K220">
        <v>3.5</v>
      </c>
      <c r="L220">
        <v>4364.3599999999997</v>
      </c>
      <c r="M220">
        <v>30686.91</v>
      </c>
      <c r="N220" t="s">
        <v>1189</v>
      </c>
      <c r="O220" t="s">
        <v>3442</v>
      </c>
      <c r="P220" t="s">
        <v>2432</v>
      </c>
      <c r="Q220" t="s">
        <v>2475</v>
      </c>
      <c r="R220" t="s">
        <v>3437</v>
      </c>
    </row>
    <row r="221" spans="1:19" x14ac:dyDescent="0.25">
      <c r="A221" t="s">
        <v>3931</v>
      </c>
      <c r="B221" t="s">
        <v>3932</v>
      </c>
      <c r="C221" t="s">
        <v>3933</v>
      </c>
      <c r="D221" t="s">
        <v>3934</v>
      </c>
      <c r="E221" t="s">
        <v>231</v>
      </c>
      <c r="F221" t="s">
        <v>131</v>
      </c>
      <c r="G221">
        <v>58</v>
      </c>
      <c r="H221">
        <v>58</v>
      </c>
      <c r="I221">
        <v>247.35</v>
      </c>
      <c r="J221">
        <v>14346.3</v>
      </c>
      <c r="K221">
        <v>3</v>
      </c>
      <c r="L221">
        <v>2295.41</v>
      </c>
      <c r="M221">
        <v>16211.32</v>
      </c>
      <c r="N221" t="s">
        <v>1178</v>
      </c>
      <c r="O221" t="s">
        <v>3424</v>
      </c>
      <c r="P221" t="s">
        <v>2449</v>
      </c>
      <c r="Q221" t="s">
        <v>2548</v>
      </c>
      <c r="R221" t="s">
        <v>3425</v>
      </c>
    </row>
    <row r="222" spans="1:19" x14ac:dyDescent="0.25">
      <c r="A222" t="s">
        <v>3935</v>
      </c>
      <c r="B222" t="s">
        <v>3218</v>
      </c>
      <c r="C222" t="s">
        <v>2953</v>
      </c>
      <c r="D222" t="s">
        <v>2900</v>
      </c>
      <c r="E222" t="s">
        <v>1455</v>
      </c>
      <c r="F222" t="s">
        <v>368</v>
      </c>
      <c r="G222">
        <v>16</v>
      </c>
      <c r="H222">
        <v>15</v>
      </c>
      <c r="I222">
        <v>473.31</v>
      </c>
      <c r="J222">
        <v>7572.96</v>
      </c>
      <c r="K222">
        <v>11.1</v>
      </c>
      <c r="L222">
        <v>1211.67</v>
      </c>
      <c r="M222">
        <v>7944.03</v>
      </c>
      <c r="N222" t="s">
        <v>1178</v>
      </c>
      <c r="O222" t="s">
        <v>3442</v>
      </c>
      <c r="P222" t="s">
        <v>2449</v>
      </c>
      <c r="Q222" t="s">
        <v>2525</v>
      </c>
      <c r="R222" t="s">
        <v>3437</v>
      </c>
      <c r="S222" t="s">
        <v>3509</v>
      </c>
    </row>
    <row r="223" spans="1:19" x14ac:dyDescent="0.25">
      <c r="A223" t="s">
        <v>3936</v>
      </c>
      <c r="B223" t="s">
        <v>2134</v>
      </c>
      <c r="C223" t="s">
        <v>2816</v>
      </c>
      <c r="D223" t="s">
        <v>3937</v>
      </c>
      <c r="E223" t="s">
        <v>324</v>
      </c>
      <c r="F223" t="s">
        <v>234</v>
      </c>
      <c r="G223">
        <v>59</v>
      </c>
      <c r="H223">
        <v>57</v>
      </c>
      <c r="I223">
        <v>57.27</v>
      </c>
      <c r="J223">
        <v>3378.93</v>
      </c>
      <c r="K223">
        <v>5.7</v>
      </c>
      <c r="L223">
        <v>540.63</v>
      </c>
      <c r="M223">
        <v>3726.96</v>
      </c>
      <c r="N223" t="s">
        <v>1178</v>
      </c>
      <c r="O223" t="s">
        <v>1179</v>
      </c>
      <c r="P223" t="s">
        <v>2388</v>
      </c>
      <c r="Q223" t="s">
        <v>2531</v>
      </c>
      <c r="R223" t="s">
        <v>3434</v>
      </c>
    </row>
    <row r="224" spans="1:19" x14ac:dyDescent="0.25">
      <c r="A224" t="s">
        <v>3938</v>
      </c>
      <c r="B224" t="s">
        <v>3092</v>
      </c>
      <c r="C224" t="s">
        <v>3683</v>
      </c>
      <c r="D224" t="s">
        <v>3939</v>
      </c>
      <c r="E224" t="s">
        <v>1429</v>
      </c>
      <c r="F224" t="s">
        <v>192</v>
      </c>
      <c r="G224">
        <v>84</v>
      </c>
      <c r="H224">
        <v>79</v>
      </c>
      <c r="I224">
        <v>339.61</v>
      </c>
      <c r="J224">
        <v>28527.24</v>
      </c>
      <c r="K224">
        <v>5.8</v>
      </c>
      <c r="L224">
        <v>4564.3599999999997</v>
      </c>
      <c r="M224">
        <v>31437.02</v>
      </c>
      <c r="N224" t="s">
        <v>1178</v>
      </c>
      <c r="O224" t="s">
        <v>3442</v>
      </c>
      <c r="P224" t="s">
        <v>2398</v>
      </c>
      <c r="Q224" t="s">
        <v>2512</v>
      </c>
      <c r="R224" t="s">
        <v>3425</v>
      </c>
    </row>
    <row r="225" spans="1:19" x14ac:dyDescent="0.25">
      <c r="A225" t="s">
        <v>3940</v>
      </c>
      <c r="B225" t="s">
        <v>2642</v>
      </c>
      <c r="C225" t="s">
        <v>3223</v>
      </c>
      <c r="D225" t="s">
        <v>2843</v>
      </c>
      <c r="E225" t="s">
        <v>654</v>
      </c>
      <c r="F225" t="s">
        <v>774</v>
      </c>
      <c r="G225">
        <v>20</v>
      </c>
      <c r="H225">
        <v>19</v>
      </c>
      <c r="I225">
        <v>113.1</v>
      </c>
      <c r="J225">
        <v>2262</v>
      </c>
      <c r="K225">
        <v>7</v>
      </c>
      <c r="L225">
        <v>361.92</v>
      </c>
      <c r="M225">
        <v>2465.58</v>
      </c>
      <c r="N225" t="s">
        <v>1178</v>
      </c>
      <c r="O225" t="s">
        <v>1179</v>
      </c>
      <c r="P225" t="s">
        <v>2456</v>
      </c>
      <c r="Q225" t="s">
        <v>2531</v>
      </c>
      <c r="R225" t="s">
        <v>3425</v>
      </c>
      <c r="S225" t="s">
        <v>3443</v>
      </c>
    </row>
    <row r="226" spans="1:19" x14ac:dyDescent="0.25">
      <c r="A226" t="s">
        <v>3941</v>
      </c>
      <c r="B226" t="s">
        <v>3942</v>
      </c>
      <c r="C226" t="s">
        <v>3819</v>
      </c>
      <c r="D226" t="s">
        <v>3943</v>
      </c>
      <c r="E226" t="s">
        <v>376</v>
      </c>
      <c r="F226" t="s">
        <v>321</v>
      </c>
      <c r="G226">
        <v>67</v>
      </c>
      <c r="H226">
        <v>67</v>
      </c>
      <c r="I226">
        <v>484.39</v>
      </c>
      <c r="J226">
        <v>32454.13</v>
      </c>
      <c r="K226">
        <v>11.1</v>
      </c>
      <c r="L226">
        <v>5192.66</v>
      </c>
      <c r="M226">
        <v>34044.379999999997</v>
      </c>
      <c r="N226" t="s">
        <v>1178</v>
      </c>
      <c r="O226" t="s">
        <v>3442</v>
      </c>
      <c r="P226" t="s">
        <v>2440</v>
      </c>
      <c r="Q226" t="s">
        <v>2506</v>
      </c>
      <c r="R226" t="s">
        <v>3434</v>
      </c>
      <c r="S226" t="s">
        <v>3443</v>
      </c>
    </row>
    <row r="227" spans="1:19" x14ac:dyDescent="0.25">
      <c r="A227" t="s">
        <v>3944</v>
      </c>
      <c r="B227" t="s">
        <v>3640</v>
      </c>
      <c r="C227" t="s">
        <v>2682</v>
      </c>
      <c r="D227" t="s">
        <v>3275</v>
      </c>
      <c r="E227" t="s">
        <v>1403</v>
      </c>
      <c r="F227" t="s">
        <v>586</v>
      </c>
      <c r="G227">
        <v>34</v>
      </c>
      <c r="H227">
        <v>31</v>
      </c>
      <c r="I227">
        <v>329.86</v>
      </c>
      <c r="J227">
        <v>11215.24</v>
      </c>
      <c r="K227">
        <v>0.4</v>
      </c>
      <c r="L227">
        <v>1794.44</v>
      </c>
      <c r="M227">
        <v>12964.82</v>
      </c>
      <c r="N227" t="s">
        <v>1178</v>
      </c>
      <c r="O227" t="s">
        <v>3424</v>
      </c>
      <c r="P227" t="s">
        <v>2432</v>
      </c>
      <c r="Q227" t="s">
        <v>2481</v>
      </c>
      <c r="R227" t="s">
        <v>3429</v>
      </c>
    </row>
    <row r="228" spans="1:19" x14ac:dyDescent="0.25">
      <c r="A228" t="s">
        <v>3945</v>
      </c>
      <c r="B228" t="s">
        <v>2985</v>
      </c>
      <c r="C228" t="s">
        <v>3808</v>
      </c>
      <c r="D228" t="s">
        <v>3937</v>
      </c>
      <c r="E228" t="s">
        <v>170</v>
      </c>
      <c r="F228" t="s">
        <v>215</v>
      </c>
      <c r="G228">
        <v>2</v>
      </c>
      <c r="H228">
        <v>0</v>
      </c>
      <c r="I228">
        <v>206.9</v>
      </c>
      <c r="J228">
        <v>413.8</v>
      </c>
      <c r="K228">
        <v>3.3</v>
      </c>
      <c r="L228">
        <v>66.209999999999994</v>
      </c>
      <c r="M228">
        <v>466.35</v>
      </c>
      <c r="N228" t="s">
        <v>1189</v>
      </c>
      <c r="O228" t="s">
        <v>3428</v>
      </c>
      <c r="P228" t="s">
        <v>2449</v>
      </c>
      <c r="Q228" t="s">
        <v>2535</v>
      </c>
      <c r="R228" t="s">
        <v>3425</v>
      </c>
    </row>
    <row r="229" spans="1:19" x14ac:dyDescent="0.25">
      <c r="A229" t="s">
        <v>3946</v>
      </c>
      <c r="B229" t="s">
        <v>2884</v>
      </c>
      <c r="C229" t="s">
        <v>3947</v>
      </c>
      <c r="D229" t="s">
        <v>3218</v>
      </c>
      <c r="E229" t="s">
        <v>476</v>
      </c>
      <c r="F229" t="s">
        <v>718</v>
      </c>
      <c r="G229">
        <v>61</v>
      </c>
      <c r="H229">
        <v>59</v>
      </c>
      <c r="I229">
        <v>454.8</v>
      </c>
      <c r="J229">
        <v>27742.799999999999</v>
      </c>
      <c r="K229">
        <v>3.9</v>
      </c>
      <c r="L229">
        <v>4438.8500000000004</v>
      </c>
      <c r="M229">
        <v>31099.68</v>
      </c>
      <c r="N229" t="s">
        <v>1161</v>
      </c>
      <c r="O229" t="s">
        <v>3442</v>
      </c>
      <c r="P229" t="s">
        <v>2440</v>
      </c>
      <c r="Q229" t="s">
        <v>2538</v>
      </c>
      <c r="R229" t="s">
        <v>3425</v>
      </c>
    </row>
    <row r="230" spans="1:19" x14ac:dyDescent="0.25">
      <c r="A230" t="s">
        <v>3948</v>
      </c>
      <c r="B230" t="s">
        <v>3647</v>
      </c>
      <c r="C230" t="s">
        <v>3818</v>
      </c>
      <c r="D230" t="s">
        <v>3949</v>
      </c>
      <c r="E230" t="s">
        <v>690</v>
      </c>
      <c r="F230" t="s">
        <v>769</v>
      </c>
      <c r="G230">
        <v>17</v>
      </c>
      <c r="H230">
        <v>17</v>
      </c>
      <c r="I230">
        <v>412.45</v>
      </c>
      <c r="J230">
        <v>7011.65</v>
      </c>
      <c r="K230">
        <v>2.1</v>
      </c>
      <c r="L230">
        <v>1121.8599999999999</v>
      </c>
      <c r="M230">
        <v>7986.27</v>
      </c>
      <c r="N230" t="s">
        <v>1189</v>
      </c>
      <c r="O230" t="s">
        <v>1179</v>
      </c>
      <c r="P230" t="s">
        <v>2456</v>
      </c>
      <c r="Q230" t="s">
        <v>2491</v>
      </c>
      <c r="R230" t="s">
        <v>3425</v>
      </c>
    </row>
    <row r="231" spans="1:19" x14ac:dyDescent="0.25">
      <c r="A231" t="s">
        <v>3950</v>
      </c>
      <c r="B231" t="s">
        <v>3348</v>
      </c>
      <c r="C231" t="s">
        <v>3572</v>
      </c>
      <c r="D231" t="s">
        <v>3586</v>
      </c>
      <c r="E231" t="s">
        <v>731</v>
      </c>
      <c r="F231" t="s">
        <v>337</v>
      </c>
      <c r="G231">
        <v>94</v>
      </c>
      <c r="H231">
        <v>90</v>
      </c>
      <c r="I231">
        <v>346.72</v>
      </c>
      <c r="J231">
        <v>32591.68</v>
      </c>
      <c r="K231">
        <v>4.9000000000000004</v>
      </c>
      <c r="L231">
        <v>5214.67</v>
      </c>
      <c r="M231">
        <v>36209.360000000001</v>
      </c>
      <c r="N231" t="s">
        <v>1161</v>
      </c>
      <c r="O231" t="s">
        <v>3436</v>
      </c>
      <c r="P231" t="s">
        <v>2416</v>
      </c>
      <c r="Q231" t="s">
        <v>2568</v>
      </c>
      <c r="R231" t="s">
        <v>3425</v>
      </c>
      <c r="S231" t="s">
        <v>3426</v>
      </c>
    </row>
    <row r="232" spans="1:19" x14ac:dyDescent="0.25">
      <c r="A232" t="s">
        <v>3951</v>
      </c>
      <c r="B232" t="s">
        <v>3952</v>
      </c>
      <c r="C232" t="s">
        <v>2750</v>
      </c>
      <c r="D232" t="s">
        <v>3584</v>
      </c>
      <c r="E232" t="s">
        <v>423</v>
      </c>
      <c r="F232" t="s">
        <v>586</v>
      </c>
      <c r="G232">
        <v>85</v>
      </c>
      <c r="H232">
        <v>85</v>
      </c>
      <c r="I232">
        <v>115.35</v>
      </c>
      <c r="J232">
        <v>9804.75</v>
      </c>
      <c r="K232">
        <v>11</v>
      </c>
      <c r="L232">
        <v>1568.76</v>
      </c>
      <c r="M232">
        <v>10294.99</v>
      </c>
      <c r="N232" t="s">
        <v>1178</v>
      </c>
      <c r="O232" t="s">
        <v>3424</v>
      </c>
      <c r="P232" t="s">
        <v>2376</v>
      </c>
      <c r="Q232" t="s">
        <v>2495</v>
      </c>
      <c r="R232" t="s">
        <v>3425</v>
      </c>
    </row>
    <row r="233" spans="1:19" x14ac:dyDescent="0.25">
      <c r="A233" t="s">
        <v>3953</v>
      </c>
      <c r="B233" t="s">
        <v>2707</v>
      </c>
      <c r="C233" t="s">
        <v>3001</v>
      </c>
      <c r="D233" t="s">
        <v>2900</v>
      </c>
      <c r="E233" t="s">
        <v>170</v>
      </c>
      <c r="F233" t="s">
        <v>616</v>
      </c>
      <c r="G233">
        <v>42</v>
      </c>
      <c r="H233">
        <v>38</v>
      </c>
      <c r="I233">
        <v>55.27</v>
      </c>
      <c r="J233">
        <v>2321.34</v>
      </c>
      <c r="K233">
        <v>7.2</v>
      </c>
      <c r="L233">
        <v>371.41</v>
      </c>
      <c r="M233">
        <v>2525.61</v>
      </c>
      <c r="N233" t="s">
        <v>1189</v>
      </c>
      <c r="O233" t="s">
        <v>3428</v>
      </c>
      <c r="P233" t="s">
        <v>2407</v>
      </c>
      <c r="Q233" t="s">
        <v>2535</v>
      </c>
      <c r="R233" t="s">
        <v>3434</v>
      </c>
      <c r="S233" t="s">
        <v>3466</v>
      </c>
    </row>
    <row r="234" spans="1:19" x14ac:dyDescent="0.25">
      <c r="A234" t="s">
        <v>3954</v>
      </c>
      <c r="B234" t="s">
        <v>2668</v>
      </c>
      <c r="C234" t="s">
        <v>3089</v>
      </c>
      <c r="D234" t="s">
        <v>3955</v>
      </c>
      <c r="E234" t="s">
        <v>435</v>
      </c>
      <c r="F234" t="s">
        <v>1066</v>
      </c>
      <c r="G234">
        <v>36</v>
      </c>
      <c r="H234">
        <v>34</v>
      </c>
      <c r="I234">
        <v>344.96</v>
      </c>
      <c r="J234">
        <v>12418.56</v>
      </c>
      <c r="K234">
        <v>7.7</v>
      </c>
      <c r="L234">
        <v>1986.97</v>
      </c>
      <c r="M234">
        <v>13449.3</v>
      </c>
      <c r="N234" t="s">
        <v>1178</v>
      </c>
      <c r="O234" t="s">
        <v>3428</v>
      </c>
      <c r="P234" t="s">
        <v>2449</v>
      </c>
      <c r="Q234" t="s">
        <v>2535</v>
      </c>
      <c r="R234" t="s">
        <v>3425</v>
      </c>
      <c r="S234" t="s">
        <v>3426</v>
      </c>
    </row>
    <row r="235" spans="1:19" x14ac:dyDescent="0.25">
      <c r="A235" t="s">
        <v>3956</v>
      </c>
      <c r="B235" t="s">
        <v>3957</v>
      </c>
      <c r="C235" t="s">
        <v>3828</v>
      </c>
      <c r="D235" t="s">
        <v>3446</v>
      </c>
      <c r="E235" t="s">
        <v>1455</v>
      </c>
      <c r="F235" t="s">
        <v>774</v>
      </c>
      <c r="G235">
        <v>34</v>
      </c>
      <c r="H235">
        <v>33</v>
      </c>
      <c r="I235">
        <v>78.400000000000006</v>
      </c>
      <c r="J235">
        <v>2665.6</v>
      </c>
      <c r="K235">
        <v>5.5</v>
      </c>
      <c r="L235">
        <v>426.5</v>
      </c>
      <c r="M235">
        <v>2945.49</v>
      </c>
      <c r="N235" t="s">
        <v>1178</v>
      </c>
      <c r="O235" t="s">
        <v>3424</v>
      </c>
      <c r="P235" t="s">
        <v>2440</v>
      </c>
      <c r="Q235" t="s">
        <v>2491</v>
      </c>
      <c r="R235" t="s">
        <v>3425</v>
      </c>
      <c r="S235" t="s">
        <v>3509</v>
      </c>
    </row>
    <row r="236" spans="1:19" x14ac:dyDescent="0.25">
      <c r="A236" t="s">
        <v>3958</v>
      </c>
      <c r="B236" t="s">
        <v>3959</v>
      </c>
      <c r="C236" t="s">
        <v>3960</v>
      </c>
      <c r="D236" t="s">
        <v>3961</v>
      </c>
      <c r="E236" t="s">
        <v>654</v>
      </c>
      <c r="F236" t="s">
        <v>550</v>
      </c>
      <c r="G236">
        <v>40</v>
      </c>
      <c r="H236">
        <v>37</v>
      </c>
      <c r="I236">
        <v>253.65</v>
      </c>
      <c r="J236">
        <v>10146</v>
      </c>
      <c r="K236">
        <v>8.3000000000000007</v>
      </c>
      <c r="L236">
        <v>1623.36</v>
      </c>
      <c r="M236">
        <v>10927.24</v>
      </c>
      <c r="N236" t="s">
        <v>1161</v>
      </c>
      <c r="O236" t="s">
        <v>3424</v>
      </c>
      <c r="P236" t="s">
        <v>2398</v>
      </c>
      <c r="Q236" t="s">
        <v>2558</v>
      </c>
      <c r="R236" t="s">
        <v>3425</v>
      </c>
    </row>
    <row r="237" spans="1:19" x14ac:dyDescent="0.25">
      <c r="A237" t="s">
        <v>3962</v>
      </c>
      <c r="B237" t="s">
        <v>3323</v>
      </c>
      <c r="C237" t="s">
        <v>3054</v>
      </c>
      <c r="D237" t="s">
        <v>3670</v>
      </c>
      <c r="E237" t="s">
        <v>128</v>
      </c>
      <c r="F237" t="s">
        <v>1051</v>
      </c>
      <c r="G237">
        <v>96</v>
      </c>
      <c r="H237">
        <v>92</v>
      </c>
      <c r="I237">
        <v>209.27</v>
      </c>
      <c r="J237">
        <v>20089.919999999998</v>
      </c>
      <c r="K237">
        <v>9</v>
      </c>
      <c r="L237">
        <v>3214.39</v>
      </c>
      <c r="M237">
        <v>21496.22</v>
      </c>
      <c r="N237" t="s">
        <v>1178</v>
      </c>
      <c r="O237" t="s">
        <v>3436</v>
      </c>
      <c r="P237" t="s">
        <v>2425</v>
      </c>
      <c r="Q237" t="s">
        <v>2544</v>
      </c>
      <c r="R237" t="s">
        <v>3425</v>
      </c>
    </row>
    <row r="238" spans="1:19" x14ac:dyDescent="0.25">
      <c r="A238" t="s">
        <v>3963</v>
      </c>
      <c r="B238" t="s">
        <v>3537</v>
      </c>
      <c r="C238" t="s">
        <v>3784</v>
      </c>
      <c r="D238" t="s">
        <v>3818</v>
      </c>
      <c r="E238" t="s">
        <v>558</v>
      </c>
      <c r="F238" t="s">
        <v>300</v>
      </c>
      <c r="G238">
        <v>13</v>
      </c>
      <c r="H238">
        <v>8</v>
      </c>
      <c r="I238">
        <v>356.18</v>
      </c>
      <c r="J238">
        <v>4630.34</v>
      </c>
      <c r="K238">
        <v>9.5</v>
      </c>
      <c r="L238">
        <v>740.85</v>
      </c>
      <c r="M238">
        <v>4931.3100000000004</v>
      </c>
      <c r="N238" t="s">
        <v>1178</v>
      </c>
      <c r="O238" t="s">
        <v>3436</v>
      </c>
      <c r="P238" t="s">
        <v>2456</v>
      </c>
      <c r="Q238" t="s">
        <v>2531</v>
      </c>
      <c r="R238" t="s">
        <v>3425</v>
      </c>
      <c r="S238" t="s">
        <v>3509</v>
      </c>
    </row>
    <row r="239" spans="1:19" x14ac:dyDescent="0.25">
      <c r="A239" t="s">
        <v>3964</v>
      </c>
      <c r="B239" t="s">
        <v>3965</v>
      </c>
      <c r="C239" t="s">
        <v>3682</v>
      </c>
      <c r="D239" t="s">
        <v>3966</v>
      </c>
      <c r="E239" t="s">
        <v>136</v>
      </c>
      <c r="F239" t="s">
        <v>621</v>
      </c>
      <c r="G239">
        <v>38</v>
      </c>
      <c r="H239">
        <v>36</v>
      </c>
      <c r="I239">
        <v>225.4</v>
      </c>
      <c r="J239">
        <v>8565.2000000000007</v>
      </c>
      <c r="K239">
        <v>7.8</v>
      </c>
      <c r="L239">
        <v>1370.43</v>
      </c>
      <c r="M239">
        <v>9267.5400000000009</v>
      </c>
      <c r="N239" t="s">
        <v>1178</v>
      </c>
      <c r="O239" t="s">
        <v>1179</v>
      </c>
      <c r="P239" t="s">
        <v>2376</v>
      </c>
      <c r="Q239" t="s">
        <v>2486</v>
      </c>
      <c r="R239" t="s">
        <v>3434</v>
      </c>
      <c r="S239" t="s">
        <v>3509</v>
      </c>
    </row>
    <row r="240" spans="1:19" x14ac:dyDescent="0.25">
      <c r="A240" t="s">
        <v>3967</v>
      </c>
      <c r="B240" t="s">
        <v>3811</v>
      </c>
      <c r="C240" t="s">
        <v>3968</v>
      </c>
      <c r="D240" t="s">
        <v>3969</v>
      </c>
      <c r="E240" t="s">
        <v>74</v>
      </c>
      <c r="F240" t="s">
        <v>1051</v>
      </c>
      <c r="G240">
        <v>79</v>
      </c>
      <c r="H240">
        <v>78</v>
      </c>
      <c r="I240">
        <v>317.29000000000002</v>
      </c>
      <c r="J240">
        <v>25065.91</v>
      </c>
      <c r="K240">
        <v>1</v>
      </c>
      <c r="L240">
        <v>4010.55</v>
      </c>
      <c r="M240">
        <v>28825.8</v>
      </c>
      <c r="N240" t="s">
        <v>1189</v>
      </c>
      <c r="O240" t="s">
        <v>3424</v>
      </c>
      <c r="P240" t="s">
        <v>2407</v>
      </c>
      <c r="Q240" t="s">
        <v>2527</v>
      </c>
      <c r="R240" t="s">
        <v>3425</v>
      </c>
      <c r="S240" t="s">
        <v>3443</v>
      </c>
    </row>
    <row r="241" spans="1:19" x14ac:dyDescent="0.25">
      <c r="A241" t="s">
        <v>3970</v>
      </c>
      <c r="B241" t="s">
        <v>3507</v>
      </c>
      <c r="C241" t="s">
        <v>1794</v>
      </c>
      <c r="D241" t="s">
        <v>3468</v>
      </c>
      <c r="E241" t="s">
        <v>237</v>
      </c>
      <c r="F241" t="s">
        <v>870</v>
      </c>
      <c r="G241">
        <v>25</v>
      </c>
      <c r="H241">
        <v>22</v>
      </c>
      <c r="I241">
        <v>161.86000000000001</v>
      </c>
      <c r="J241">
        <v>4046.5</v>
      </c>
      <c r="K241">
        <v>5.3</v>
      </c>
      <c r="L241">
        <v>647.44000000000005</v>
      </c>
      <c r="M241">
        <v>4479.4799999999996</v>
      </c>
      <c r="N241" t="s">
        <v>1178</v>
      </c>
      <c r="O241" t="s">
        <v>3436</v>
      </c>
      <c r="P241" t="s">
        <v>2398</v>
      </c>
      <c r="Q241" t="s">
        <v>2506</v>
      </c>
      <c r="R241" t="s">
        <v>3437</v>
      </c>
    </row>
    <row r="242" spans="1:19" x14ac:dyDescent="0.25">
      <c r="A242" t="s">
        <v>3971</v>
      </c>
      <c r="B242" t="s">
        <v>3632</v>
      </c>
      <c r="C242" t="s">
        <v>3972</v>
      </c>
      <c r="D242" t="s">
        <v>3741</v>
      </c>
      <c r="E242" t="s">
        <v>1422</v>
      </c>
      <c r="F242" t="s">
        <v>458</v>
      </c>
      <c r="G242">
        <v>98</v>
      </c>
      <c r="H242">
        <v>98</v>
      </c>
      <c r="I242">
        <v>197.36</v>
      </c>
      <c r="J242">
        <v>19341.28</v>
      </c>
      <c r="K242">
        <v>9.6</v>
      </c>
      <c r="L242">
        <v>3094.6</v>
      </c>
      <c r="M242">
        <v>20579.12</v>
      </c>
      <c r="N242" t="s">
        <v>1161</v>
      </c>
      <c r="O242" t="s">
        <v>3428</v>
      </c>
      <c r="P242" t="s">
        <v>2407</v>
      </c>
      <c r="Q242" t="s">
        <v>2558</v>
      </c>
      <c r="R242" t="s">
        <v>3437</v>
      </c>
      <c r="S242" t="s">
        <v>3509</v>
      </c>
    </row>
    <row r="243" spans="1:19" x14ac:dyDescent="0.25">
      <c r="A243" t="s">
        <v>3973</v>
      </c>
      <c r="B243" t="s">
        <v>3452</v>
      </c>
      <c r="C243" t="s">
        <v>3847</v>
      </c>
      <c r="D243" t="s">
        <v>3474</v>
      </c>
      <c r="E243" t="s">
        <v>435</v>
      </c>
      <c r="F243" t="s">
        <v>804</v>
      </c>
      <c r="G243">
        <v>96</v>
      </c>
      <c r="H243">
        <v>96</v>
      </c>
      <c r="I243">
        <v>324.52</v>
      </c>
      <c r="J243">
        <v>31153.919999999998</v>
      </c>
      <c r="K243">
        <v>2.2999999999999998</v>
      </c>
      <c r="L243">
        <v>4984.63</v>
      </c>
      <c r="M243">
        <v>35422.01</v>
      </c>
      <c r="N243" t="s">
        <v>1189</v>
      </c>
      <c r="O243" t="s">
        <v>1179</v>
      </c>
      <c r="P243" t="s">
        <v>2388</v>
      </c>
      <c r="Q243" t="s">
        <v>2554</v>
      </c>
      <c r="R243" t="s">
        <v>3437</v>
      </c>
      <c r="S243" t="s">
        <v>3443</v>
      </c>
    </row>
    <row r="244" spans="1:19" x14ac:dyDescent="0.25">
      <c r="A244" t="s">
        <v>3974</v>
      </c>
      <c r="B244" t="s">
        <v>3868</v>
      </c>
      <c r="C244" t="s">
        <v>3975</v>
      </c>
      <c r="D244" t="s">
        <v>3976</v>
      </c>
      <c r="E244" t="s">
        <v>32</v>
      </c>
      <c r="F244" t="s">
        <v>316</v>
      </c>
      <c r="G244">
        <v>91</v>
      </c>
      <c r="H244">
        <v>87</v>
      </c>
      <c r="I244">
        <v>361.15</v>
      </c>
      <c r="J244">
        <v>32864.65</v>
      </c>
      <c r="K244">
        <v>11.9</v>
      </c>
      <c r="L244">
        <v>5258.34</v>
      </c>
      <c r="M244">
        <v>34212.1</v>
      </c>
      <c r="N244" t="s">
        <v>1178</v>
      </c>
      <c r="O244" t="s">
        <v>3442</v>
      </c>
      <c r="P244" t="s">
        <v>2456</v>
      </c>
      <c r="Q244" t="s">
        <v>2551</v>
      </c>
      <c r="R244" t="s">
        <v>2633</v>
      </c>
    </row>
    <row r="245" spans="1:19" x14ac:dyDescent="0.25">
      <c r="A245" t="s">
        <v>3977</v>
      </c>
      <c r="B245" t="s">
        <v>3576</v>
      </c>
      <c r="C245" t="s">
        <v>3834</v>
      </c>
      <c r="D245" t="s">
        <v>3978</v>
      </c>
      <c r="E245" t="s">
        <v>1416</v>
      </c>
      <c r="F245" t="s">
        <v>744</v>
      </c>
      <c r="G245">
        <v>90</v>
      </c>
      <c r="H245">
        <v>85</v>
      </c>
      <c r="I245">
        <v>483.46</v>
      </c>
      <c r="J245">
        <v>43511.4</v>
      </c>
      <c r="K245">
        <v>6.3</v>
      </c>
      <c r="L245">
        <v>6961.82</v>
      </c>
      <c r="M245">
        <v>47732</v>
      </c>
      <c r="N245" t="s">
        <v>1178</v>
      </c>
      <c r="O245" t="s">
        <v>1179</v>
      </c>
      <c r="P245" t="s">
        <v>2449</v>
      </c>
      <c r="Q245" t="s">
        <v>2522</v>
      </c>
      <c r="R245" t="s">
        <v>3429</v>
      </c>
      <c r="S245" t="s">
        <v>3509</v>
      </c>
    </row>
    <row r="246" spans="1:19" x14ac:dyDescent="0.25">
      <c r="A246" t="s">
        <v>3979</v>
      </c>
      <c r="B246" t="s">
        <v>2628</v>
      </c>
      <c r="C246" t="s">
        <v>3980</v>
      </c>
      <c r="D246" t="s">
        <v>2741</v>
      </c>
      <c r="E246" t="s">
        <v>177</v>
      </c>
      <c r="F246" t="s">
        <v>192</v>
      </c>
      <c r="G246">
        <v>2</v>
      </c>
      <c r="H246">
        <v>1</v>
      </c>
      <c r="I246">
        <v>95.51</v>
      </c>
      <c r="J246">
        <v>191.02</v>
      </c>
      <c r="K246">
        <v>12.1</v>
      </c>
      <c r="L246">
        <v>30.56</v>
      </c>
      <c r="M246">
        <v>198.47</v>
      </c>
      <c r="N246" t="s">
        <v>1161</v>
      </c>
      <c r="O246" t="s">
        <v>3428</v>
      </c>
      <c r="P246" t="s">
        <v>2416</v>
      </c>
      <c r="Q246" t="s">
        <v>2491</v>
      </c>
      <c r="R246" t="s">
        <v>3437</v>
      </c>
      <c r="S246" t="s">
        <v>3443</v>
      </c>
    </row>
    <row r="247" spans="1:19" x14ac:dyDescent="0.25">
      <c r="A247" t="s">
        <v>3981</v>
      </c>
      <c r="B247" t="s">
        <v>2550</v>
      </c>
      <c r="C247" t="s">
        <v>3659</v>
      </c>
      <c r="D247" t="s">
        <v>3982</v>
      </c>
      <c r="E247" t="s">
        <v>66</v>
      </c>
      <c r="F247" t="s">
        <v>774</v>
      </c>
      <c r="G247">
        <v>86</v>
      </c>
      <c r="H247">
        <v>82</v>
      </c>
      <c r="I247">
        <v>222.16</v>
      </c>
      <c r="J247">
        <v>19105.759999999998</v>
      </c>
      <c r="K247">
        <v>9</v>
      </c>
      <c r="L247">
        <v>3056.92</v>
      </c>
      <c r="M247">
        <v>20443.16</v>
      </c>
      <c r="N247" t="s">
        <v>1178</v>
      </c>
      <c r="O247" t="s">
        <v>3442</v>
      </c>
      <c r="P247" t="s">
        <v>2407</v>
      </c>
      <c r="Q247" t="s">
        <v>2525</v>
      </c>
      <c r="R247" t="s">
        <v>3429</v>
      </c>
      <c r="S247" t="s">
        <v>3443</v>
      </c>
    </row>
    <row r="248" spans="1:19" x14ac:dyDescent="0.25">
      <c r="A248" t="s">
        <v>3983</v>
      </c>
      <c r="B248" t="s">
        <v>2792</v>
      </c>
      <c r="C248" t="s">
        <v>3984</v>
      </c>
      <c r="D248" t="s">
        <v>3519</v>
      </c>
      <c r="E248" t="s">
        <v>1435</v>
      </c>
      <c r="F248" t="s">
        <v>1066</v>
      </c>
      <c r="G248">
        <v>6</v>
      </c>
      <c r="H248">
        <v>6</v>
      </c>
      <c r="I248">
        <v>206.29</v>
      </c>
      <c r="J248">
        <v>1237.74</v>
      </c>
      <c r="K248">
        <v>11.8</v>
      </c>
      <c r="L248">
        <v>198.04</v>
      </c>
      <c r="M248">
        <v>1289.73</v>
      </c>
      <c r="N248" t="s">
        <v>1189</v>
      </c>
      <c r="O248" t="s">
        <v>3428</v>
      </c>
      <c r="P248" t="s">
        <v>2376</v>
      </c>
      <c r="Q248" t="s">
        <v>2506</v>
      </c>
      <c r="R248" t="s">
        <v>3425</v>
      </c>
    </row>
    <row r="249" spans="1:19" x14ac:dyDescent="0.25">
      <c r="A249" t="s">
        <v>3985</v>
      </c>
      <c r="B249" t="s">
        <v>3275</v>
      </c>
      <c r="C249" t="s">
        <v>3556</v>
      </c>
      <c r="D249" t="s">
        <v>2722</v>
      </c>
      <c r="E249" t="s">
        <v>1403</v>
      </c>
      <c r="F249" t="s">
        <v>530</v>
      </c>
      <c r="G249">
        <v>13</v>
      </c>
      <c r="H249">
        <v>11</v>
      </c>
      <c r="I249">
        <v>181.52</v>
      </c>
      <c r="J249">
        <v>2359.7600000000002</v>
      </c>
      <c r="K249">
        <v>6.2</v>
      </c>
      <c r="L249">
        <v>377.56</v>
      </c>
      <c r="M249">
        <v>2591.0100000000002</v>
      </c>
      <c r="N249" t="s">
        <v>1178</v>
      </c>
      <c r="O249" t="s">
        <v>1179</v>
      </c>
      <c r="P249" t="s">
        <v>2407</v>
      </c>
      <c r="Q249" t="s">
        <v>2515</v>
      </c>
      <c r="R249" t="s">
        <v>3437</v>
      </c>
    </row>
    <row r="250" spans="1:19" x14ac:dyDescent="0.25">
      <c r="A250" t="s">
        <v>3986</v>
      </c>
      <c r="B250" t="s">
        <v>3709</v>
      </c>
      <c r="C250" t="s">
        <v>3546</v>
      </c>
      <c r="D250" t="s">
        <v>2994</v>
      </c>
      <c r="E250" t="s">
        <v>847</v>
      </c>
      <c r="F250" t="s">
        <v>698</v>
      </c>
      <c r="G250">
        <v>90</v>
      </c>
      <c r="H250">
        <v>86</v>
      </c>
      <c r="I250">
        <v>495.94</v>
      </c>
      <c r="J250">
        <v>44634.6</v>
      </c>
      <c r="K250">
        <v>3.9</v>
      </c>
      <c r="L250">
        <v>7141.54</v>
      </c>
      <c r="M250">
        <v>50035.39</v>
      </c>
      <c r="N250" t="s">
        <v>1178</v>
      </c>
      <c r="O250" t="s">
        <v>3428</v>
      </c>
      <c r="P250" t="s">
        <v>2425</v>
      </c>
      <c r="Q250" t="s">
        <v>2568</v>
      </c>
      <c r="R250" t="s">
        <v>3425</v>
      </c>
      <c r="S250" t="s">
        <v>3466</v>
      </c>
    </row>
    <row r="251" spans="1:19" x14ac:dyDescent="0.25">
      <c r="A251" t="s">
        <v>3987</v>
      </c>
      <c r="B251" t="s">
        <v>2943</v>
      </c>
      <c r="C251" t="s">
        <v>3301</v>
      </c>
      <c r="D251" t="s">
        <v>3988</v>
      </c>
      <c r="E251" t="s">
        <v>82</v>
      </c>
      <c r="F251" t="s">
        <v>535</v>
      </c>
      <c r="G251">
        <v>46</v>
      </c>
      <c r="H251">
        <v>46</v>
      </c>
      <c r="I251">
        <v>327.38</v>
      </c>
      <c r="J251">
        <v>15059.48</v>
      </c>
      <c r="K251">
        <v>11.1</v>
      </c>
      <c r="L251">
        <v>2409.52</v>
      </c>
      <c r="M251">
        <v>15797.4</v>
      </c>
      <c r="N251" t="s">
        <v>1178</v>
      </c>
      <c r="O251" t="s">
        <v>3428</v>
      </c>
      <c r="P251" t="s">
        <v>2425</v>
      </c>
      <c r="Q251" t="s">
        <v>2551</v>
      </c>
      <c r="R251" t="s">
        <v>3437</v>
      </c>
    </row>
    <row r="252" spans="1:19" x14ac:dyDescent="0.25">
      <c r="A252" t="s">
        <v>3989</v>
      </c>
      <c r="B252" t="s">
        <v>2787</v>
      </c>
      <c r="C252" t="s">
        <v>3471</v>
      </c>
      <c r="D252" t="s">
        <v>2953</v>
      </c>
      <c r="E252" t="s">
        <v>1455</v>
      </c>
      <c r="F252" t="s">
        <v>596</v>
      </c>
      <c r="G252">
        <v>26</v>
      </c>
      <c r="H252">
        <v>24</v>
      </c>
      <c r="I252">
        <v>169.11</v>
      </c>
      <c r="J252">
        <v>4396.8599999999997</v>
      </c>
      <c r="K252">
        <v>10.6</v>
      </c>
      <c r="L252">
        <v>703.5</v>
      </c>
      <c r="M252">
        <v>4634.29</v>
      </c>
      <c r="N252" t="s">
        <v>1178</v>
      </c>
      <c r="O252" t="s">
        <v>3424</v>
      </c>
      <c r="P252" t="s">
        <v>2425</v>
      </c>
      <c r="Q252" t="s">
        <v>2475</v>
      </c>
      <c r="R252" t="s">
        <v>3425</v>
      </c>
    </row>
    <row r="253" spans="1:19" x14ac:dyDescent="0.25">
      <c r="A253" t="s">
        <v>3990</v>
      </c>
      <c r="B253" t="s">
        <v>3991</v>
      </c>
      <c r="C253" t="s">
        <v>3992</v>
      </c>
      <c r="D253" t="s">
        <v>3707</v>
      </c>
      <c r="E253" t="s">
        <v>32</v>
      </c>
      <c r="F253" t="s">
        <v>505</v>
      </c>
      <c r="G253">
        <v>65</v>
      </c>
      <c r="H253">
        <v>64</v>
      </c>
      <c r="I253">
        <v>365.1</v>
      </c>
      <c r="J253">
        <v>23731.5</v>
      </c>
      <c r="K253">
        <v>8.4</v>
      </c>
      <c r="L253">
        <v>3797.04</v>
      </c>
      <c r="M253">
        <v>25535.09</v>
      </c>
      <c r="N253" t="s">
        <v>1189</v>
      </c>
      <c r="O253" t="s">
        <v>3436</v>
      </c>
      <c r="P253" t="s">
        <v>2388</v>
      </c>
      <c r="Q253" t="s">
        <v>2506</v>
      </c>
      <c r="R253" t="s">
        <v>3425</v>
      </c>
    </row>
    <row r="254" spans="1:19" x14ac:dyDescent="0.25">
      <c r="A254" t="s">
        <v>3993</v>
      </c>
      <c r="B254" t="s">
        <v>3695</v>
      </c>
      <c r="C254" t="s">
        <v>3750</v>
      </c>
      <c r="D254" t="s">
        <v>3673</v>
      </c>
      <c r="E254" t="s">
        <v>1435</v>
      </c>
      <c r="F254" t="s">
        <v>880</v>
      </c>
      <c r="G254">
        <v>85</v>
      </c>
      <c r="H254">
        <v>83</v>
      </c>
      <c r="I254">
        <v>232.09</v>
      </c>
      <c r="J254">
        <v>19727.650000000001</v>
      </c>
      <c r="K254">
        <v>4</v>
      </c>
      <c r="L254">
        <v>3156.42</v>
      </c>
      <c r="M254">
        <v>22094.959999999999</v>
      </c>
      <c r="N254" t="s">
        <v>1189</v>
      </c>
      <c r="O254" t="s">
        <v>3424</v>
      </c>
      <c r="P254" t="s">
        <v>2432</v>
      </c>
      <c r="Q254" t="s">
        <v>2491</v>
      </c>
      <c r="R254" t="s">
        <v>3434</v>
      </c>
    </row>
    <row r="255" spans="1:19" x14ac:dyDescent="0.25">
      <c r="A255" t="s">
        <v>3994</v>
      </c>
      <c r="B255" t="s">
        <v>3108</v>
      </c>
      <c r="C255" t="s">
        <v>2746</v>
      </c>
      <c r="D255" t="s">
        <v>3995</v>
      </c>
      <c r="E255" t="s">
        <v>847</v>
      </c>
      <c r="F255" t="s">
        <v>390</v>
      </c>
      <c r="G255">
        <v>57</v>
      </c>
      <c r="H255">
        <v>57</v>
      </c>
      <c r="I255">
        <v>421.76</v>
      </c>
      <c r="J255">
        <v>24040.32</v>
      </c>
      <c r="K255">
        <v>3.7</v>
      </c>
      <c r="L255">
        <v>3846.45</v>
      </c>
      <c r="M255">
        <v>26997.279999999999</v>
      </c>
      <c r="N255" t="s">
        <v>1189</v>
      </c>
      <c r="O255" t="s">
        <v>3424</v>
      </c>
      <c r="P255" t="s">
        <v>2407</v>
      </c>
      <c r="Q255" t="s">
        <v>2512</v>
      </c>
      <c r="R255" t="s">
        <v>3425</v>
      </c>
      <c r="S255" t="s">
        <v>3466</v>
      </c>
    </row>
    <row r="256" spans="1:19" x14ac:dyDescent="0.25">
      <c r="A256" t="s">
        <v>3996</v>
      </c>
      <c r="B256" t="s">
        <v>2604</v>
      </c>
      <c r="C256" t="s">
        <v>2931</v>
      </c>
      <c r="D256" t="s">
        <v>3371</v>
      </c>
      <c r="E256" t="s">
        <v>1410</v>
      </c>
      <c r="F256" t="s">
        <v>379</v>
      </c>
      <c r="G256">
        <v>19</v>
      </c>
      <c r="H256">
        <v>16</v>
      </c>
      <c r="I256">
        <v>55.59</v>
      </c>
      <c r="J256">
        <v>1056.21</v>
      </c>
      <c r="K256">
        <v>3.7</v>
      </c>
      <c r="L256">
        <v>168.99</v>
      </c>
      <c r="M256">
        <v>1186.1199999999999</v>
      </c>
      <c r="N256" t="s">
        <v>1189</v>
      </c>
      <c r="O256" t="s">
        <v>3436</v>
      </c>
      <c r="P256" t="s">
        <v>2449</v>
      </c>
      <c r="Q256" t="s">
        <v>2548</v>
      </c>
      <c r="R256" t="s">
        <v>3425</v>
      </c>
      <c r="S256" t="s">
        <v>3443</v>
      </c>
    </row>
    <row r="257" spans="1:19" x14ac:dyDescent="0.25">
      <c r="A257" t="s">
        <v>3997</v>
      </c>
      <c r="B257" t="s">
        <v>3715</v>
      </c>
      <c r="C257" t="s">
        <v>3998</v>
      </c>
      <c r="D257" t="s">
        <v>3528</v>
      </c>
      <c r="E257" t="s">
        <v>376</v>
      </c>
      <c r="F257" t="s">
        <v>774</v>
      </c>
      <c r="G257">
        <v>75</v>
      </c>
      <c r="H257">
        <v>73</v>
      </c>
      <c r="I257">
        <v>229.83</v>
      </c>
      <c r="J257">
        <v>17237.25</v>
      </c>
      <c r="K257">
        <v>8.6</v>
      </c>
      <c r="L257">
        <v>2757.96</v>
      </c>
      <c r="M257">
        <v>18512.810000000001</v>
      </c>
      <c r="N257" t="s">
        <v>1178</v>
      </c>
      <c r="O257" t="s">
        <v>3428</v>
      </c>
      <c r="P257" t="s">
        <v>2425</v>
      </c>
      <c r="Q257" t="s">
        <v>2525</v>
      </c>
      <c r="R257" t="s">
        <v>3425</v>
      </c>
      <c r="S257" t="s">
        <v>3426</v>
      </c>
    </row>
    <row r="258" spans="1:19" x14ac:dyDescent="0.25">
      <c r="A258" t="s">
        <v>3999</v>
      </c>
      <c r="B258" t="s">
        <v>4000</v>
      </c>
      <c r="C258" t="s">
        <v>4001</v>
      </c>
      <c r="D258" t="s">
        <v>3622</v>
      </c>
      <c r="E258" t="s">
        <v>91</v>
      </c>
      <c r="F258" t="s">
        <v>566</v>
      </c>
      <c r="G258">
        <v>10</v>
      </c>
      <c r="H258">
        <v>6</v>
      </c>
      <c r="I258">
        <v>481.14</v>
      </c>
      <c r="J258">
        <v>4811.3999999999996</v>
      </c>
      <c r="K258">
        <v>2</v>
      </c>
      <c r="L258">
        <v>769.82</v>
      </c>
      <c r="M258">
        <v>5484.99</v>
      </c>
      <c r="N258" t="s">
        <v>1178</v>
      </c>
      <c r="O258" t="s">
        <v>3442</v>
      </c>
      <c r="P258" t="s">
        <v>2449</v>
      </c>
      <c r="Q258" t="s">
        <v>2561</v>
      </c>
      <c r="R258" t="s">
        <v>3437</v>
      </c>
      <c r="S258" t="s">
        <v>3426</v>
      </c>
    </row>
    <row r="259" spans="1:19" x14ac:dyDescent="0.25">
      <c r="A259" t="s">
        <v>4002</v>
      </c>
      <c r="B259" t="s">
        <v>4003</v>
      </c>
      <c r="C259" t="s">
        <v>3819</v>
      </c>
      <c r="D259" t="s">
        <v>3680</v>
      </c>
      <c r="E259" t="s">
        <v>482</v>
      </c>
      <c r="F259" t="s">
        <v>885</v>
      </c>
      <c r="G259">
        <v>30</v>
      </c>
      <c r="H259">
        <v>27</v>
      </c>
      <c r="I259">
        <v>374.05</v>
      </c>
      <c r="J259">
        <v>11221.5</v>
      </c>
      <c r="K259">
        <v>10.8</v>
      </c>
      <c r="L259">
        <v>1795.44</v>
      </c>
      <c r="M259">
        <v>11805.02</v>
      </c>
      <c r="N259" t="s">
        <v>1178</v>
      </c>
      <c r="O259" t="s">
        <v>3436</v>
      </c>
      <c r="P259" t="s">
        <v>2376</v>
      </c>
      <c r="Q259" t="s">
        <v>2535</v>
      </c>
      <c r="R259" t="s">
        <v>3437</v>
      </c>
      <c r="S259" t="s">
        <v>3466</v>
      </c>
    </row>
    <row r="260" spans="1:19" x14ac:dyDescent="0.25">
      <c r="A260" t="s">
        <v>4004</v>
      </c>
      <c r="B260" t="s">
        <v>3441</v>
      </c>
      <c r="C260" t="s">
        <v>2550</v>
      </c>
      <c r="D260" t="s">
        <v>3690</v>
      </c>
      <c r="E260" t="s">
        <v>32</v>
      </c>
      <c r="F260" t="s">
        <v>667</v>
      </c>
      <c r="G260">
        <v>9</v>
      </c>
      <c r="H260">
        <v>4</v>
      </c>
      <c r="I260">
        <v>478.92</v>
      </c>
      <c r="J260">
        <v>4310.28</v>
      </c>
      <c r="K260">
        <v>2.6</v>
      </c>
      <c r="L260">
        <v>689.64</v>
      </c>
      <c r="M260">
        <v>4887.8500000000004</v>
      </c>
      <c r="N260" t="s">
        <v>1178</v>
      </c>
      <c r="O260" t="s">
        <v>1179</v>
      </c>
      <c r="P260" t="s">
        <v>2440</v>
      </c>
      <c r="Q260" t="s">
        <v>2561</v>
      </c>
      <c r="R260" t="s">
        <v>3425</v>
      </c>
    </row>
    <row r="261" spans="1:19" x14ac:dyDescent="0.25">
      <c r="A261" t="s">
        <v>4005</v>
      </c>
      <c r="B261" t="s">
        <v>3171</v>
      </c>
      <c r="C261" t="s">
        <v>4006</v>
      </c>
      <c r="D261" t="s">
        <v>4007</v>
      </c>
      <c r="E261" t="s">
        <v>1422</v>
      </c>
      <c r="F261" t="s">
        <v>561</v>
      </c>
      <c r="G261">
        <v>9</v>
      </c>
      <c r="H261">
        <v>5</v>
      </c>
      <c r="I261">
        <v>479.63</v>
      </c>
      <c r="J261">
        <v>4316.67</v>
      </c>
      <c r="K261">
        <v>4.0999999999999996</v>
      </c>
      <c r="L261">
        <v>690.67</v>
      </c>
      <c r="M261">
        <v>4830.3599999999997</v>
      </c>
      <c r="N261" t="s">
        <v>1189</v>
      </c>
      <c r="O261" t="s">
        <v>3428</v>
      </c>
      <c r="P261" t="s">
        <v>2398</v>
      </c>
      <c r="Q261" t="s">
        <v>2527</v>
      </c>
      <c r="R261" t="s">
        <v>3425</v>
      </c>
      <c r="S261" t="s">
        <v>3466</v>
      </c>
    </row>
    <row r="262" spans="1:19" x14ac:dyDescent="0.25">
      <c r="A262" t="s">
        <v>4008</v>
      </c>
      <c r="B262" t="s">
        <v>4009</v>
      </c>
      <c r="C262" t="s">
        <v>3574</v>
      </c>
      <c r="D262" t="s">
        <v>4010</v>
      </c>
      <c r="E262" t="s">
        <v>476</v>
      </c>
      <c r="F262" t="s">
        <v>799</v>
      </c>
      <c r="G262">
        <v>90</v>
      </c>
      <c r="H262">
        <v>89</v>
      </c>
      <c r="I262">
        <v>353.6</v>
      </c>
      <c r="J262">
        <v>31824</v>
      </c>
      <c r="K262">
        <v>5</v>
      </c>
      <c r="L262">
        <v>5091.84</v>
      </c>
      <c r="M262">
        <v>35324.639999999999</v>
      </c>
      <c r="N262" t="s">
        <v>1161</v>
      </c>
      <c r="O262" t="s">
        <v>3436</v>
      </c>
      <c r="P262" t="s">
        <v>2425</v>
      </c>
      <c r="Q262" t="s">
        <v>2475</v>
      </c>
      <c r="R262" t="s">
        <v>3425</v>
      </c>
      <c r="S262" t="s">
        <v>3426</v>
      </c>
    </row>
    <row r="263" spans="1:19" x14ac:dyDescent="0.25">
      <c r="A263" t="s">
        <v>4011</v>
      </c>
      <c r="B263" t="s">
        <v>3489</v>
      </c>
      <c r="C263" t="s">
        <v>3686</v>
      </c>
      <c r="D263" t="s">
        <v>3725</v>
      </c>
      <c r="E263" t="s">
        <v>32</v>
      </c>
      <c r="F263" t="s">
        <v>248</v>
      </c>
      <c r="G263">
        <v>100</v>
      </c>
      <c r="H263">
        <v>99</v>
      </c>
      <c r="I263">
        <v>489.81</v>
      </c>
      <c r="J263">
        <v>48981</v>
      </c>
      <c r="K263">
        <v>9.1999999999999993</v>
      </c>
      <c r="L263">
        <v>7836.96</v>
      </c>
      <c r="M263">
        <v>52311.71</v>
      </c>
      <c r="N263" t="s">
        <v>1178</v>
      </c>
      <c r="O263" t="s">
        <v>3424</v>
      </c>
      <c r="P263" t="s">
        <v>2456</v>
      </c>
      <c r="Q263" t="s">
        <v>2568</v>
      </c>
      <c r="R263" t="s">
        <v>3425</v>
      </c>
    </row>
    <row r="264" spans="1:19" x14ac:dyDescent="0.25">
      <c r="A264" t="s">
        <v>4012</v>
      </c>
      <c r="B264" t="s">
        <v>2866</v>
      </c>
      <c r="C264" t="s">
        <v>4013</v>
      </c>
      <c r="D264" t="s">
        <v>2786</v>
      </c>
      <c r="E264" t="s">
        <v>189</v>
      </c>
      <c r="F264" t="s">
        <v>945</v>
      </c>
      <c r="G264">
        <v>64</v>
      </c>
      <c r="H264">
        <v>59</v>
      </c>
      <c r="I264">
        <v>377.9</v>
      </c>
      <c r="J264">
        <v>24185.599999999999</v>
      </c>
      <c r="K264">
        <v>5</v>
      </c>
      <c r="L264">
        <v>3869.7</v>
      </c>
      <c r="M264">
        <v>26846.02</v>
      </c>
      <c r="N264" t="s">
        <v>1189</v>
      </c>
      <c r="O264" t="s">
        <v>3428</v>
      </c>
      <c r="P264" t="s">
        <v>2432</v>
      </c>
      <c r="Q264" t="s">
        <v>2561</v>
      </c>
      <c r="R264" t="s">
        <v>3437</v>
      </c>
    </row>
    <row r="265" spans="1:19" x14ac:dyDescent="0.25">
      <c r="A265" t="s">
        <v>4014</v>
      </c>
      <c r="B265" t="s">
        <v>1863</v>
      </c>
      <c r="C265" t="s">
        <v>3721</v>
      </c>
      <c r="D265" t="s">
        <v>3348</v>
      </c>
      <c r="E265" t="s">
        <v>245</v>
      </c>
      <c r="F265" t="s">
        <v>332</v>
      </c>
      <c r="G265">
        <v>13</v>
      </c>
      <c r="H265">
        <v>13</v>
      </c>
      <c r="I265">
        <v>190.04</v>
      </c>
      <c r="J265">
        <v>2470.52</v>
      </c>
      <c r="K265">
        <v>2.7</v>
      </c>
      <c r="L265">
        <v>395.28</v>
      </c>
      <c r="M265">
        <v>2799.1</v>
      </c>
      <c r="N265" t="s">
        <v>1178</v>
      </c>
      <c r="O265" t="s">
        <v>1179</v>
      </c>
      <c r="P265" t="s">
        <v>2432</v>
      </c>
      <c r="Q265" t="s">
        <v>2506</v>
      </c>
      <c r="R265" t="s">
        <v>3425</v>
      </c>
      <c r="S265" t="s">
        <v>3426</v>
      </c>
    </row>
    <row r="266" spans="1:19" x14ac:dyDescent="0.25">
      <c r="A266" t="s">
        <v>4015</v>
      </c>
      <c r="B266" t="s">
        <v>3729</v>
      </c>
      <c r="C266" t="s">
        <v>3972</v>
      </c>
      <c r="D266" t="s">
        <v>4016</v>
      </c>
      <c r="E266" t="s">
        <v>1410</v>
      </c>
      <c r="F266" t="s">
        <v>925</v>
      </c>
      <c r="G266">
        <v>11</v>
      </c>
      <c r="H266">
        <v>7</v>
      </c>
      <c r="I266">
        <v>202.87</v>
      </c>
      <c r="J266">
        <v>2231.5700000000002</v>
      </c>
      <c r="K266">
        <v>11.3</v>
      </c>
      <c r="L266">
        <v>357.05</v>
      </c>
      <c r="M266">
        <v>2336.4499999999998</v>
      </c>
      <c r="N266" t="s">
        <v>1178</v>
      </c>
      <c r="O266" t="s">
        <v>3436</v>
      </c>
      <c r="P266" t="s">
        <v>2376</v>
      </c>
      <c r="Q266" t="s">
        <v>2558</v>
      </c>
      <c r="R266" t="s">
        <v>2633</v>
      </c>
    </row>
    <row r="267" spans="1:19" x14ac:dyDescent="0.25">
      <c r="A267" t="s">
        <v>4017</v>
      </c>
      <c r="B267" t="s">
        <v>3666</v>
      </c>
      <c r="C267" t="s">
        <v>3516</v>
      </c>
      <c r="D267" t="s">
        <v>3470</v>
      </c>
      <c r="E267" t="s">
        <v>170</v>
      </c>
      <c r="F267" t="s">
        <v>24</v>
      </c>
      <c r="G267">
        <v>68</v>
      </c>
      <c r="H267">
        <v>64</v>
      </c>
      <c r="I267">
        <v>55.66</v>
      </c>
      <c r="J267">
        <v>3784.88</v>
      </c>
      <c r="K267">
        <v>4.9000000000000004</v>
      </c>
      <c r="L267">
        <v>605.58000000000004</v>
      </c>
      <c r="M267">
        <v>4205</v>
      </c>
      <c r="N267" t="s">
        <v>1178</v>
      </c>
      <c r="O267" t="s">
        <v>3442</v>
      </c>
      <c r="P267" t="s">
        <v>2398</v>
      </c>
      <c r="Q267" t="s">
        <v>2506</v>
      </c>
      <c r="R267" t="s">
        <v>3437</v>
      </c>
    </row>
    <row r="268" spans="1:19" x14ac:dyDescent="0.25">
      <c r="A268" t="s">
        <v>4018</v>
      </c>
      <c r="B268" t="s">
        <v>3108</v>
      </c>
      <c r="C268" t="s">
        <v>2924</v>
      </c>
      <c r="D268" t="s">
        <v>4019</v>
      </c>
      <c r="E268" t="s">
        <v>91</v>
      </c>
      <c r="F268" t="s">
        <v>379</v>
      </c>
      <c r="G268">
        <v>45</v>
      </c>
      <c r="H268">
        <v>41</v>
      </c>
      <c r="I268">
        <v>93.63</v>
      </c>
      <c r="J268">
        <v>4213.3500000000004</v>
      </c>
      <c r="K268">
        <v>10.199999999999999</v>
      </c>
      <c r="L268">
        <v>674.14</v>
      </c>
      <c r="M268">
        <v>4457.7299999999996</v>
      </c>
      <c r="N268" t="s">
        <v>1178</v>
      </c>
      <c r="O268" t="s">
        <v>3428</v>
      </c>
      <c r="P268" t="s">
        <v>2398</v>
      </c>
      <c r="Q268" t="s">
        <v>2541</v>
      </c>
      <c r="R268" t="s">
        <v>3425</v>
      </c>
      <c r="S268" t="s">
        <v>3466</v>
      </c>
    </row>
    <row r="269" spans="1:19" x14ac:dyDescent="0.25">
      <c r="A269" t="s">
        <v>4020</v>
      </c>
      <c r="B269" t="s">
        <v>3843</v>
      </c>
      <c r="C269" t="s">
        <v>3051</v>
      </c>
      <c r="D269" t="s">
        <v>3589</v>
      </c>
      <c r="E269" t="s">
        <v>189</v>
      </c>
      <c r="F269" t="s">
        <v>910</v>
      </c>
      <c r="G269">
        <v>5</v>
      </c>
      <c r="H269">
        <v>5</v>
      </c>
      <c r="I269">
        <v>470.88</v>
      </c>
      <c r="J269">
        <v>2354.4</v>
      </c>
      <c r="K269">
        <v>13.3</v>
      </c>
      <c r="L269">
        <v>376.7</v>
      </c>
      <c r="M269">
        <v>2417.96</v>
      </c>
      <c r="N269" t="s">
        <v>1178</v>
      </c>
      <c r="O269" t="s">
        <v>3424</v>
      </c>
      <c r="P269" t="s">
        <v>2456</v>
      </c>
      <c r="Q269" t="s">
        <v>2541</v>
      </c>
      <c r="R269" t="s">
        <v>3425</v>
      </c>
    </row>
    <row r="270" spans="1:19" x14ac:dyDescent="0.25">
      <c r="A270" t="s">
        <v>4021</v>
      </c>
      <c r="B270" t="s">
        <v>2668</v>
      </c>
      <c r="C270" t="s">
        <v>2683</v>
      </c>
      <c r="D270" t="s">
        <v>2953</v>
      </c>
      <c r="E270" t="s">
        <v>212</v>
      </c>
      <c r="F270" t="s">
        <v>348</v>
      </c>
      <c r="G270">
        <v>78</v>
      </c>
      <c r="H270">
        <v>74</v>
      </c>
      <c r="I270">
        <v>119.86</v>
      </c>
      <c r="J270">
        <v>9349.08</v>
      </c>
      <c r="K270">
        <v>9.1999999999999993</v>
      </c>
      <c r="L270">
        <v>1495.85</v>
      </c>
      <c r="M270">
        <v>9984.81</v>
      </c>
      <c r="N270" t="s">
        <v>1189</v>
      </c>
      <c r="O270" t="s">
        <v>3428</v>
      </c>
      <c r="P270" t="s">
        <v>2388</v>
      </c>
      <c r="Q270" t="s">
        <v>2558</v>
      </c>
      <c r="R270" t="s">
        <v>3425</v>
      </c>
      <c r="S270" t="s">
        <v>3426</v>
      </c>
    </row>
    <row r="271" spans="1:19" x14ac:dyDescent="0.25">
      <c r="A271" t="s">
        <v>4022</v>
      </c>
      <c r="B271" t="s">
        <v>2600</v>
      </c>
      <c r="C271" t="s">
        <v>2696</v>
      </c>
      <c r="D271" t="s">
        <v>3423</v>
      </c>
      <c r="E271" t="s">
        <v>225</v>
      </c>
      <c r="F271" t="s">
        <v>576</v>
      </c>
      <c r="G271">
        <v>19</v>
      </c>
      <c r="H271">
        <v>17</v>
      </c>
      <c r="I271">
        <v>157.75</v>
      </c>
      <c r="J271">
        <v>2997.25</v>
      </c>
      <c r="K271">
        <v>12.3</v>
      </c>
      <c r="L271">
        <v>479.56</v>
      </c>
      <c r="M271">
        <v>3108.15</v>
      </c>
      <c r="N271" t="s">
        <v>1178</v>
      </c>
      <c r="O271" t="s">
        <v>3428</v>
      </c>
      <c r="P271" t="s">
        <v>2456</v>
      </c>
      <c r="Q271" t="s">
        <v>2491</v>
      </c>
      <c r="R271" t="s">
        <v>3425</v>
      </c>
      <c r="S271" t="s">
        <v>3426</v>
      </c>
    </row>
    <row r="272" spans="1:19" x14ac:dyDescent="0.25">
      <c r="A272" t="s">
        <v>4023</v>
      </c>
      <c r="B272" t="s">
        <v>3613</v>
      </c>
      <c r="C272" t="s">
        <v>3992</v>
      </c>
      <c r="D272" t="s">
        <v>4024</v>
      </c>
      <c r="E272" t="s">
        <v>106</v>
      </c>
      <c r="F272" t="s">
        <v>834</v>
      </c>
      <c r="G272">
        <v>74</v>
      </c>
      <c r="H272">
        <v>73</v>
      </c>
      <c r="I272">
        <v>365.99</v>
      </c>
      <c r="J272">
        <v>27083.26</v>
      </c>
      <c r="K272">
        <v>7.8</v>
      </c>
      <c r="L272">
        <v>4333.32</v>
      </c>
      <c r="M272">
        <v>29304.09</v>
      </c>
      <c r="N272" t="s">
        <v>1178</v>
      </c>
      <c r="O272" t="s">
        <v>1179</v>
      </c>
      <c r="P272" t="s">
        <v>2398</v>
      </c>
      <c r="Q272" t="s">
        <v>2535</v>
      </c>
      <c r="R272" t="s">
        <v>3425</v>
      </c>
      <c r="S272" t="s">
        <v>3509</v>
      </c>
    </row>
    <row r="273" spans="1:19" x14ac:dyDescent="0.25">
      <c r="A273" t="s">
        <v>4025</v>
      </c>
      <c r="B273" t="s">
        <v>2849</v>
      </c>
      <c r="C273" t="s">
        <v>2854</v>
      </c>
      <c r="D273" t="s">
        <v>2084</v>
      </c>
      <c r="E273" t="s">
        <v>1403</v>
      </c>
      <c r="F273" t="s">
        <v>657</v>
      </c>
      <c r="G273">
        <v>52</v>
      </c>
      <c r="H273">
        <v>50</v>
      </c>
      <c r="I273">
        <v>245.81</v>
      </c>
      <c r="J273">
        <v>12782.12</v>
      </c>
      <c r="K273">
        <v>1.2</v>
      </c>
      <c r="L273">
        <v>2045.14</v>
      </c>
      <c r="M273">
        <v>14673.87</v>
      </c>
      <c r="N273" t="s">
        <v>1161</v>
      </c>
      <c r="O273" t="s">
        <v>3428</v>
      </c>
      <c r="P273" t="s">
        <v>2456</v>
      </c>
      <c r="Q273" t="s">
        <v>2527</v>
      </c>
      <c r="R273" t="s">
        <v>3434</v>
      </c>
      <c r="S273" t="s">
        <v>3466</v>
      </c>
    </row>
    <row r="274" spans="1:19" x14ac:dyDescent="0.25">
      <c r="A274" t="s">
        <v>4026</v>
      </c>
      <c r="B274" t="s">
        <v>2776</v>
      </c>
      <c r="C274" t="s">
        <v>2641</v>
      </c>
      <c r="D274" t="s">
        <v>4027</v>
      </c>
      <c r="E274" t="s">
        <v>1461</v>
      </c>
      <c r="F274" t="s">
        <v>473</v>
      </c>
      <c r="G274">
        <v>99</v>
      </c>
      <c r="H274">
        <v>97</v>
      </c>
      <c r="I274">
        <v>357.82</v>
      </c>
      <c r="J274">
        <v>35424.18</v>
      </c>
      <c r="K274">
        <v>0.8</v>
      </c>
      <c r="L274">
        <v>5667.87</v>
      </c>
      <c r="M274">
        <v>40808.660000000003</v>
      </c>
      <c r="N274" t="s">
        <v>1161</v>
      </c>
      <c r="O274" t="s">
        <v>3436</v>
      </c>
      <c r="P274" t="s">
        <v>2449</v>
      </c>
      <c r="Q274" t="s">
        <v>2501</v>
      </c>
      <c r="R274" t="s">
        <v>2633</v>
      </c>
    </row>
    <row r="275" spans="1:19" x14ac:dyDescent="0.25">
      <c r="A275" t="s">
        <v>4028</v>
      </c>
      <c r="B275" t="s">
        <v>3525</v>
      </c>
      <c r="C275" t="s">
        <v>3235</v>
      </c>
      <c r="D275" t="s">
        <v>2874</v>
      </c>
      <c r="E275" t="s">
        <v>91</v>
      </c>
      <c r="F275" t="s">
        <v>95</v>
      </c>
      <c r="G275">
        <v>7</v>
      </c>
      <c r="H275">
        <v>2</v>
      </c>
      <c r="I275">
        <v>485.05</v>
      </c>
      <c r="J275">
        <v>3395.35</v>
      </c>
      <c r="K275">
        <v>5.8</v>
      </c>
      <c r="L275">
        <v>543.26</v>
      </c>
      <c r="M275">
        <v>3741.68</v>
      </c>
      <c r="N275" t="s">
        <v>1189</v>
      </c>
      <c r="O275" t="s">
        <v>3436</v>
      </c>
      <c r="P275" t="s">
        <v>2449</v>
      </c>
      <c r="Q275" t="s">
        <v>2501</v>
      </c>
      <c r="R275" t="s">
        <v>2633</v>
      </c>
    </row>
    <row r="276" spans="1:19" x14ac:dyDescent="0.25">
      <c r="A276" t="s">
        <v>4029</v>
      </c>
      <c r="B276" t="s">
        <v>3676</v>
      </c>
      <c r="C276" t="s">
        <v>4030</v>
      </c>
      <c r="D276" t="s">
        <v>4031</v>
      </c>
      <c r="E276" t="s">
        <v>74</v>
      </c>
      <c r="F276" t="s">
        <v>215</v>
      </c>
      <c r="G276">
        <v>59</v>
      </c>
      <c r="H276">
        <v>54</v>
      </c>
      <c r="I276">
        <v>477.48</v>
      </c>
      <c r="J276">
        <v>28171.32</v>
      </c>
      <c r="K276">
        <v>13.4</v>
      </c>
      <c r="L276">
        <v>4507.41</v>
      </c>
      <c r="M276">
        <v>28903.77</v>
      </c>
      <c r="N276" t="s">
        <v>1178</v>
      </c>
      <c r="O276" t="s">
        <v>3428</v>
      </c>
      <c r="P276" t="s">
        <v>2407</v>
      </c>
      <c r="Q276" t="s">
        <v>2548</v>
      </c>
      <c r="R276" t="s">
        <v>3425</v>
      </c>
    </row>
    <row r="277" spans="1:19" x14ac:dyDescent="0.25">
      <c r="A277" t="s">
        <v>4032</v>
      </c>
      <c r="B277" t="s">
        <v>3152</v>
      </c>
      <c r="C277" t="s">
        <v>2848</v>
      </c>
      <c r="D277" t="s">
        <v>3462</v>
      </c>
      <c r="E277" t="s">
        <v>231</v>
      </c>
      <c r="F277" t="s">
        <v>363</v>
      </c>
      <c r="G277">
        <v>89</v>
      </c>
      <c r="H277">
        <v>88</v>
      </c>
      <c r="I277">
        <v>102.35</v>
      </c>
      <c r="J277">
        <v>9109.15</v>
      </c>
      <c r="K277">
        <v>4.4000000000000004</v>
      </c>
      <c r="L277">
        <v>1457.46</v>
      </c>
      <c r="M277">
        <v>10165.81</v>
      </c>
      <c r="N277" t="s">
        <v>1189</v>
      </c>
      <c r="O277" t="s">
        <v>3424</v>
      </c>
      <c r="P277" t="s">
        <v>2425</v>
      </c>
      <c r="Q277" t="s">
        <v>2527</v>
      </c>
      <c r="R277" t="s">
        <v>3425</v>
      </c>
    </row>
    <row r="278" spans="1:19" x14ac:dyDescent="0.25">
      <c r="A278" t="s">
        <v>4033</v>
      </c>
      <c r="B278" t="s">
        <v>2733</v>
      </c>
      <c r="C278" t="s">
        <v>2792</v>
      </c>
      <c r="D278" t="s">
        <v>3518</v>
      </c>
      <c r="E278" t="s">
        <v>45</v>
      </c>
      <c r="F278" t="s">
        <v>880</v>
      </c>
      <c r="G278">
        <v>32</v>
      </c>
      <c r="H278">
        <v>27</v>
      </c>
      <c r="I278">
        <v>329.79</v>
      </c>
      <c r="J278">
        <v>10553.28</v>
      </c>
      <c r="K278">
        <v>3.9</v>
      </c>
      <c r="L278">
        <v>1688.52</v>
      </c>
      <c r="M278">
        <v>11830.22</v>
      </c>
      <c r="N278" t="s">
        <v>1178</v>
      </c>
      <c r="O278" t="s">
        <v>3424</v>
      </c>
      <c r="P278" t="s">
        <v>2416</v>
      </c>
      <c r="Q278" t="s">
        <v>2531</v>
      </c>
      <c r="R278" t="s">
        <v>3425</v>
      </c>
      <c r="S278" t="s">
        <v>3443</v>
      </c>
    </row>
    <row r="279" spans="1:19" x14ac:dyDescent="0.25">
      <c r="A279" t="s">
        <v>4034</v>
      </c>
      <c r="B279" t="s">
        <v>3975</v>
      </c>
      <c r="C279" t="s">
        <v>4035</v>
      </c>
      <c r="D279" t="s">
        <v>4036</v>
      </c>
      <c r="E279" t="s">
        <v>429</v>
      </c>
      <c r="F279" t="s">
        <v>591</v>
      </c>
      <c r="G279">
        <v>36</v>
      </c>
      <c r="H279">
        <v>32</v>
      </c>
      <c r="I279">
        <v>429.19</v>
      </c>
      <c r="J279">
        <v>15450.84</v>
      </c>
      <c r="K279">
        <v>2.8</v>
      </c>
      <c r="L279">
        <v>2472.13</v>
      </c>
      <c r="M279">
        <v>17490.349999999999</v>
      </c>
      <c r="N279" t="s">
        <v>1178</v>
      </c>
      <c r="O279" t="s">
        <v>3428</v>
      </c>
      <c r="P279" t="s">
        <v>2376</v>
      </c>
      <c r="Q279" t="s">
        <v>2561</v>
      </c>
      <c r="R279" t="s">
        <v>3437</v>
      </c>
    </row>
    <row r="280" spans="1:19" x14ac:dyDescent="0.25">
      <c r="A280" t="s">
        <v>4037</v>
      </c>
      <c r="B280" t="s">
        <v>4038</v>
      </c>
      <c r="C280" t="s">
        <v>3423</v>
      </c>
      <c r="D280" t="s">
        <v>4039</v>
      </c>
      <c r="E280" t="s">
        <v>1416</v>
      </c>
      <c r="F280" t="s">
        <v>995</v>
      </c>
      <c r="G280">
        <v>29</v>
      </c>
      <c r="H280">
        <v>28</v>
      </c>
      <c r="I280">
        <v>81.739999999999995</v>
      </c>
      <c r="J280">
        <v>2370.46</v>
      </c>
      <c r="K280">
        <v>1.7</v>
      </c>
      <c r="L280">
        <v>379.27</v>
      </c>
      <c r="M280">
        <v>2709.43</v>
      </c>
      <c r="N280" t="s">
        <v>1161</v>
      </c>
      <c r="O280" t="s">
        <v>1179</v>
      </c>
      <c r="P280" t="s">
        <v>2398</v>
      </c>
      <c r="Q280" t="s">
        <v>2564</v>
      </c>
      <c r="R280" t="s">
        <v>3434</v>
      </c>
      <c r="S280" t="s">
        <v>3443</v>
      </c>
    </row>
    <row r="281" spans="1:19" x14ac:dyDescent="0.25">
      <c r="A281" t="s">
        <v>4040</v>
      </c>
      <c r="B281" t="s">
        <v>3836</v>
      </c>
      <c r="C281" t="s">
        <v>3155</v>
      </c>
      <c r="D281" t="s">
        <v>3645</v>
      </c>
      <c r="E281" t="s">
        <v>162</v>
      </c>
      <c r="F281" t="s">
        <v>799</v>
      </c>
      <c r="G281">
        <v>37</v>
      </c>
      <c r="H281">
        <v>36</v>
      </c>
      <c r="I281">
        <v>178.12</v>
      </c>
      <c r="J281">
        <v>6590.44</v>
      </c>
      <c r="K281">
        <v>8.6</v>
      </c>
      <c r="L281">
        <v>1054.47</v>
      </c>
      <c r="M281">
        <v>7078.13</v>
      </c>
      <c r="N281" t="s">
        <v>1178</v>
      </c>
      <c r="O281" t="s">
        <v>3436</v>
      </c>
      <c r="P281" t="s">
        <v>2440</v>
      </c>
      <c r="Q281" t="s">
        <v>2506</v>
      </c>
      <c r="R281" t="s">
        <v>3425</v>
      </c>
    </row>
    <row r="282" spans="1:19" x14ac:dyDescent="0.25">
      <c r="A282" t="s">
        <v>4041</v>
      </c>
      <c r="B282" t="s">
        <v>3235</v>
      </c>
      <c r="C282" t="s">
        <v>3719</v>
      </c>
      <c r="D282" t="s">
        <v>2767</v>
      </c>
      <c r="E282" t="s">
        <v>121</v>
      </c>
      <c r="F282" t="s">
        <v>723</v>
      </c>
      <c r="G282">
        <v>14</v>
      </c>
      <c r="H282">
        <v>9</v>
      </c>
      <c r="I282">
        <v>100.13</v>
      </c>
      <c r="J282">
        <v>1401.82</v>
      </c>
      <c r="K282">
        <v>0.6</v>
      </c>
      <c r="L282">
        <v>224.29</v>
      </c>
      <c r="M282">
        <v>1617.7</v>
      </c>
      <c r="N282" t="s">
        <v>1178</v>
      </c>
      <c r="O282" t="s">
        <v>3424</v>
      </c>
      <c r="P282" t="s">
        <v>2432</v>
      </c>
      <c r="Q282" t="s">
        <v>2551</v>
      </c>
      <c r="R282" t="s">
        <v>2633</v>
      </c>
      <c r="S282" t="s">
        <v>3466</v>
      </c>
    </row>
    <row r="283" spans="1:19" x14ac:dyDescent="0.25">
      <c r="A283" t="s">
        <v>4042</v>
      </c>
      <c r="B283" t="s">
        <v>3493</v>
      </c>
      <c r="C283" t="s">
        <v>4043</v>
      </c>
      <c r="D283" t="s">
        <v>4043</v>
      </c>
      <c r="E283" t="s">
        <v>1448</v>
      </c>
      <c r="F283" t="s">
        <v>279</v>
      </c>
      <c r="G283">
        <v>57</v>
      </c>
      <c r="H283">
        <v>52</v>
      </c>
      <c r="I283">
        <v>318.64999999999998</v>
      </c>
      <c r="J283">
        <v>18163.05</v>
      </c>
      <c r="K283">
        <v>0.6</v>
      </c>
      <c r="L283">
        <v>2906.09</v>
      </c>
      <c r="M283">
        <v>20960.16</v>
      </c>
      <c r="N283" t="s">
        <v>1178</v>
      </c>
      <c r="O283" t="s">
        <v>3442</v>
      </c>
      <c r="P283" t="s">
        <v>2456</v>
      </c>
      <c r="Q283" t="s">
        <v>2475</v>
      </c>
      <c r="R283" t="s">
        <v>3425</v>
      </c>
      <c r="S283" t="s">
        <v>3426</v>
      </c>
    </row>
    <row r="284" spans="1:19" x14ac:dyDescent="0.25">
      <c r="A284" t="s">
        <v>4044</v>
      </c>
      <c r="B284" t="s">
        <v>2641</v>
      </c>
      <c r="C284" t="s">
        <v>2716</v>
      </c>
      <c r="D284" t="s">
        <v>2594</v>
      </c>
      <c r="E284" t="s">
        <v>731</v>
      </c>
      <c r="F284" t="s">
        <v>321</v>
      </c>
      <c r="G284">
        <v>45</v>
      </c>
      <c r="H284">
        <v>44</v>
      </c>
      <c r="I284">
        <v>257.92</v>
      </c>
      <c r="J284">
        <v>11606.4</v>
      </c>
      <c r="K284">
        <v>13.5</v>
      </c>
      <c r="L284">
        <v>1857.02</v>
      </c>
      <c r="M284">
        <v>11896.56</v>
      </c>
      <c r="N284" t="s">
        <v>1178</v>
      </c>
      <c r="O284" t="s">
        <v>3436</v>
      </c>
      <c r="P284" t="s">
        <v>2388</v>
      </c>
      <c r="Q284" t="s">
        <v>2512</v>
      </c>
      <c r="R284" t="s">
        <v>3425</v>
      </c>
    </row>
    <row r="285" spans="1:19" x14ac:dyDescent="0.25">
      <c r="A285" t="s">
        <v>4045</v>
      </c>
      <c r="B285" t="s">
        <v>2989</v>
      </c>
      <c r="C285" t="s">
        <v>2895</v>
      </c>
      <c r="D285" t="s">
        <v>3836</v>
      </c>
      <c r="E285" t="s">
        <v>245</v>
      </c>
      <c r="F285" t="s">
        <v>955</v>
      </c>
      <c r="G285">
        <v>93</v>
      </c>
      <c r="H285">
        <v>89</v>
      </c>
      <c r="I285">
        <v>247.49</v>
      </c>
      <c r="J285">
        <v>23016.57</v>
      </c>
      <c r="K285">
        <v>13.1</v>
      </c>
      <c r="L285">
        <v>3682.65</v>
      </c>
      <c r="M285">
        <v>23684.05</v>
      </c>
      <c r="N285" t="s">
        <v>1178</v>
      </c>
      <c r="O285" t="s">
        <v>3436</v>
      </c>
      <c r="P285" t="s">
        <v>2398</v>
      </c>
      <c r="Q285" t="s">
        <v>2495</v>
      </c>
      <c r="R285" t="s">
        <v>2633</v>
      </c>
    </row>
    <row r="286" spans="1:19" x14ac:dyDescent="0.25">
      <c r="A286" t="s">
        <v>4046</v>
      </c>
      <c r="B286" t="s">
        <v>3537</v>
      </c>
      <c r="C286" t="s">
        <v>3603</v>
      </c>
      <c r="D286" t="s">
        <v>3733</v>
      </c>
      <c r="E286" t="s">
        <v>435</v>
      </c>
      <c r="F286" t="s">
        <v>990</v>
      </c>
      <c r="G286">
        <v>9</v>
      </c>
      <c r="H286">
        <v>7</v>
      </c>
      <c r="I286">
        <v>234.47</v>
      </c>
      <c r="J286">
        <v>2110.23</v>
      </c>
      <c r="K286">
        <v>8</v>
      </c>
      <c r="L286">
        <v>337.64</v>
      </c>
      <c r="M286">
        <v>2279.0500000000002</v>
      </c>
      <c r="N286" t="s">
        <v>1178</v>
      </c>
      <c r="O286" t="s">
        <v>3442</v>
      </c>
      <c r="P286" t="s">
        <v>2398</v>
      </c>
      <c r="Q286" t="s">
        <v>2491</v>
      </c>
      <c r="R286" t="s">
        <v>3425</v>
      </c>
    </row>
    <row r="287" spans="1:19" x14ac:dyDescent="0.25">
      <c r="A287" t="s">
        <v>4047</v>
      </c>
      <c r="B287" t="s">
        <v>4048</v>
      </c>
      <c r="C287" t="s">
        <v>3725</v>
      </c>
      <c r="D287" t="s">
        <v>4049</v>
      </c>
      <c r="E287" t="s">
        <v>231</v>
      </c>
      <c r="F287" t="s">
        <v>24</v>
      </c>
      <c r="G287">
        <v>73</v>
      </c>
      <c r="H287">
        <v>68</v>
      </c>
      <c r="I287">
        <v>76.290000000000006</v>
      </c>
      <c r="J287">
        <v>5569.17</v>
      </c>
      <c r="K287">
        <v>5.8</v>
      </c>
      <c r="L287">
        <v>891.07</v>
      </c>
      <c r="M287">
        <v>6137.23</v>
      </c>
      <c r="N287" t="s">
        <v>1178</v>
      </c>
      <c r="O287" t="s">
        <v>3436</v>
      </c>
      <c r="P287" t="s">
        <v>2449</v>
      </c>
      <c r="Q287" t="s">
        <v>2486</v>
      </c>
      <c r="R287" t="s">
        <v>3425</v>
      </c>
      <c r="S287" t="s">
        <v>3466</v>
      </c>
    </row>
    <row r="288" spans="1:19" x14ac:dyDescent="0.25">
      <c r="A288" t="s">
        <v>4050</v>
      </c>
      <c r="B288" t="s">
        <v>3793</v>
      </c>
      <c r="C288" t="s">
        <v>3019</v>
      </c>
      <c r="D288" t="s">
        <v>2102</v>
      </c>
      <c r="E288" t="s">
        <v>57</v>
      </c>
      <c r="F288" t="s">
        <v>940</v>
      </c>
      <c r="G288">
        <v>50</v>
      </c>
      <c r="H288">
        <v>47</v>
      </c>
      <c r="I288">
        <v>177.11</v>
      </c>
      <c r="J288">
        <v>8855.5</v>
      </c>
      <c r="K288">
        <v>9.1999999999999993</v>
      </c>
      <c r="L288">
        <v>1416.88</v>
      </c>
      <c r="M288">
        <v>9457.67</v>
      </c>
      <c r="N288" t="s">
        <v>1161</v>
      </c>
      <c r="O288" t="s">
        <v>1179</v>
      </c>
      <c r="P288" t="s">
        <v>2425</v>
      </c>
      <c r="Q288" t="s">
        <v>2554</v>
      </c>
      <c r="R288" t="s">
        <v>3437</v>
      </c>
      <c r="S288" t="s">
        <v>3466</v>
      </c>
    </row>
    <row r="289" spans="1:19" x14ac:dyDescent="0.25">
      <c r="A289" t="s">
        <v>4051</v>
      </c>
      <c r="B289" t="s">
        <v>3232</v>
      </c>
      <c r="C289" t="s">
        <v>3039</v>
      </c>
      <c r="D289" t="s">
        <v>3118</v>
      </c>
      <c r="E289" t="s">
        <v>45</v>
      </c>
      <c r="F289" t="s">
        <v>693</v>
      </c>
      <c r="G289">
        <v>69</v>
      </c>
      <c r="H289">
        <v>68</v>
      </c>
      <c r="I289">
        <v>445.75</v>
      </c>
      <c r="J289">
        <v>30756.75</v>
      </c>
      <c r="K289">
        <v>3.4</v>
      </c>
      <c r="L289">
        <v>4921.08</v>
      </c>
      <c r="M289">
        <v>34632.1</v>
      </c>
      <c r="N289" t="s">
        <v>1189</v>
      </c>
      <c r="O289" t="s">
        <v>1179</v>
      </c>
      <c r="P289" t="s">
        <v>2398</v>
      </c>
      <c r="Q289" t="s">
        <v>2525</v>
      </c>
      <c r="R289" t="s">
        <v>3425</v>
      </c>
      <c r="S289" t="s">
        <v>3443</v>
      </c>
    </row>
    <row r="290" spans="1:19" x14ac:dyDescent="0.25">
      <c r="A290" t="s">
        <v>4052</v>
      </c>
      <c r="B290" t="s">
        <v>3592</v>
      </c>
      <c r="C290" t="s">
        <v>3686</v>
      </c>
      <c r="D290" t="s">
        <v>3920</v>
      </c>
      <c r="E290" t="s">
        <v>476</v>
      </c>
      <c r="F290" t="s">
        <v>279</v>
      </c>
      <c r="G290">
        <v>6</v>
      </c>
      <c r="H290">
        <v>5</v>
      </c>
      <c r="I290">
        <v>256.97000000000003</v>
      </c>
      <c r="J290">
        <v>1541.82</v>
      </c>
      <c r="K290">
        <v>10.7</v>
      </c>
      <c r="L290">
        <v>246.69</v>
      </c>
      <c r="M290">
        <v>1623.54</v>
      </c>
      <c r="N290" t="s">
        <v>1178</v>
      </c>
      <c r="O290" t="s">
        <v>3424</v>
      </c>
      <c r="P290" t="s">
        <v>2432</v>
      </c>
      <c r="Q290" t="s">
        <v>2531</v>
      </c>
      <c r="R290" t="s">
        <v>3429</v>
      </c>
      <c r="S290" t="s">
        <v>3466</v>
      </c>
    </row>
    <row r="291" spans="1:19" x14ac:dyDescent="0.25">
      <c r="A291" t="s">
        <v>4053</v>
      </c>
      <c r="B291" t="s">
        <v>2668</v>
      </c>
      <c r="C291" t="s">
        <v>3485</v>
      </c>
      <c r="D291" t="s">
        <v>2953</v>
      </c>
      <c r="E291" t="s">
        <v>1442</v>
      </c>
      <c r="F291" t="s">
        <v>687</v>
      </c>
      <c r="G291">
        <v>57</v>
      </c>
      <c r="H291">
        <v>54</v>
      </c>
      <c r="I291">
        <v>478.57</v>
      </c>
      <c r="J291">
        <v>27278.49</v>
      </c>
      <c r="K291">
        <v>7</v>
      </c>
      <c r="L291">
        <v>4364.5600000000004</v>
      </c>
      <c r="M291">
        <v>29733.56</v>
      </c>
      <c r="N291" t="s">
        <v>1178</v>
      </c>
      <c r="O291" t="s">
        <v>3436</v>
      </c>
      <c r="P291" t="s">
        <v>2407</v>
      </c>
      <c r="Q291" t="s">
        <v>2512</v>
      </c>
      <c r="R291" t="s">
        <v>3425</v>
      </c>
    </row>
    <row r="292" spans="1:19" x14ac:dyDescent="0.25">
      <c r="A292" t="s">
        <v>4054</v>
      </c>
      <c r="B292" t="s">
        <v>2817</v>
      </c>
      <c r="C292" t="s">
        <v>3586</v>
      </c>
      <c r="D292" t="s">
        <v>3775</v>
      </c>
      <c r="E292" t="s">
        <v>57</v>
      </c>
      <c r="F292" t="s">
        <v>348</v>
      </c>
      <c r="G292">
        <v>94</v>
      </c>
      <c r="H292">
        <v>91</v>
      </c>
      <c r="I292">
        <v>346.7</v>
      </c>
      <c r="J292">
        <v>32589.8</v>
      </c>
      <c r="K292">
        <v>9.3000000000000007</v>
      </c>
      <c r="L292">
        <v>5214.37</v>
      </c>
      <c r="M292">
        <v>34773.32</v>
      </c>
      <c r="N292" t="s">
        <v>1178</v>
      </c>
      <c r="O292" t="s">
        <v>1179</v>
      </c>
      <c r="P292" t="s">
        <v>2407</v>
      </c>
      <c r="Q292" t="s">
        <v>2527</v>
      </c>
      <c r="R292" t="s">
        <v>3425</v>
      </c>
      <c r="S292" t="s">
        <v>3466</v>
      </c>
    </row>
    <row r="293" spans="1:19" x14ac:dyDescent="0.25">
      <c r="A293" t="s">
        <v>4055</v>
      </c>
      <c r="B293" t="s">
        <v>3723</v>
      </c>
      <c r="C293" t="s">
        <v>4056</v>
      </c>
      <c r="D293" t="s">
        <v>4057</v>
      </c>
      <c r="E293" t="s">
        <v>482</v>
      </c>
      <c r="F293" t="s">
        <v>804</v>
      </c>
      <c r="G293">
        <v>84</v>
      </c>
      <c r="H293">
        <v>84</v>
      </c>
      <c r="I293">
        <v>253.54</v>
      </c>
      <c r="J293">
        <v>21297.360000000001</v>
      </c>
      <c r="K293">
        <v>13.6</v>
      </c>
      <c r="L293">
        <v>3407.58</v>
      </c>
      <c r="M293">
        <v>21808.5</v>
      </c>
      <c r="N293" t="s">
        <v>1178</v>
      </c>
      <c r="O293" t="s">
        <v>3424</v>
      </c>
      <c r="P293" t="s">
        <v>2425</v>
      </c>
      <c r="Q293" t="s">
        <v>2544</v>
      </c>
      <c r="R293" t="s">
        <v>3425</v>
      </c>
      <c r="S293" t="s">
        <v>3443</v>
      </c>
    </row>
    <row r="294" spans="1:19" x14ac:dyDescent="0.25">
      <c r="A294" t="s">
        <v>4058</v>
      </c>
      <c r="B294" t="s">
        <v>3422</v>
      </c>
      <c r="C294" t="s">
        <v>3508</v>
      </c>
      <c r="D294" t="s">
        <v>4059</v>
      </c>
      <c r="E294" t="s">
        <v>106</v>
      </c>
      <c r="F294" t="s">
        <v>662</v>
      </c>
      <c r="G294">
        <v>24</v>
      </c>
      <c r="H294">
        <v>19</v>
      </c>
      <c r="I294">
        <v>474.44</v>
      </c>
      <c r="J294">
        <v>11386.56</v>
      </c>
      <c r="K294">
        <v>0.4</v>
      </c>
      <c r="L294">
        <v>1821.85</v>
      </c>
      <c r="M294">
        <v>13162.86</v>
      </c>
      <c r="N294" t="s">
        <v>1178</v>
      </c>
      <c r="O294" t="s">
        <v>1179</v>
      </c>
      <c r="P294" t="s">
        <v>2456</v>
      </c>
      <c r="Q294" t="s">
        <v>2568</v>
      </c>
      <c r="R294" t="s">
        <v>3425</v>
      </c>
      <c r="S294" t="s">
        <v>3443</v>
      </c>
    </row>
    <row r="295" spans="1:19" x14ac:dyDescent="0.25">
      <c r="A295" t="s">
        <v>4060</v>
      </c>
      <c r="B295" t="s">
        <v>3923</v>
      </c>
      <c r="C295" t="s">
        <v>3777</v>
      </c>
      <c r="D295" t="s">
        <v>4061</v>
      </c>
      <c r="E295" t="s">
        <v>57</v>
      </c>
      <c r="F295" t="s">
        <v>353</v>
      </c>
      <c r="G295">
        <v>20</v>
      </c>
      <c r="H295">
        <v>17</v>
      </c>
      <c r="I295">
        <v>235.08</v>
      </c>
      <c r="J295">
        <v>4701.6000000000004</v>
      </c>
      <c r="K295">
        <v>7</v>
      </c>
      <c r="L295">
        <v>752.26</v>
      </c>
      <c r="M295">
        <v>5124.75</v>
      </c>
      <c r="N295" t="s">
        <v>1178</v>
      </c>
      <c r="O295" t="s">
        <v>3436</v>
      </c>
      <c r="P295" t="s">
        <v>2456</v>
      </c>
      <c r="Q295" t="s">
        <v>2541</v>
      </c>
      <c r="R295" t="s">
        <v>3425</v>
      </c>
    </row>
    <row r="296" spans="1:19" x14ac:dyDescent="0.25">
      <c r="A296" t="s">
        <v>4062</v>
      </c>
      <c r="B296" t="s">
        <v>4063</v>
      </c>
      <c r="C296" t="s">
        <v>2870</v>
      </c>
      <c r="D296" t="s">
        <v>3556</v>
      </c>
      <c r="E296" t="s">
        <v>156</v>
      </c>
      <c r="F296" t="s">
        <v>192</v>
      </c>
      <c r="G296">
        <v>3</v>
      </c>
      <c r="H296">
        <v>1</v>
      </c>
      <c r="I296">
        <v>53.9</v>
      </c>
      <c r="J296">
        <v>161.69999999999999</v>
      </c>
      <c r="K296">
        <v>12.9</v>
      </c>
      <c r="L296">
        <v>25.87</v>
      </c>
      <c r="M296">
        <v>166.71</v>
      </c>
      <c r="N296" t="s">
        <v>1178</v>
      </c>
      <c r="O296" t="s">
        <v>3424</v>
      </c>
      <c r="P296" t="s">
        <v>2398</v>
      </c>
      <c r="Q296" t="s">
        <v>2506</v>
      </c>
      <c r="R296" t="s">
        <v>3434</v>
      </c>
    </row>
    <row r="297" spans="1:19" x14ac:dyDescent="0.25">
      <c r="A297" t="s">
        <v>4064</v>
      </c>
      <c r="B297" t="s">
        <v>3683</v>
      </c>
      <c r="C297" t="s">
        <v>3984</v>
      </c>
      <c r="D297" t="s">
        <v>3632</v>
      </c>
      <c r="E297" t="s">
        <v>558</v>
      </c>
      <c r="F297" t="s">
        <v>910</v>
      </c>
      <c r="G297">
        <v>41</v>
      </c>
      <c r="H297">
        <v>40</v>
      </c>
      <c r="I297">
        <v>312.55</v>
      </c>
      <c r="J297">
        <v>12814.55</v>
      </c>
      <c r="K297">
        <v>12.4</v>
      </c>
      <c r="L297">
        <v>2050.33</v>
      </c>
      <c r="M297">
        <v>13275.88</v>
      </c>
      <c r="N297" t="s">
        <v>1178</v>
      </c>
      <c r="O297" t="s">
        <v>1179</v>
      </c>
      <c r="P297" t="s">
        <v>2388</v>
      </c>
      <c r="Q297" t="s">
        <v>2544</v>
      </c>
      <c r="R297" t="s">
        <v>3425</v>
      </c>
    </row>
    <row r="298" spans="1:19" x14ac:dyDescent="0.25">
      <c r="A298" t="s">
        <v>4065</v>
      </c>
      <c r="B298" t="s">
        <v>4038</v>
      </c>
      <c r="C298" t="s">
        <v>2700</v>
      </c>
      <c r="D298" t="s">
        <v>2924</v>
      </c>
      <c r="E298" t="s">
        <v>170</v>
      </c>
      <c r="F298" t="s">
        <v>641</v>
      </c>
      <c r="G298">
        <v>16</v>
      </c>
      <c r="H298">
        <v>11</v>
      </c>
      <c r="I298">
        <v>289.54000000000002</v>
      </c>
      <c r="J298">
        <v>4632.6400000000003</v>
      </c>
      <c r="K298">
        <v>9.3000000000000007</v>
      </c>
      <c r="L298">
        <v>741.22</v>
      </c>
      <c r="M298">
        <v>4943.0200000000004</v>
      </c>
      <c r="N298" t="s">
        <v>1189</v>
      </c>
      <c r="O298" t="s">
        <v>1179</v>
      </c>
      <c r="P298" t="s">
        <v>2407</v>
      </c>
      <c r="Q298" t="s">
        <v>2491</v>
      </c>
      <c r="R298" t="s">
        <v>3425</v>
      </c>
      <c r="S298" t="s">
        <v>3466</v>
      </c>
    </row>
    <row r="299" spans="1:19" x14ac:dyDescent="0.25">
      <c r="A299" t="s">
        <v>4066</v>
      </c>
      <c r="B299" t="s">
        <v>2218</v>
      </c>
      <c r="C299" t="s">
        <v>1487</v>
      </c>
      <c r="D299" t="s">
        <v>2980</v>
      </c>
      <c r="E299" t="s">
        <v>482</v>
      </c>
      <c r="F299" t="s">
        <v>1081</v>
      </c>
      <c r="G299">
        <v>6</v>
      </c>
      <c r="H299">
        <v>6</v>
      </c>
      <c r="I299">
        <v>111.02</v>
      </c>
      <c r="J299">
        <v>666.12</v>
      </c>
      <c r="K299">
        <v>5.7</v>
      </c>
      <c r="L299">
        <v>106.58</v>
      </c>
      <c r="M299">
        <v>734.73</v>
      </c>
      <c r="N299" t="s">
        <v>1161</v>
      </c>
      <c r="O299" t="s">
        <v>1179</v>
      </c>
      <c r="P299" t="s">
        <v>2440</v>
      </c>
      <c r="Q299" t="s">
        <v>2548</v>
      </c>
      <c r="R299" t="s">
        <v>3425</v>
      </c>
      <c r="S299" t="s">
        <v>3466</v>
      </c>
    </row>
    <row r="300" spans="1:19" x14ac:dyDescent="0.25">
      <c r="A300" t="s">
        <v>4067</v>
      </c>
      <c r="B300" t="s">
        <v>4068</v>
      </c>
      <c r="C300" t="s">
        <v>3002</v>
      </c>
      <c r="D300" t="s">
        <v>3761</v>
      </c>
      <c r="E300" t="s">
        <v>189</v>
      </c>
      <c r="F300" t="s">
        <v>739</v>
      </c>
      <c r="G300">
        <v>86</v>
      </c>
      <c r="H300">
        <v>85</v>
      </c>
      <c r="I300">
        <v>305.05</v>
      </c>
      <c r="J300">
        <v>26234.3</v>
      </c>
      <c r="K300">
        <v>13.3</v>
      </c>
      <c r="L300">
        <v>4197.49</v>
      </c>
      <c r="M300">
        <v>26942.63</v>
      </c>
      <c r="N300" t="s">
        <v>1178</v>
      </c>
      <c r="O300" t="s">
        <v>3436</v>
      </c>
      <c r="P300" t="s">
        <v>2416</v>
      </c>
      <c r="Q300" t="s">
        <v>2558</v>
      </c>
      <c r="R300" t="s">
        <v>3429</v>
      </c>
    </row>
    <row r="301" spans="1:19" x14ac:dyDescent="0.25">
      <c r="A301" t="s">
        <v>4069</v>
      </c>
      <c r="B301" t="s">
        <v>3912</v>
      </c>
      <c r="C301" t="s">
        <v>4070</v>
      </c>
      <c r="D301" t="s">
        <v>4030</v>
      </c>
      <c r="E301" t="s">
        <v>435</v>
      </c>
      <c r="F301" t="s">
        <v>970</v>
      </c>
      <c r="G301">
        <v>26</v>
      </c>
      <c r="H301">
        <v>22</v>
      </c>
      <c r="I301">
        <v>482.71</v>
      </c>
      <c r="J301">
        <v>12550.46</v>
      </c>
      <c r="K301">
        <v>4.8</v>
      </c>
      <c r="L301">
        <v>2008.07</v>
      </c>
      <c r="M301">
        <v>13956.11</v>
      </c>
      <c r="N301" t="s">
        <v>1189</v>
      </c>
      <c r="O301" t="s">
        <v>3442</v>
      </c>
      <c r="P301" t="s">
        <v>2456</v>
      </c>
      <c r="Q301" t="s">
        <v>2548</v>
      </c>
      <c r="R301" t="s">
        <v>3429</v>
      </c>
    </row>
    <row r="302" spans="1:19" x14ac:dyDescent="0.25">
      <c r="A302" t="s">
        <v>4071</v>
      </c>
      <c r="B302" t="s">
        <v>2849</v>
      </c>
      <c r="C302" t="s">
        <v>2854</v>
      </c>
      <c r="D302" t="s">
        <v>2745</v>
      </c>
      <c r="E302" t="s">
        <v>558</v>
      </c>
      <c r="F302" t="s">
        <v>426</v>
      </c>
      <c r="G302">
        <v>25</v>
      </c>
      <c r="H302">
        <v>24</v>
      </c>
      <c r="I302">
        <v>281.04000000000002</v>
      </c>
      <c r="J302">
        <v>7026</v>
      </c>
      <c r="K302">
        <v>14.7</v>
      </c>
      <c r="L302">
        <v>1124.1600000000001</v>
      </c>
      <c r="M302">
        <v>7117.34</v>
      </c>
      <c r="N302" t="s">
        <v>1178</v>
      </c>
      <c r="O302" t="s">
        <v>3424</v>
      </c>
      <c r="P302" t="s">
        <v>2416</v>
      </c>
      <c r="Q302" t="s">
        <v>2515</v>
      </c>
      <c r="R302" t="s">
        <v>3437</v>
      </c>
      <c r="S302" t="s">
        <v>3443</v>
      </c>
    </row>
    <row r="303" spans="1:19" x14ac:dyDescent="0.25">
      <c r="A303" t="s">
        <v>4072</v>
      </c>
      <c r="B303" t="s">
        <v>3119</v>
      </c>
      <c r="C303" t="s">
        <v>3505</v>
      </c>
      <c r="D303" t="s">
        <v>2844</v>
      </c>
      <c r="E303" t="s">
        <v>245</v>
      </c>
      <c r="F303" t="s">
        <v>117</v>
      </c>
      <c r="G303">
        <v>35</v>
      </c>
      <c r="H303">
        <v>33</v>
      </c>
      <c r="I303">
        <v>387.5</v>
      </c>
      <c r="J303">
        <v>13562.5</v>
      </c>
      <c r="K303">
        <v>11.4</v>
      </c>
      <c r="L303">
        <v>2170</v>
      </c>
      <c r="M303">
        <v>14186.38</v>
      </c>
      <c r="N303" t="s">
        <v>1161</v>
      </c>
      <c r="O303" t="s">
        <v>3442</v>
      </c>
      <c r="P303" t="s">
        <v>2398</v>
      </c>
      <c r="Q303" t="s">
        <v>2551</v>
      </c>
      <c r="R303" t="s">
        <v>3425</v>
      </c>
    </row>
    <row r="304" spans="1:19" x14ac:dyDescent="0.25">
      <c r="A304" t="s">
        <v>4073</v>
      </c>
      <c r="B304" t="s">
        <v>3501</v>
      </c>
      <c r="C304" t="s">
        <v>2777</v>
      </c>
      <c r="D304" t="s">
        <v>3386</v>
      </c>
      <c r="E304" t="s">
        <v>476</v>
      </c>
      <c r="F304" t="s">
        <v>596</v>
      </c>
      <c r="G304">
        <v>26</v>
      </c>
      <c r="H304">
        <v>23</v>
      </c>
      <c r="I304">
        <v>457.04</v>
      </c>
      <c r="J304">
        <v>11883.04</v>
      </c>
      <c r="K304">
        <v>5.7</v>
      </c>
      <c r="L304">
        <v>1901.29</v>
      </c>
      <c r="M304">
        <v>13107</v>
      </c>
      <c r="N304" t="s">
        <v>1178</v>
      </c>
      <c r="O304" t="s">
        <v>1179</v>
      </c>
      <c r="P304" t="s">
        <v>2449</v>
      </c>
      <c r="Q304" t="s">
        <v>2531</v>
      </c>
      <c r="R304" t="s">
        <v>3429</v>
      </c>
      <c r="S304" t="s">
        <v>3426</v>
      </c>
    </row>
    <row r="305" spans="1:19" x14ac:dyDescent="0.25">
      <c r="A305" t="s">
        <v>4074</v>
      </c>
      <c r="B305" t="s">
        <v>3980</v>
      </c>
      <c r="C305" t="s">
        <v>2773</v>
      </c>
      <c r="D305" t="s">
        <v>2961</v>
      </c>
      <c r="E305" t="s">
        <v>654</v>
      </c>
      <c r="F305" t="s">
        <v>550</v>
      </c>
      <c r="G305">
        <v>93</v>
      </c>
      <c r="H305">
        <v>90</v>
      </c>
      <c r="I305">
        <v>167.71</v>
      </c>
      <c r="J305">
        <v>15597.03</v>
      </c>
      <c r="K305">
        <v>2.9</v>
      </c>
      <c r="L305">
        <v>2495.52</v>
      </c>
      <c r="M305">
        <v>17640.240000000002</v>
      </c>
      <c r="N305" t="s">
        <v>1178</v>
      </c>
      <c r="O305" t="s">
        <v>1179</v>
      </c>
      <c r="P305" t="s">
        <v>2449</v>
      </c>
      <c r="Q305" t="s">
        <v>2491</v>
      </c>
      <c r="R305" t="s">
        <v>3425</v>
      </c>
    </row>
    <row r="306" spans="1:19" x14ac:dyDescent="0.25">
      <c r="A306" t="s">
        <v>4075</v>
      </c>
      <c r="B306" t="s">
        <v>2758</v>
      </c>
      <c r="C306" t="s">
        <v>3423</v>
      </c>
      <c r="D306" t="s">
        <v>4076</v>
      </c>
      <c r="E306" t="s">
        <v>1455</v>
      </c>
      <c r="F306" t="s">
        <v>228</v>
      </c>
      <c r="G306">
        <v>32</v>
      </c>
      <c r="H306">
        <v>32</v>
      </c>
      <c r="I306">
        <v>83.49</v>
      </c>
      <c r="J306">
        <v>2671.68</v>
      </c>
      <c r="K306">
        <v>5.6</v>
      </c>
      <c r="L306">
        <v>427.47</v>
      </c>
      <c r="M306">
        <v>2949.54</v>
      </c>
      <c r="N306" t="s">
        <v>1178</v>
      </c>
      <c r="O306" t="s">
        <v>3442</v>
      </c>
      <c r="P306" t="s">
        <v>2376</v>
      </c>
      <c r="Q306" t="s">
        <v>2564</v>
      </c>
      <c r="R306" t="s">
        <v>2633</v>
      </c>
    </row>
    <row r="307" spans="1:19" x14ac:dyDescent="0.25">
      <c r="A307" t="s">
        <v>4077</v>
      </c>
      <c r="B307" t="s">
        <v>3603</v>
      </c>
      <c r="C307" t="s">
        <v>2505</v>
      </c>
      <c r="D307" t="s">
        <v>4078</v>
      </c>
      <c r="E307" t="s">
        <v>45</v>
      </c>
      <c r="F307" t="s">
        <v>860</v>
      </c>
      <c r="G307">
        <v>81</v>
      </c>
      <c r="H307">
        <v>81</v>
      </c>
      <c r="I307">
        <v>484.54</v>
      </c>
      <c r="J307">
        <v>39247.74</v>
      </c>
      <c r="K307">
        <v>14.5</v>
      </c>
      <c r="L307">
        <v>6279.64</v>
      </c>
      <c r="M307">
        <v>39836.46</v>
      </c>
      <c r="N307" t="s">
        <v>1161</v>
      </c>
      <c r="O307" t="s">
        <v>3442</v>
      </c>
      <c r="P307" t="s">
        <v>2376</v>
      </c>
      <c r="Q307" t="s">
        <v>2561</v>
      </c>
      <c r="R307" t="s">
        <v>3425</v>
      </c>
    </row>
    <row r="308" spans="1:19" x14ac:dyDescent="0.25">
      <c r="A308" t="s">
        <v>4079</v>
      </c>
      <c r="B308" t="s">
        <v>3047</v>
      </c>
      <c r="C308" t="s">
        <v>2646</v>
      </c>
      <c r="D308" t="s">
        <v>2825</v>
      </c>
      <c r="E308" t="s">
        <v>1448</v>
      </c>
      <c r="F308" t="s">
        <v>186</v>
      </c>
      <c r="G308">
        <v>24</v>
      </c>
      <c r="H308">
        <v>23</v>
      </c>
      <c r="I308">
        <v>91.27</v>
      </c>
      <c r="J308">
        <v>2190.48</v>
      </c>
      <c r="K308">
        <v>14.3</v>
      </c>
      <c r="L308">
        <v>350.48</v>
      </c>
      <c r="M308">
        <v>2227.7199999999998</v>
      </c>
      <c r="N308" t="s">
        <v>1178</v>
      </c>
      <c r="O308" t="s">
        <v>3442</v>
      </c>
      <c r="P308" t="s">
        <v>2388</v>
      </c>
      <c r="Q308" t="s">
        <v>2527</v>
      </c>
      <c r="R308" t="s">
        <v>2633</v>
      </c>
    </row>
    <row r="309" spans="1:19" x14ac:dyDescent="0.25">
      <c r="A309" t="s">
        <v>4080</v>
      </c>
      <c r="B309" t="s">
        <v>3670</v>
      </c>
      <c r="C309" t="s">
        <v>3182</v>
      </c>
      <c r="D309" t="s">
        <v>3702</v>
      </c>
      <c r="E309" t="s">
        <v>121</v>
      </c>
      <c r="F309" t="s">
        <v>353</v>
      </c>
      <c r="G309">
        <v>91</v>
      </c>
      <c r="H309">
        <v>86</v>
      </c>
      <c r="I309">
        <v>494.57</v>
      </c>
      <c r="J309">
        <v>45005.87</v>
      </c>
      <c r="K309">
        <v>9.1</v>
      </c>
      <c r="L309">
        <v>7200.94</v>
      </c>
      <c r="M309">
        <v>48111.28</v>
      </c>
      <c r="N309" t="s">
        <v>1161</v>
      </c>
      <c r="O309" t="s">
        <v>3442</v>
      </c>
      <c r="P309" t="s">
        <v>2440</v>
      </c>
      <c r="Q309" t="s">
        <v>2501</v>
      </c>
      <c r="R309" t="s">
        <v>3425</v>
      </c>
    </row>
    <row r="310" spans="1:19" x14ac:dyDescent="0.25">
      <c r="A310" t="s">
        <v>4081</v>
      </c>
      <c r="B310" t="s">
        <v>3360</v>
      </c>
      <c r="C310" t="s">
        <v>2746</v>
      </c>
      <c r="D310" t="s">
        <v>3088</v>
      </c>
      <c r="E310" t="s">
        <v>376</v>
      </c>
      <c r="F310" t="s">
        <v>353</v>
      </c>
      <c r="G310">
        <v>34</v>
      </c>
      <c r="H310">
        <v>34</v>
      </c>
      <c r="I310">
        <v>114.75</v>
      </c>
      <c r="J310">
        <v>3901.5</v>
      </c>
      <c r="K310">
        <v>8.1</v>
      </c>
      <c r="L310">
        <v>624.24</v>
      </c>
      <c r="M310">
        <v>4209.72</v>
      </c>
      <c r="N310" t="s">
        <v>1178</v>
      </c>
      <c r="O310" t="s">
        <v>3424</v>
      </c>
      <c r="P310" t="s">
        <v>2425</v>
      </c>
      <c r="Q310" t="s">
        <v>2568</v>
      </c>
      <c r="R310" t="s">
        <v>3425</v>
      </c>
    </row>
    <row r="311" spans="1:19" x14ac:dyDescent="0.25">
      <c r="A311" t="s">
        <v>4082</v>
      </c>
      <c r="B311" t="s">
        <v>4083</v>
      </c>
      <c r="C311" t="s">
        <v>3680</v>
      </c>
      <c r="D311" t="s">
        <v>2505</v>
      </c>
      <c r="E311" t="s">
        <v>237</v>
      </c>
      <c r="F311" t="s">
        <v>925</v>
      </c>
      <c r="G311">
        <v>76</v>
      </c>
      <c r="H311">
        <v>73</v>
      </c>
      <c r="I311">
        <v>183.52</v>
      </c>
      <c r="J311">
        <v>13947.52</v>
      </c>
      <c r="K311">
        <v>6.2</v>
      </c>
      <c r="L311">
        <v>2231.6</v>
      </c>
      <c r="M311">
        <v>15314.37</v>
      </c>
      <c r="N311" t="s">
        <v>1178</v>
      </c>
      <c r="O311" t="s">
        <v>1179</v>
      </c>
      <c r="P311" t="s">
        <v>2407</v>
      </c>
      <c r="Q311" t="s">
        <v>2541</v>
      </c>
      <c r="R311" t="s">
        <v>3425</v>
      </c>
      <c r="S311" t="s">
        <v>3509</v>
      </c>
    </row>
    <row r="312" spans="1:19" x14ac:dyDescent="0.25">
      <c r="A312" t="s">
        <v>4084</v>
      </c>
      <c r="B312" t="s">
        <v>2707</v>
      </c>
      <c r="C312" t="s">
        <v>3955</v>
      </c>
      <c r="D312" t="s">
        <v>3081</v>
      </c>
      <c r="E312" t="s">
        <v>162</v>
      </c>
      <c r="F312" t="s">
        <v>1081</v>
      </c>
      <c r="G312">
        <v>21</v>
      </c>
      <c r="H312">
        <v>18</v>
      </c>
      <c r="I312">
        <v>79.09</v>
      </c>
      <c r="J312">
        <v>1660.89</v>
      </c>
      <c r="K312">
        <v>0.9</v>
      </c>
      <c r="L312">
        <v>265.74</v>
      </c>
      <c r="M312">
        <v>1911.68</v>
      </c>
      <c r="N312" t="s">
        <v>1178</v>
      </c>
      <c r="O312" t="s">
        <v>3428</v>
      </c>
      <c r="P312" t="s">
        <v>2376</v>
      </c>
      <c r="Q312" t="s">
        <v>2564</v>
      </c>
      <c r="R312" t="s">
        <v>3425</v>
      </c>
      <c r="S312" t="s">
        <v>3426</v>
      </c>
    </row>
    <row r="313" spans="1:19" x14ac:dyDescent="0.25">
      <c r="A313" t="s">
        <v>4085</v>
      </c>
      <c r="B313" t="s">
        <v>3626</v>
      </c>
      <c r="C313" t="s">
        <v>3124</v>
      </c>
      <c r="D313" t="s">
        <v>2716</v>
      </c>
      <c r="E313" t="s">
        <v>32</v>
      </c>
      <c r="F313" t="s">
        <v>1101</v>
      </c>
      <c r="G313">
        <v>47</v>
      </c>
      <c r="H313">
        <v>42</v>
      </c>
      <c r="I313">
        <v>364.13</v>
      </c>
      <c r="J313">
        <v>17114.11</v>
      </c>
      <c r="K313">
        <v>9.1</v>
      </c>
      <c r="L313">
        <v>2738.26</v>
      </c>
      <c r="M313">
        <v>18294.990000000002</v>
      </c>
      <c r="N313" t="s">
        <v>1178</v>
      </c>
      <c r="O313" t="s">
        <v>3428</v>
      </c>
      <c r="P313" t="s">
        <v>2425</v>
      </c>
      <c r="Q313" t="s">
        <v>2564</v>
      </c>
      <c r="R313" t="s">
        <v>3437</v>
      </c>
      <c r="S313" t="s">
        <v>3426</v>
      </c>
    </row>
    <row r="314" spans="1:19" x14ac:dyDescent="0.25">
      <c r="A314" t="s">
        <v>4086</v>
      </c>
      <c r="B314" t="s">
        <v>4087</v>
      </c>
      <c r="C314" t="s">
        <v>4088</v>
      </c>
      <c r="D314" t="s">
        <v>4089</v>
      </c>
      <c r="E314" t="s">
        <v>212</v>
      </c>
      <c r="F314" t="s">
        <v>490</v>
      </c>
      <c r="G314">
        <v>98</v>
      </c>
      <c r="H314">
        <v>94</v>
      </c>
      <c r="I314">
        <v>270.08999999999997</v>
      </c>
      <c r="J314">
        <v>26468.82</v>
      </c>
      <c r="K314">
        <v>8.1999999999999993</v>
      </c>
      <c r="L314">
        <v>4235.01</v>
      </c>
      <c r="M314">
        <v>28533.39</v>
      </c>
      <c r="N314" t="s">
        <v>1178</v>
      </c>
      <c r="O314" t="s">
        <v>3442</v>
      </c>
      <c r="P314" t="s">
        <v>2425</v>
      </c>
      <c r="Q314" t="s">
        <v>2531</v>
      </c>
      <c r="R314" t="s">
        <v>3437</v>
      </c>
      <c r="S314" t="s">
        <v>3466</v>
      </c>
    </row>
    <row r="315" spans="1:19" x14ac:dyDescent="0.25">
      <c r="A315" t="s">
        <v>4090</v>
      </c>
      <c r="B315" t="s">
        <v>2945</v>
      </c>
      <c r="C315" t="s">
        <v>4039</v>
      </c>
      <c r="D315" t="s">
        <v>3209</v>
      </c>
      <c r="E315" t="s">
        <v>847</v>
      </c>
      <c r="F315" t="s">
        <v>626</v>
      </c>
      <c r="G315">
        <v>60</v>
      </c>
      <c r="H315">
        <v>57</v>
      </c>
      <c r="I315">
        <v>440.91</v>
      </c>
      <c r="J315">
        <v>26454.6</v>
      </c>
      <c r="K315">
        <v>7</v>
      </c>
      <c r="L315">
        <v>4232.74</v>
      </c>
      <c r="M315">
        <v>28835.52</v>
      </c>
      <c r="N315" t="s">
        <v>1189</v>
      </c>
      <c r="O315" t="s">
        <v>3442</v>
      </c>
      <c r="P315" t="s">
        <v>2398</v>
      </c>
      <c r="Q315" t="s">
        <v>2522</v>
      </c>
      <c r="R315" t="s">
        <v>3429</v>
      </c>
    </row>
    <row r="316" spans="1:19" x14ac:dyDescent="0.25">
      <c r="A316" t="s">
        <v>4091</v>
      </c>
      <c r="B316" t="s">
        <v>2303</v>
      </c>
      <c r="C316" t="s">
        <v>3075</v>
      </c>
      <c r="D316" t="s">
        <v>2772</v>
      </c>
      <c r="E316" t="s">
        <v>237</v>
      </c>
      <c r="F316" t="s">
        <v>576</v>
      </c>
      <c r="G316">
        <v>2</v>
      </c>
      <c r="H316">
        <v>1</v>
      </c>
      <c r="I316">
        <v>245.47</v>
      </c>
      <c r="J316">
        <v>490.94</v>
      </c>
      <c r="K316">
        <v>12.3</v>
      </c>
      <c r="L316">
        <v>78.55</v>
      </c>
      <c r="M316">
        <v>509.1</v>
      </c>
      <c r="N316" t="s">
        <v>1178</v>
      </c>
      <c r="O316" t="s">
        <v>3442</v>
      </c>
      <c r="P316" t="s">
        <v>2376</v>
      </c>
      <c r="Q316" t="s">
        <v>2527</v>
      </c>
      <c r="R316" t="s">
        <v>3437</v>
      </c>
    </row>
    <row r="317" spans="1:19" x14ac:dyDescent="0.25">
      <c r="A317" t="s">
        <v>4092</v>
      </c>
      <c r="B317" t="s">
        <v>3384</v>
      </c>
      <c r="C317" t="s">
        <v>3805</v>
      </c>
      <c r="D317" t="s">
        <v>3078</v>
      </c>
      <c r="E317" t="s">
        <v>1018</v>
      </c>
      <c r="F317" t="s">
        <v>540</v>
      </c>
      <c r="G317">
        <v>26</v>
      </c>
      <c r="H317">
        <v>25</v>
      </c>
      <c r="I317">
        <v>59.76</v>
      </c>
      <c r="J317">
        <v>1553.76</v>
      </c>
      <c r="K317">
        <v>5.9</v>
      </c>
      <c r="L317">
        <v>248.6</v>
      </c>
      <c r="M317">
        <v>1710.69</v>
      </c>
      <c r="N317" t="s">
        <v>1178</v>
      </c>
      <c r="O317" t="s">
        <v>3428</v>
      </c>
      <c r="P317" t="s">
        <v>2456</v>
      </c>
      <c r="Q317" t="s">
        <v>2564</v>
      </c>
      <c r="R317" t="s">
        <v>3437</v>
      </c>
      <c r="S317" t="s">
        <v>3443</v>
      </c>
    </row>
    <row r="318" spans="1:19" x14ac:dyDescent="0.25">
      <c r="A318" t="s">
        <v>4093</v>
      </c>
      <c r="B318" t="s">
        <v>2942</v>
      </c>
      <c r="C318" t="s">
        <v>2563</v>
      </c>
      <c r="D318" t="s">
        <v>2754</v>
      </c>
      <c r="E318" t="s">
        <v>423</v>
      </c>
      <c r="F318" t="s">
        <v>300</v>
      </c>
      <c r="G318">
        <v>63</v>
      </c>
      <c r="H318">
        <v>58</v>
      </c>
      <c r="I318">
        <v>486.09</v>
      </c>
      <c r="J318">
        <v>30623.67</v>
      </c>
      <c r="K318">
        <v>0.9</v>
      </c>
      <c r="L318">
        <v>4899.79</v>
      </c>
      <c r="M318">
        <v>35247.85</v>
      </c>
      <c r="N318" t="s">
        <v>1189</v>
      </c>
      <c r="O318" t="s">
        <v>3436</v>
      </c>
      <c r="P318" t="s">
        <v>2416</v>
      </c>
      <c r="Q318" t="s">
        <v>2495</v>
      </c>
      <c r="R318" t="s">
        <v>3425</v>
      </c>
      <c r="S318" t="s">
        <v>3466</v>
      </c>
    </row>
    <row r="319" spans="1:19" x14ac:dyDescent="0.25">
      <c r="A319" t="s">
        <v>4094</v>
      </c>
      <c r="B319" t="s">
        <v>4038</v>
      </c>
      <c r="C319" t="s">
        <v>2672</v>
      </c>
      <c r="D319" t="s">
        <v>2677</v>
      </c>
      <c r="E319" t="s">
        <v>74</v>
      </c>
      <c r="F319" t="s">
        <v>641</v>
      </c>
      <c r="G319">
        <v>63</v>
      </c>
      <c r="H319">
        <v>61</v>
      </c>
      <c r="I319">
        <v>55.84</v>
      </c>
      <c r="J319">
        <v>3517.92</v>
      </c>
      <c r="K319">
        <v>4.5999999999999996</v>
      </c>
      <c r="L319">
        <v>562.87</v>
      </c>
      <c r="M319">
        <v>3918.97</v>
      </c>
      <c r="N319" t="s">
        <v>1161</v>
      </c>
      <c r="O319" t="s">
        <v>3428</v>
      </c>
      <c r="P319" t="s">
        <v>2456</v>
      </c>
      <c r="Q319" t="s">
        <v>2491</v>
      </c>
      <c r="R319" t="s">
        <v>3425</v>
      </c>
      <c r="S319" t="s">
        <v>3509</v>
      </c>
    </row>
    <row r="320" spans="1:19" x14ac:dyDescent="0.25">
      <c r="A320" t="s">
        <v>4095</v>
      </c>
      <c r="B320" t="s">
        <v>2871</v>
      </c>
      <c r="C320" t="s">
        <v>3192</v>
      </c>
      <c r="D320" t="s">
        <v>2632</v>
      </c>
      <c r="E320" t="s">
        <v>245</v>
      </c>
      <c r="F320" t="s">
        <v>1041</v>
      </c>
      <c r="G320">
        <v>48</v>
      </c>
      <c r="H320">
        <v>48</v>
      </c>
      <c r="I320">
        <v>413.21</v>
      </c>
      <c r="J320">
        <v>19834.080000000002</v>
      </c>
      <c r="K320">
        <v>13</v>
      </c>
      <c r="L320">
        <v>3173.45</v>
      </c>
      <c r="M320">
        <v>20429.099999999999</v>
      </c>
      <c r="N320" t="s">
        <v>1178</v>
      </c>
      <c r="O320" t="s">
        <v>3428</v>
      </c>
      <c r="P320" t="s">
        <v>2425</v>
      </c>
      <c r="Q320" t="s">
        <v>2531</v>
      </c>
      <c r="R320" t="s">
        <v>3425</v>
      </c>
    </row>
    <row r="321" spans="1:19" x14ac:dyDescent="0.25">
      <c r="A321" t="s">
        <v>4096</v>
      </c>
      <c r="B321" t="s">
        <v>4097</v>
      </c>
      <c r="C321" t="s">
        <v>4098</v>
      </c>
      <c r="D321" t="s">
        <v>4099</v>
      </c>
      <c r="E321" t="s">
        <v>847</v>
      </c>
      <c r="F321" t="s">
        <v>995</v>
      </c>
      <c r="G321">
        <v>30</v>
      </c>
      <c r="H321">
        <v>26</v>
      </c>
      <c r="I321">
        <v>459.57</v>
      </c>
      <c r="J321">
        <v>13787.1</v>
      </c>
      <c r="K321">
        <v>13.5</v>
      </c>
      <c r="L321">
        <v>2205.94</v>
      </c>
      <c r="M321">
        <v>14131.78</v>
      </c>
      <c r="N321" t="s">
        <v>1178</v>
      </c>
      <c r="O321" t="s">
        <v>3436</v>
      </c>
      <c r="P321" t="s">
        <v>2425</v>
      </c>
      <c r="Q321" t="s">
        <v>2561</v>
      </c>
      <c r="R321" t="s">
        <v>3425</v>
      </c>
    </row>
    <row r="322" spans="1:19" x14ac:dyDescent="0.25">
      <c r="A322" t="s">
        <v>4100</v>
      </c>
      <c r="B322" t="s">
        <v>3921</v>
      </c>
      <c r="C322" t="s">
        <v>4097</v>
      </c>
      <c r="D322" t="s">
        <v>4101</v>
      </c>
      <c r="E322" t="s">
        <v>847</v>
      </c>
      <c r="F322" t="s">
        <v>920</v>
      </c>
      <c r="G322">
        <v>74</v>
      </c>
      <c r="H322">
        <v>73</v>
      </c>
      <c r="I322">
        <v>487.01</v>
      </c>
      <c r="J322">
        <v>36038.74</v>
      </c>
      <c r="K322">
        <v>3.4</v>
      </c>
      <c r="L322">
        <v>5766.2</v>
      </c>
      <c r="M322">
        <v>40579.620000000003</v>
      </c>
      <c r="N322" t="s">
        <v>1189</v>
      </c>
      <c r="O322" t="s">
        <v>3436</v>
      </c>
      <c r="P322" t="s">
        <v>2440</v>
      </c>
      <c r="Q322" t="s">
        <v>2475</v>
      </c>
      <c r="R322" t="s">
        <v>2633</v>
      </c>
    </row>
    <row r="323" spans="1:19" x14ac:dyDescent="0.25">
      <c r="A323" t="s">
        <v>4102</v>
      </c>
      <c r="B323" t="s">
        <v>3885</v>
      </c>
      <c r="C323" t="s">
        <v>4103</v>
      </c>
      <c r="D323" t="s">
        <v>3489</v>
      </c>
      <c r="E323" t="s">
        <v>231</v>
      </c>
      <c r="F323" t="s">
        <v>1076</v>
      </c>
      <c r="G323">
        <v>19</v>
      </c>
      <c r="H323">
        <v>14</v>
      </c>
      <c r="I323">
        <v>330.62</v>
      </c>
      <c r="J323">
        <v>6281.78</v>
      </c>
      <c r="K323">
        <v>1.2</v>
      </c>
      <c r="L323">
        <v>1005.08</v>
      </c>
      <c r="M323">
        <v>7211.48</v>
      </c>
      <c r="N323" t="s">
        <v>1178</v>
      </c>
      <c r="O323" t="s">
        <v>3442</v>
      </c>
      <c r="P323" t="s">
        <v>2440</v>
      </c>
      <c r="Q323" t="s">
        <v>2527</v>
      </c>
      <c r="R323" t="s">
        <v>3425</v>
      </c>
      <c r="S323" t="s">
        <v>3509</v>
      </c>
    </row>
    <row r="324" spans="1:19" x14ac:dyDescent="0.25">
      <c r="A324" t="s">
        <v>4104</v>
      </c>
      <c r="B324" t="s">
        <v>2663</v>
      </c>
      <c r="C324" t="s">
        <v>3462</v>
      </c>
      <c r="D324" t="s">
        <v>3533</v>
      </c>
      <c r="E324" t="s">
        <v>1435</v>
      </c>
      <c r="F324" t="s">
        <v>279</v>
      </c>
      <c r="G324">
        <v>47</v>
      </c>
      <c r="H324">
        <v>47</v>
      </c>
      <c r="I324">
        <v>431.5</v>
      </c>
      <c r="J324">
        <v>20280.5</v>
      </c>
      <c r="K324">
        <v>0.9</v>
      </c>
      <c r="L324">
        <v>3244.88</v>
      </c>
      <c r="M324">
        <v>23342.86</v>
      </c>
      <c r="N324" t="s">
        <v>1178</v>
      </c>
      <c r="O324" t="s">
        <v>1179</v>
      </c>
      <c r="P324" t="s">
        <v>2456</v>
      </c>
      <c r="Q324" t="s">
        <v>2538</v>
      </c>
      <c r="R324" t="s">
        <v>3425</v>
      </c>
      <c r="S324" t="s">
        <v>3509</v>
      </c>
    </row>
    <row r="325" spans="1:19" x14ac:dyDescent="0.25">
      <c r="A325" t="s">
        <v>4105</v>
      </c>
      <c r="B325" t="s">
        <v>3828</v>
      </c>
      <c r="C325" t="s">
        <v>3680</v>
      </c>
      <c r="D325" t="s">
        <v>3551</v>
      </c>
      <c r="E325" t="s">
        <v>847</v>
      </c>
      <c r="F325" t="s">
        <v>734</v>
      </c>
      <c r="G325">
        <v>41</v>
      </c>
      <c r="H325">
        <v>37</v>
      </c>
      <c r="I325">
        <v>322.14999999999998</v>
      </c>
      <c r="J325">
        <v>13208.15</v>
      </c>
      <c r="K325">
        <v>8</v>
      </c>
      <c r="L325">
        <v>2113.3000000000002</v>
      </c>
      <c r="M325">
        <v>14264.8</v>
      </c>
      <c r="N325" t="s">
        <v>1178</v>
      </c>
      <c r="O325" t="s">
        <v>1179</v>
      </c>
      <c r="P325" t="s">
        <v>2376</v>
      </c>
      <c r="Q325" t="s">
        <v>2564</v>
      </c>
      <c r="R325" t="s">
        <v>3425</v>
      </c>
      <c r="S325" t="s">
        <v>3509</v>
      </c>
    </row>
    <row r="326" spans="1:19" x14ac:dyDescent="0.25">
      <c r="A326" t="s">
        <v>4106</v>
      </c>
      <c r="B326" t="s">
        <v>4007</v>
      </c>
      <c r="C326" t="s">
        <v>4107</v>
      </c>
      <c r="D326" t="s">
        <v>3018</v>
      </c>
      <c r="E326" t="s">
        <v>225</v>
      </c>
      <c r="F326" t="s">
        <v>591</v>
      </c>
      <c r="G326">
        <v>55</v>
      </c>
      <c r="H326">
        <v>54</v>
      </c>
      <c r="I326">
        <v>365.29</v>
      </c>
      <c r="J326">
        <v>20090.95</v>
      </c>
      <c r="K326">
        <v>12.8</v>
      </c>
      <c r="L326">
        <v>3214.55</v>
      </c>
      <c r="M326">
        <v>20733.86</v>
      </c>
      <c r="N326" t="s">
        <v>1178</v>
      </c>
      <c r="O326" t="s">
        <v>3442</v>
      </c>
      <c r="P326" t="s">
        <v>2376</v>
      </c>
      <c r="Q326" t="s">
        <v>2554</v>
      </c>
      <c r="R326" t="s">
        <v>3429</v>
      </c>
    </row>
    <row r="327" spans="1:19" x14ac:dyDescent="0.25">
      <c r="A327" t="s">
        <v>4108</v>
      </c>
      <c r="B327" t="s">
        <v>3538</v>
      </c>
      <c r="C327" t="s">
        <v>3602</v>
      </c>
      <c r="D327" t="s">
        <v>4109</v>
      </c>
      <c r="E327" t="s">
        <v>558</v>
      </c>
      <c r="F327" t="s">
        <v>708</v>
      </c>
      <c r="G327">
        <v>100</v>
      </c>
      <c r="H327">
        <v>99</v>
      </c>
      <c r="I327">
        <v>459.41</v>
      </c>
      <c r="J327">
        <v>45941</v>
      </c>
      <c r="K327">
        <v>2.2000000000000002</v>
      </c>
      <c r="L327">
        <v>7350.56</v>
      </c>
      <c r="M327">
        <v>52280.86</v>
      </c>
      <c r="N327" t="s">
        <v>1161</v>
      </c>
      <c r="O327" t="s">
        <v>3428</v>
      </c>
      <c r="P327" t="s">
        <v>2425</v>
      </c>
      <c r="Q327" t="s">
        <v>2491</v>
      </c>
      <c r="R327" t="s">
        <v>3434</v>
      </c>
      <c r="S327" t="s">
        <v>3466</v>
      </c>
    </row>
    <row r="328" spans="1:19" x14ac:dyDescent="0.25">
      <c r="A328" t="s">
        <v>4110</v>
      </c>
      <c r="B328" t="s">
        <v>3568</v>
      </c>
      <c r="C328" t="s">
        <v>4010</v>
      </c>
      <c r="D328" t="s">
        <v>3432</v>
      </c>
      <c r="E328" t="s">
        <v>1018</v>
      </c>
      <c r="F328" t="s">
        <v>353</v>
      </c>
      <c r="G328">
        <v>91</v>
      </c>
      <c r="H328">
        <v>91</v>
      </c>
      <c r="I328">
        <v>322.94</v>
      </c>
      <c r="J328">
        <v>29387.54</v>
      </c>
      <c r="K328">
        <v>4.3</v>
      </c>
      <c r="L328">
        <v>4702.01</v>
      </c>
      <c r="M328">
        <v>32825.89</v>
      </c>
      <c r="N328" t="s">
        <v>1178</v>
      </c>
      <c r="O328" t="s">
        <v>3442</v>
      </c>
      <c r="P328" t="s">
        <v>2425</v>
      </c>
      <c r="Q328" t="s">
        <v>2544</v>
      </c>
      <c r="R328" t="s">
        <v>3437</v>
      </c>
      <c r="S328" t="s">
        <v>3426</v>
      </c>
    </row>
    <row r="329" spans="1:19" x14ac:dyDescent="0.25">
      <c r="A329" t="s">
        <v>4111</v>
      </c>
      <c r="B329" t="s">
        <v>2879</v>
      </c>
      <c r="C329" t="s">
        <v>3164</v>
      </c>
      <c r="D329" t="s">
        <v>3514</v>
      </c>
      <c r="E329" t="s">
        <v>45</v>
      </c>
      <c r="F329" t="s">
        <v>510</v>
      </c>
      <c r="G329">
        <v>93</v>
      </c>
      <c r="H329">
        <v>90</v>
      </c>
      <c r="I329">
        <v>218.76</v>
      </c>
      <c r="J329">
        <v>20344.68</v>
      </c>
      <c r="K329">
        <v>0.4</v>
      </c>
      <c r="L329">
        <v>3255.15</v>
      </c>
      <c r="M329">
        <v>23518.45</v>
      </c>
      <c r="N329" t="s">
        <v>1178</v>
      </c>
      <c r="O329" t="s">
        <v>1179</v>
      </c>
      <c r="P329" t="s">
        <v>2456</v>
      </c>
      <c r="Q329" t="s">
        <v>2568</v>
      </c>
      <c r="R329" t="s">
        <v>3425</v>
      </c>
      <c r="S329" t="s">
        <v>3509</v>
      </c>
    </row>
    <row r="330" spans="1:19" x14ac:dyDescent="0.25">
      <c r="A330" t="s">
        <v>4112</v>
      </c>
      <c r="B330" t="s">
        <v>2641</v>
      </c>
      <c r="C330" t="s">
        <v>2697</v>
      </c>
      <c r="D330" t="s">
        <v>1989</v>
      </c>
      <c r="E330" t="s">
        <v>847</v>
      </c>
      <c r="F330" t="s">
        <v>834</v>
      </c>
      <c r="G330">
        <v>97</v>
      </c>
      <c r="H330">
        <v>97</v>
      </c>
      <c r="I330">
        <v>305.83999999999997</v>
      </c>
      <c r="J330">
        <v>29666.48</v>
      </c>
      <c r="K330">
        <v>13.2</v>
      </c>
      <c r="L330">
        <v>4746.6400000000003</v>
      </c>
      <c r="M330">
        <v>30497.14</v>
      </c>
      <c r="N330" t="s">
        <v>1178</v>
      </c>
      <c r="O330" t="s">
        <v>3424</v>
      </c>
      <c r="P330" t="s">
        <v>2398</v>
      </c>
      <c r="Q330" t="s">
        <v>2491</v>
      </c>
      <c r="R330" t="s">
        <v>3425</v>
      </c>
    </row>
    <row r="331" spans="1:19" x14ac:dyDescent="0.25">
      <c r="A331" t="s">
        <v>4113</v>
      </c>
      <c r="B331" t="s">
        <v>3717</v>
      </c>
      <c r="C331" t="s">
        <v>3582</v>
      </c>
      <c r="D331" t="s">
        <v>2918</v>
      </c>
      <c r="E331" t="s">
        <v>82</v>
      </c>
      <c r="F331" t="s">
        <v>1081</v>
      </c>
      <c r="G331">
        <v>47</v>
      </c>
      <c r="H331">
        <v>47</v>
      </c>
      <c r="I331">
        <v>487.54</v>
      </c>
      <c r="J331">
        <v>22914.38</v>
      </c>
      <c r="K331">
        <v>5.0999999999999996</v>
      </c>
      <c r="L331">
        <v>3666.3</v>
      </c>
      <c r="M331">
        <v>25412.05</v>
      </c>
      <c r="N331" t="s">
        <v>1189</v>
      </c>
      <c r="O331" t="s">
        <v>3428</v>
      </c>
      <c r="P331" t="s">
        <v>2449</v>
      </c>
      <c r="Q331" t="s">
        <v>2481</v>
      </c>
      <c r="R331" t="s">
        <v>3429</v>
      </c>
      <c r="S331" t="s">
        <v>3443</v>
      </c>
    </row>
    <row r="332" spans="1:19" x14ac:dyDescent="0.25">
      <c r="A332" t="s">
        <v>4114</v>
      </c>
      <c r="B332" t="s">
        <v>3721</v>
      </c>
      <c r="C332" t="s">
        <v>2918</v>
      </c>
      <c r="D332" t="s">
        <v>2692</v>
      </c>
      <c r="E332" t="s">
        <v>1429</v>
      </c>
      <c r="F332" t="s">
        <v>295</v>
      </c>
      <c r="G332">
        <v>71</v>
      </c>
      <c r="H332">
        <v>69</v>
      </c>
      <c r="I332">
        <v>420.28</v>
      </c>
      <c r="J332">
        <v>29839.88</v>
      </c>
      <c r="K332">
        <v>12.2</v>
      </c>
      <c r="L332">
        <v>4774.38</v>
      </c>
      <c r="M332">
        <v>30973.79</v>
      </c>
      <c r="N332" t="s">
        <v>1178</v>
      </c>
      <c r="O332" t="s">
        <v>3424</v>
      </c>
      <c r="P332" t="s">
        <v>2376</v>
      </c>
      <c r="Q332" t="s">
        <v>2554</v>
      </c>
      <c r="R332" t="s">
        <v>3425</v>
      </c>
    </row>
    <row r="333" spans="1:19" x14ac:dyDescent="0.25">
      <c r="A333" t="s">
        <v>4115</v>
      </c>
      <c r="B333" t="s">
        <v>3868</v>
      </c>
      <c r="C333" t="s">
        <v>3723</v>
      </c>
      <c r="D333" t="s">
        <v>4116</v>
      </c>
      <c r="E333" t="s">
        <v>1410</v>
      </c>
      <c r="F333" t="s">
        <v>1005</v>
      </c>
      <c r="G333">
        <v>29</v>
      </c>
      <c r="H333">
        <v>28</v>
      </c>
      <c r="I333">
        <v>265.41000000000003</v>
      </c>
      <c r="J333">
        <v>7696.89</v>
      </c>
      <c r="K333">
        <v>0.6</v>
      </c>
      <c r="L333">
        <v>1231.5</v>
      </c>
      <c r="M333">
        <v>8882.2099999999991</v>
      </c>
      <c r="N333" t="s">
        <v>1161</v>
      </c>
      <c r="O333" t="s">
        <v>1179</v>
      </c>
      <c r="P333" t="s">
        <v>2425</v>
      </c>
      <c r="Q333" t="s">
        <v>2527</v>
      </c>
      <c r="R333" t="s">
        <v>3429</v>
      </c>
    </row>
    <row r="334" spans="1:19" x14ac:dyDescent="0.25">
      <c r="A334" t="s">
        <v>4117</v>
      </c>
      <c r="B334" t="s">
        <v>3552</v>
      </c>
      <c r="C334" t="s">
        <v>3863</v>
      </c>
      <c r="D334" t="s">
        <v>3677</v>
      </c>
      <c r="E334" t="s">
        <v>324</v>
      </c>
      <c r="F334" t="s">
        <v>1091</v>
      </c>
      <c r="G334">
        <v>38</v>
      </c>
      <c r="H334">
        <v>38</v>
      </c>
      <c r="I334">
        <v>271.5</v>
      </c>
      <c r="J334">
        <v>10317</v>
      </c>
      <c r="K334">
        <v>10</v>
      </c>
      <c r="L334">
        <v>1650.72</v>
      </c>
      <c r="M334">
        <v>10936.02</v>
      </c>
      <c r="N334" t="s">
        <v>1178</v>
      </c>
      <c r="O334" t="s">
        <v>3424</v>
      </c>
      <c r="P334" t="s">
        <v>2456</v>
      </c>
      <c r="Q334" t="s">
        <v>2481</v>
      </c>
      <c r="R334" t="s">
        <v>3425</v>
      </c>
    </row>
    <row r="335" spans="1:19" x14ac:dyDescent="0.25">
      <c r="A335" t="s">
        <v>4118</v>
      </c>
      <c r="B335" t="s">
        <v>2957</v>
      </c>
      <c r="C335" t="s">
        <v>3719</v>
      </c>
      <c r="D335" t="s">
        <v>2218</v>
      </c>
      <c r="E335" t="s">
        <v>32</v>
      </c>
      <c r="F335" t="s">
        <v>739</v>
      </c>
      <c r="G335">
        <v>1</v>
      </c>
      <c r="H335">
        <v>0</v>
      </c>
      <c r="I335">
        <v>207.22</v>
      </c>
      <c r="J335">
        <v>207.22</v>
      </c>
      <c r="K335">
        <v>1.2</v>
      </c>
      <c r="L335">
        <v>33.159999999999997</v>
      </c>
      <c r="M335">
        <v>237.89</v>
      </c>
      <c r="N335" t="s">
        <v>1178</v>
      </c>
      <c r="O335" t="s">
        <v>3424</v>
      </c>
      <c r="P335" t="s">
        <v>2449</v>
      </c>
      <c r="Q335" t="s">
        <v>2475</v>
      </c>
      <c r="R335" t="s">
        <v>3434</v>
      </c>
      <c r="S335" t="s">
        <v>3509</v>
      </c>
    </row>
    <row r="336" spans="1:19" x14ac:dyDescent="0.25">
      <c r="A336" t="s">
        <v>4119</v>
      </c>
      <c r="B336" t="s">
        <v>3452</v>
      </c>
      <c r="C336" t="s">
        <v>4120</v>
      </c>
      <c r="D336" t="s">
        <v>3870</v>
      </c>
      <c r="E336" t="s">
        <v>287</v>
      </c>
      <c r="F336" t="s">
        <v>586</v>
      </c>
      <c r="G336">
        <v>66</v>
      </c>
      <c r="H336">
        <v>64</v>
      </c>
      <c r="I336">
        <v>224.79</v>
      </c>
      <c r="J336">
        <v>14836.14</v>
      </c>
      <c r="K336">
        <v>12.5</v>
      </c>
      <c r="L336">
        <v>2373.7800000000002</v>
      </c>
      <c r="M336">
        <v>15355.4</v>
      </c>
      <c r="N336" t="s">
        <v>1178</v>
      </c>
      <c r="O336" t="s">
        <v>1179</v>
      </c>
      <c r="P336" t="s">
        <v>2416</v>
      </c>
      <c r="Q336" t="s">
        <v>2527</v>
      </c>
      <c r="R336" t="s">
        <v>3425</v>
      </c>
      <c r="S336" t="s">
        <v>3509</v>
      </c>
    </row>
    <row r="337" spans="1:19" x14ac:dyDescent="0.25">
      <c r="A337" t="s">
        <v>4121</v>
      </c>
      <c r="B337" t="s">
        <v>3775</v>
      </c>
      <c r="C337" t="s">
        <v>4122</v>
      </c>
      <c r="D337" t="s">
        <v>4016</v>
      </c>
      <c r="E337" t="s">
        <v>218</v>
      </c>
      <c r="F337" t="s">
        <v>95</v>
      </c>
      <c r="G337">
        <v>58</v>
      </c>
      <c r="H337">
        <v>57</v>
      </c>
      <c r="I337">
        <v>321.52</v>
      </c>
      <c r="J337">
        <v>18648.16</v>
      </c>
      <c r="K337">
        <v>9.8000000000000007</v>
      </c>
      <c r="L337">
        <v>2983.71</v>
      </c>
      <c r="M337">
        <v>19804.349999999999</v>
      </c>
      <c r="N337" t="s">
        <v>1178</v>
      </c>
      <c r="O337" t="s">
        <v>3442</v>
      </c>
      <c r="P337" t="s">
        <v>2432</v>
      </c>
      <c r="Q337" t="s">
        <v>2491</v>
      </c>
      <c r="R337" t="s">
        <v>3425</v>
      </c>
    </row>
    <row r="338" spans="1:19" x14ac:dyDescent="0.25">
      <c r="A338" t="s">
        <v>4123</v>
      </c>
      <c r="B338" t="s">
        <v>4078</v>
      </c>
      <c r="C338" t="s">
        <v>4124</v>
      </c>
      <c r="D338" t="s">
        <v>3676</v>
      </c>
      <c r="E338" t="s">
        <v>1455</v>
      </c>
      <c r="F338" t="s">
        <v>839</v>
      </c>
      <c r="G338">
        <v>95</v>
      </c>
      <c r="H338">
        <v>93</v>
      </c>
      <c r="I338">
        <v>386.27</v>
      </c>
      <c r="J338">
        <v>36695.65</v>
      </c>
      <c r="K338">
        <v>12.5</v>
      </c>
      <c r="L338">
        <v>5871.3</v>
      </c>
      <c r="M338">
        <v>37979.99</v>
      </c>
      <c r="N338" t="s">
        <v>1178</v>
      </c>
      <c r="O338" t="s">
        <v>3428</v>
      </c>
      <c r="P338" t="s">
        <v>2376</v>
      </c>
      <c r="Q338" t="s">
        <v>2554</v>
      </c>
      <c r="R338" t="s">
        <v>3425</v>
      </c>
      <c r="S338" t="s">
        <v>3509</v>
      </c>
    </row>
    <row r="339" spans="1:19" x14ac:dyDescent="0.25">
      <c r="A339" t="s">
        <v>4125</v>
      </c>
      <c r="B339" t="s">
        <v>2914</v>
      </c>
      <c r="C339" t="s">
        <v>3074</v>
      </c>
      <c r="D339" t="s">
        <v>2700</v>
      </c>
      <c r="E339" t="s">
        <v>74</v>
      </c>
      <c r="F339" t="s">
        <v>764</v>
      </c>
      <c r="G339">
        <v>4</v>
      </c>
      <c r="H339">
        <v>1</v>
      </c>
      <c r="I339">
        <v>189.46</v>
      </c>
      <c r="J339">
        <v>757.84</v>
      </c>
      <c r="K339">
        <v>3.2</v>
      </c>
      <c r="L339">
        <v>121.25</v>
      </c>
      <c r="M339">
        <v>854.84</v>
      </c>
      <c r="N339" t="s">
        <v>1189</v>
      </c>
      <c r="O339" t="s">
        <v>1179</v>
      </c>
      <c r="P339" t="s">
        <v>2440</v>
      </c>
      <c r="Q339" t="s">
        <v>2527</v>
      </c>
      <c r="R339" t="s">
        <v>3425</v>
      </c>
      <c r="S339" t="s">
        <v>3466</v>
      </c>
    </row>
    <row r="340" spans="1:19" x14ac:dyDescent="0.25">
      <c r="A340" t="s">
        <v>4126</v>
      </c>
      <c r="B340" t="s">
        <v>3988</v>
      </c>
      <c r="C340" t="s">
        <v>3914</v>
      </c>
      <c r="D340" t="s">
        <v>2961</v>
      </c>
      <c r="E340" t="s">
        <v>121</v>
      </c>
      <c r="F340" t="s">
        <v>829</v>
      </c>
      <c r="G340">
        <v>77</v>
      </c>
      <c r="H340">
        <v>77</v>
      </c>
      <c r="I340">
        <v>178.4</v>
      </c>
      <c r="J340">
        <v>13736.8</v>
      </c>
      <c r="K340">
        <v>14.8</v>
      </c>
      <c r="L340">
        <v>2197.89</v>
      </c>
      <c r="M340">
        <v>13901.64</v>
      </c>
      <c r="N340" t="s">
        <v>1178</v>
      </c>
      <c r="O340" t="s">
        <v>3442</v>
      </c>
      <c r="P340" t="s">
        <v>2456</v>
      </c>
      <c r="Q340" t="s">
        <v>2481</v>
      </c>
      <c r="R340" t="s">
        <v>3425</v>
      </c>
      <c r="S340" t="s">
        <v>3509</v>
      </c>
    </row>
    <row r="341" spans="1:19" x14ac:dyDescent="0.25">
      <c r="A341" t="s">
        <v>4127</v>
      </c>
      <c r="B341" t="s">
        <v>3399</v>
      </c>
      <c r="C341" t="s">
        <v>4128</v>
      </c>
      <c r="D341" t="s">
        <v>4039</v>
      </c>
      <c r="E341" t="s">
        <v>195</v>
      </c>
      <c r="F341" t="s">
        <v>495</v>
      </c>
      <c r="G341">
        <v>57</v>
      </c>
      <c r="H341">
        <v>55</v>
      </c>
      <c r="I341">
        <v>221.64</v>
      </c>
      <c r="J341">
        <v>12633.48</v>
      </c>
      <c r="K341">
        <v>8.5</v>
      </c>
      <c r="L341">
        <v>2021.36</v>
      </c>
      <c r="M341">
        <v>13580.99</v>
      </c>
      <c r="N341" t="s">
        <v>1178</v>
      </c>
      <c r="O341" t="s">
        <v>3424</v>
      </c>
      <c r="P341" t="s">
        <v>2432</v>
      </c>
      <c r="Q341" t="s">
        <v>2564</v>
      </c>
      <c r="R341" t="s">
        <v>2633</v>
      </c>
    </row>
    <row r="342" spans="1:19" x14ac:dyDescent="0.25">
      <c r="A342" t="s">
        <v>4129</v>
      </c>
      <c r="B342" t="s">
        <v>3499</v>
      </c>
      <c r="C342" t="s">
        <v>2796</v>
      </c>
      <c r="D342" t="s">
        <v>2277</v>
      </c>
      <c r="E342" t="s">
        <v>1018</v>
      </c>
      <c r="F342" t="s">
        <v>641</v>
      </c>
      <c r="G342">
        <v>84</v>
      </c>
      <c r="H342">
        <v>82</v>
      </c>
      <c r="I342">
        <v>60.08</v>
      </c>
      <c r="J342">
        <v>5046.72</v>
      </c>
      <c r="K342">
        <v>11.6</v>
      </c>
      <c r="L342">
        <v>807.48</v>
      </c>
      <c r="M342">
        <v>5268.78</v>
      </c>
      <c r="N342" t="s">
        <v>1189</v>
      </c>
      <c r="O342" t="s">
        <v>3424</v>
      </c>
      <c r="P342" t="s">
        <v>2388</v>
      </c>
      <c r="Q342" t="s">
        <v>2554</v>
      </c>
      <c r="R342" t="s">
        <v>3425</v>
      </c>
      <c r="S342" t="s">
        <v>3466</v>
      </c>
    </row>
    <row r="343" spans="1:19" x14ac:dyDescent="0.25">
      <c r="A343" t="s">
        <v>4130</v>
      </c>
      <c r="B343" t="s">
        <v>4131</v>
      </c>
      <c r="C343" t="s">
        <v>3766</v>
      </c>
      <c r="D343" t="s">
        <v>3982</v>
      </c>
      <c r="E343" t="s">
        <v>376</v>
      </c>
      <c r="F343" t="s">
        <v>62</v>
      </c>
      <c r="G343">
        <v>15</v>
      </c>
      <c r="H343">
        <v>13</v>
      </c>
      <c r="I343">
        <v>88.74</v>
      </c>
      <c r="J343">
        <v>1331.1</v>
      </c>
      <c r="K343">
        <v>3.5</v>
      </c>
      <c r="L343">
        <v>212.98</v>
      </c>
      <c r="M343">
        <v>1497.49</v>
      </c>
      <c r="N343" t="s">
        <v>1178</v>
      </c>
      <c r="O343" t="s">
        <v>3436</v>
      </c>
      <c r="P343" t="s">
        <v>2440</v>
      </c>
      <c r="Q343" t="s">
        <v>2486</v>
      </c>
      <c r="R343" t="s">
        <v>3425</v>
      </c>
    </row>
    <row r="344" spans="1:19" x14ac:dyDescent="0.25">
      <c r="A344" t="s">
        <v>4132</v>
      </c>
      <c r="B344" t="s">
        <v>4133</v>
      </c>
      <c r="C344" t="s">
        <v>2817</v>
      </c>
      <c r="D344" t="s">
        <v>3910</v>
      </c>
      <c r="E344" t="s">
        <v>156</v>
      </c>
      <c r="F344" t="s">
        <v>616</v>
      </c>
      <c r="G344">
        <v>87</v>
      </c>
      <c r="H344">
        <v>86</v>
      </c>
      <c r="I344">
        <v>219.84</v>
      </c>
      <c r="J344">
        <v>19126.080000000002</v>
      </c>
      <c r="K344">
        <v>0.6</v>
      </c>
      <c r="L344">
        <v>3060.17</v>
      </c>
      <c r="M344">
        <v>22071.49</v>
      </c>
      <c r="N344" t="s">
        <v>1178</v>
      </c>
      <c r="O344" t="s">
        <v>3436</v>
      </c>
      <c r="P344" t="s">
        <v>2376</v>
      </c>
      <c r="Q344" t="s">
        <v>2558</v>
      </c>
      <c r="R344" t="s">
        <v>3425</v>
      </c>
      <c r="S344" t="s">
        <v>3509</v>
      </c>
    </row>
    <row r="345" spans="1:19" x14ac:dyDescent="0.25">
      <c r="A345" t="s">
        <v>4134</v>
      </c>
      <c r="B345" t="s">
        <v>2849</v>
      </c>
      <c r="C345" t="s">
        <v>3650</v>
      </c>
      <c r="D345" t="s">
        <v>2781</v>
      </c>
      <c r="E345" t="s">
        <v>1435</v>
      </c>
      <c r="F345" t="s">
        <v>468</v>
      </c>
      <c r="G345">
        <v>93</v>
      </c>
      <c r="H345">
        <v>92</v>
      </c>
      <c r="I345">
        <v>265.63</v>
      </c>
      <c r="J345">
        <v>24703.59</v>
      </c>
      <c r="K345">
        <v>12</v>
      </c>
      <c r="L345">
        <v>3952.57</v>
      </c>
      <c r="M345">
        <v>25691.73</v>
      </c>
      <c r="N345" t="s">
        <v>1178</v>
      </c>
      <c r="O345" t="s">
        <v>3428</v>
      </c>
      <c r="P345" t="s">
        <v>2376</v>
      </c>
      <c r="Q345" t="s">
        <v>2554</v>
      </c>
      <c r="R345" t="s">
        <v>3425</v>
      </c>
      <c r="S345" t="s">
        <v>3443</v>
      </c>
    </row>
    <row r="346" spans="1:19" x14ac:dyDescent="0.25">
      <c r="A346" t="s">
        <v>4135</v>
      </c>
      <c r="B346" t="s">
        <v>3672</v>
      </c>
      <c r="C346" t="s">
        <v>3751</v>
      </c>
      <c r="D346" t="s">
        <v>3454</v>
      </c>
      <c r="E346" t="s">
        <v>287</v>
      </c>
      <c r="F346" t="s">
        <v>1010</v>
      </c>
      <c r="G346">
        <v>63</v>
      </c>
      <c r="H346">
        <v>61</v>
      </c>
      <c r="I346">
        <v>406.38</v>
      </c>
      <c r="J346">
        <v>25601.94</v>
      </c>
      <c r="K346">
        <v>10.7</v>
      </c>
      <c r="L346">
        <v>4096.3100000000004</v>
      </c>
      <c r="M346">
        <v>26958.84</v>
      </c>
      <c r="N346" t="s">
        <v>1178</v>
      </c>
      <c r="O346" t="s">
        <v>3436</v>
      </c>
      <c r="P346" t="s">
        <v>2425</v>
      </c>
      <c r="Q346" t="s">
        <v>2535</v>
      </c>
      <c r="R346" t="s">
        <v>3437</v>
      </c>
    </row>
    <row r="347" spans="1:19" x14ac:dyDescent="0.25">
      <c r="A347" t="s">
        <v>4136</v>
      </c>
      <c r="B347" t="s">
        <v>4137</v>
      </c>
      <c r="C347" t="s">
        <v>3157</v>
      </c>
      <c r="D347" t="s">
        <v>2707</v>
      </c>
      <c r="E347" t="s">
        <v>558</v>
      </c>
      <c r="F347" t="s">
        <v>955</v>
      </c>
      <c r="G347">
        <v>48</v>
      </c>
      <c r="H347">
        <v>45</v>
      </c>
      <c r="I347">
        <v>376.79</v>
      </c>
      <c r="J347">
        <v>18085.919999999998</v>
      </c>
      <c r="K347">
        <v>8.1</v>
      </c>
      <c r="L347">
        <v>2893.75</v>
      </c>
      <c r="M347">
        <v>19514.71</v>
      </c>
      <c r="N347" t="s">
        <v>1178</v>
      </c>
      <c r="O347" t="s">
        <v>3436</v>
      </c>
      <c r="P347" t="s">
        <v>2432</v>
      </c>
      <c r="Q347" t="s">
        <v>2525</v>
      </c>
      <c r="R347" t="s">
        <v>3437</v>
      </c>
      <c r="S347" t="s">
        <v>3426</v>
      </c>
    </row>
    <row r="348" spans="1:19" x14ac:dyDescent="0.25">
      <c r="A348" t="s">
        <v>4138</v>
      </c>
      <c r="B348" t="s">
        <v>3519</v>
      </c>
      <c r="C348" t="s">
        <v>4139</v>
      </c>
      <c r="D348" t="s">
        <v>4103</v>
      </c>
      <c r="E348" t="s">
        <v>1461</v>
      </c>
      <c r="F348" t="s">
        <v>479</v>
      </c>
      <c r="G348">
        <v>19</v>
      </c>
      <c r="H348">
        <v>17</v>
      </c>
      <c r="I348">
        <v>416.4</v>
      </c>
      <c r="J348">
        <v>7911.6</v>
      </c>
      <c r="K348">
        <v>11.3</v>
      </c>
      <c r="L348">
        <v>1265.8599999999999</v>
      </c>
      <c r="M348">
        <v>8283.4500000000007</v>
      </c>
      <c r="N348" t="s">
        <v>1189</v>
      </c>
      <c r="O348" t="s">
        <v>3442</v>
      </c>
      <c r="P348" t="s">
        <v>2456</v>
      </c>
      <c r="Q348" t="s">
        <v>2515</v>
      </c>
      <c r="R348" t="s">
        <v>3425</v>
      </c>
      <c r="S348" t="s">
        <v>3426</v>
      </c>
    </row>
    <row r="349" spans="1:19" x14ac:dyDescent="0.25">
      <c r="A349" t="s">
        <v>4140</v>
      </c>
      <c r="B349" t="s">
        <v>3824</v>
      </c>
      <c r="C349" t="s">
        <v>3943</v>
      </c>
      <c r="D349" t="s">
        <v>3896</v>
      </c>
      <c r="E349" t="s">
        <v>177</v>
      </c>
      <c r="F349" t="s">
        <v>940</v>
      </c>
      <c r="G349">
        <v>60</v>
      </c>
      <c r="H349">
        <v>58</v>
      </c>
      <c r="I349">
        <v>252.85</v>
      </c>
      <c r="J349">
        <v>15171</v>
      </c>
      <c r="K349">
        <v>8.1</v>
      </c>
      <c r="L349">
        <v>2427.36</v>
      </c>
      <c r="M349">
        <v>16369.51</v>
      </c>
      <c r="N349" t="s">
        <v>1161</v>
      </c>
      <c r="O349" t="s">
        <v>3424</v>
      </c>
      <c r="P349" t="s">
        <v>2456</v>
      </c>
      <c r="Q349" t="s">
        <v>2522</v>
      </c>
      <c r="R349" t="s">
        <v>3425</v>
      </c>
    </row>
    <row r="350" spans="1:19" x14ac:dyDescent="0.25">
      <c r="A350" t="s">
        <v>4141</v>
      </c>
      <c r="B350" t="s">
        <v>4142</v>
      </c>
      <c r="C350" t="s">
        <v>3637</v>
      </c>
      <c r="D350" t="s">
        <v>3132</v>
      </c>
      <c r="E350" t="s">
        <v>74</v>
      </c>
      <c r="F350" t="s">
        <v>1000</v>
      </c>
      <c r="G350">
        <v>51</v>
      </c>
      <c r="H350">
        <v>51</v>
      </c>
      <c r="I350">
        <v>86.78</v>
      </c>
      <c r="J350">
        <v>4425.78</v>
      </c>
      <c r="K350">
        <v>6.3</v>
      </c>
      <c r="L350">
        <v>708.12</v>
      </c>
      <c r="M350">
        <v>4855.08</v>
      </c>
      <c r="N350" t="s">
        <v>1161</v>
      </c>
      <c r="O350" t="s">
        <v>3442</v>
      </c>
      <c r="P350" t="s">
        <v>2456</v>
      </c>
      <c r="Q350" t="s">
        <v>2475</v>
      </c>
      <c r="R350" t="s">
        <v>3434</v>
      </c>
    </row>
    <row r="351" spans="1:19" x14ac:dyDescent="0.25">
      <c r="A351" t="s">
        <v>4143</v>
      </c>
      <c r="B351" t="s">
        <v>3960</v>
      </c>
      <c r="C351" t="s">
        <v>2958</v>
      </c>
      <c r="D351" t="s">
        <v>3127</v>
      </c>
      <c r="E351" t="s">
        <v>1448</v>
      </c>
      <c r="F351" t="s">
        <v>395</v>
      </c>
      <c r="G351">
        <v>88</v>
      </c>
      <c r="H351">
        <v>86</v>
      </c>
      <c r="I351">
        <v>369.39</v>
      </c>
      <c r="J351">
        <v>32506.32</v>
      </c>
      <c r="K351">
        <v>5</v>
      </c>
      <c r="L351">
        <v>5201.01</v>
      </c>
      <c r="M351">
        <v>36082.01</v>
      </c>
      <c r="N351" t="s">
        <v>1161</v>
      </c>
      <c r="O351" t="s">
        <v>3428</v>
      </c>
      <c r="P351" t="s">
        <v>2449</v>
      </c>
      <c r="Q351" t="s">
        <v>2558</v>
      </c>
      <c r="R351" t="s">
        <v>3429</v>
      </c>
    </row>
    <row r="352" spans="1:19" x14ac:dyDescent="0.25">
      <c r="A352" t="s">
        <v>4144</v>
      </c>
      <c r="B352" t="s">
        <v>2942</v>
      </c>
      <c r="C352" t="s">
        <v>2736</v>
      </c>
      <c r="D352" t="s">
        <v>3132</v>
      </c>
      <c r="E352" t="s">
        <v>57</v>
      </c>
      <c r="F352" t="s">
        <v>555</v>
      </c>
      <c r="G352">
        <v>96</v>
      </c>
      <c r="H352">
        <v>91</v>
      </c>
      <c r="I352">
        <v>233.6</v>
      </c>
      <c r="J352">
        <v>22425.599999999999</v>
      </c>
      <c r="K352">
        <v>11.3</v>
      </c>
      <c r="L352">
        <v>3588.1</v>
      </c>
      <c r="M352">
        <v>23479.61</v>
      </c>
      <c r="N352" t="s">
        <v>1189</v>
      </c>
      <c r="O352" t="s">
        <v>3424</v>
      </c>
      <c r="P352" t="s">
        <v>2407</v>
      </c>
      <c r="Q352" t="s">
        <v>2561</v>
      </c>
      <c r="R352" t="s">
        <v>3425</v>
      </c>
    </row>
    <row r="353" spans="1:19" x14ac:dyDescent="0.25">
      <c r="A353" t="s">
        <v>4145</v>
      </c>
      <c r="B353" t="s">
        <v>3811</v>
      </c>
      <c r="C353" t="s">
        <v>3614</v>
      </c>
      <c r="D353" t="s">
        <v>3475</v>
      </c>
      <c r="E353" t="s">
        <v>212</v>
      </c>
      <c r="F353" t="s">
        <v>279</v>
      </c>
      <c r="G353">
        <v>10</v>
      </c>
      <c r="H353">
        <v>9</v>
      </c>
      <c r="I353">
        <v>362.72</v>
      </c>
      <c r="J353">
        <v>3627.2</v>
      </c>
      <c r="K353">
        <v>4.5999999999999996</v>
      </c>
      <c r="L353">
        <v>580.35</v>
      </c>
      <c r="M353">
        <v>4040.7</v>
      </c>
      <c r="N353" t="s">
        <v>1161</v>
      </c>
      <c r="O353" t="s">
        <v>3442</v>
      </c>
      <c r="P353" t="s">
        <v>2407</v>
      </c>
      <c r="Q353" t="s">
        <v>2475</v>
      </c>
      <c r="R353" t="s">
        <v>3425</v>
      </c>
    </row>
    <row r="354" spans="1:19" x14ac:dyDescent="0.25">
      <c r="A354" t="s">
        <v>4146</v>
      </c>
      <c r="B354" t="s">
        <v>3058</v>
      </c>
      <c r="C354" t="s">
        <v>3842</v>
      </c>
      <c r="D354" t="s">
        <v>3114</v>
      </c>
      <c r="E354" t="s">
        <v>162</v>
      </c>
      <c r="F354" t="s">
        <v>248</v>
      </c>
      <c r="G354">
        <v>27</v>
      </c>
      <c r="H354">
        <v>24</v>
      </c>
      <c r="I354">
        <v>133.57</v>
      </c>
      <c r="J354">
        <v>3606.39</v>
      </c>
      <c r="K354">
        <v>11.6</v>
      </c>
      <c r="L354">
        <v>577.02</v>
      </c>
      <c r="M354">
        <v>3765.07</v>
      </c>
      <c r="N354" t="s">
        <v>1178</v>
      </c>
      <c r="O354" t="s">
        <v>3428</v>
      </c>
      <c r="P354" t="s">
        <v>2425</v>
      </c>
      <c r="Q354" t="s">
        <v>2558</v>
      </c>
      <c r="R354" t="s">
        <v>3429</v>
      </c>
    </row>
    <row r="355" spans="1:19" x14ac:dyDescent="0.25">
      <c r="A355" t="s">
        <v>4147</v>
      </c>
      <c r="B355" t="s">
        <v>3890</v>
      </c>
      <c r="C355" t="s">
        <v>3118</v>
      </c>
      <c r="D355" t="s">
        <v>2707</v>
      </c>
      <c r="E355" t="s">
        <v>1429</v>
      </c>
      <c r="F355" t="s">
        <v>875</v>
      </c>
      <c r="G355">
        <v>39</v>
      </c>
      <c r="H355">
        <v>35</v>
      </c>
      <c r="I355">
        <v>204.43</v>
      </c>
      <c r="J355">
        <v>7972.77</v>
      </c>
      <c r="K355">
        <v>5.6</v>
      </c>
      <c r="L355">
        <v>1275.6400000000001</v>
      </c>
      <c r="M355">
        <v>8801.93</v>
      </c>
      <c r="N355" t="s">
        <v>1189</v>
      </c>
      <c r="O355" t="s">
        <v>3436</v>
      </c>
      <c r="P355" t="s">
        <v>2456</v>
      </c>
      <c r="Q355" t="s">
        <v>2481</v>
      </c>
      <c r="R355" t="s">
        <v>3437</v>
      </c>
    </row>
    <row r="356" spans="1:19" x14ac:dyDescent="0.25">
      <c r="A356" t="s">
        <v>4148</v>
      </c>
      <c r="B356" t="s">
        <v>2687</v>
      </c>
      <c r="C356" t="s">
        <v>2985</v>
      </c>
      <c r="D356" t="s">
        <v>2980</v>
      </c>
      <c r="E356" t="s">
        <v>212</v>
      </c>
      <c r="F356" t="s">
        <v>515</v>
      </c>
      <c r="G356">
        <v>45</v>
      </c>
      <c r="H356">
        <v>42</v>
      </c>
      <c r="I356">
        <v>63.97</v>
      </c>
      <c r="J356">
        <v>2878.65</v>
      </c>
      <c r="K356">
        <v>10.5</v>
      </c>
      <c r="L356">
        <v>460.58</v>
      </c>
      <c r="M356">
        <v>3036.97</v>
      </c>
      <c r="N356" t="s">
        <v>1161</v>
      </c>
      <c r="O356" t="s">
        <v>3436</v>
      </c>
      <c r="P356" t="s">
        <v>2425</v>
      </c>
      <c r="Q356" t="s">
        <v>2558</v>
      </c>
      <c r="R356" t="s">
        <v>3437</v>
      </c>
    </row>
    <row r="357" spans="1:19" x14ac:dyDescent="0.25">
      <c r="A357" t="s">
        <v>4149</v>
      </c>
      <c r="B357" t="s">
        <v>3171</v>
      </c>
      <c r="C357" t="s">
        <v>2961</v>
      </c>
      <c r="D357" t="s">
        <v>3655</v>
      </c>
      <c r="E357" t="s">
        <v>231</v>
      </c>
      <c r="F357" t="s">
        <v>109</v>
      </c>
      <c r="G357">
        <v>63</v>
      </c>
      <c r="H357">
        <v>63</v>
      </c>
      <c r="I357">
        <v>391.57</v>
      </c>
      <c r="J357">
        <v>24668.91</v>
      </c>
      <c r="K357">
        <v>1.3</v>
      </c>
      <c r="L357">
        <v>3947.03</v>
      </c>
      <c r="M357">
        <v>28295.24</v>
      </c>
      <c r="N357" t="s">
        <v>1178</v>
      </c>
      <c r="O357" t="s">
        <v>3442</v>
      </c>
      <c r="P357" t="s">
        <v>2440</v>
      </c>
      <c r="Q357" t="s">
        <v>2527</v>
      </c>
      <c r="R357" t="s">
        <v>2633</v>
      </c>
    </row>
    <row r="358" spans="1:19" x14ac:dyDescent="0.25">
      <c r="A358" t="s">
        <v>4150</v>
      </c>
      <c r="B358" t="s">
        <v>4151</v>
      </c>
      <c r="C358" t="s">
        <v>3612</v>
      </c>
      <c r="D358" t="s">
        <v>4031</v>
      </c>
      <c r="E358" t="s">
        <v>66</v>
      </c>
      <c r="F358" t="s">
        <v>713</v>
      </c>
      <c r="G358">
        <v>5</v>
      </c>
      <c r="H358">
        <v>1</v>
      </c>
      <c r="I358">
        <v>195.29</v>
      </c>
      <c r="J358">
        <v>976.45</v>
      </c>
      <c r="K358">
        <v>8.3000000000000007</v>
      </c>
      <c r="L358">
        <v>156.22999999999999</v>
      </c>
      <c r="M358">
        <v>1051.6300000000001</v>
      </c>
      <c r="N358" t="s">
        <v>1189</v>
      </c>
      <c r="O358" t="s">
        <v>3442</v>
      </c>
      <c r="P358" t="s">
        <v>2376</v>
      </c>
      <c r="Q358" t="s">
        <v>2558</v>
      </c>
      <c r="R358" t="s">
        <v>3425</v>
      </c>
    </row>
    <row r="359" spans="1:19" x14ac:dyDescent="0.25">
      <c r="A359" t="s">
        <v>4152</v>
      </c>
      <c r="B359" t="s">
        <v>3552</v>
      </c>
      <c r="C359" t="s">
        <v>4030</v>
      </c>
      <c r="D359" t="s">
        <v>4153</v>
      </c>
      <c r="E359" t="s">
        <v>324</v>
      </c>
      <c r="F359" t="s">
        <v>677</v>
      </c>
      <c r="G359">
        <v>9</v>
      </c>
      <c r="H359">
        <v>5</v>
      </c>
      <c r="I359">
        <v>275.93</v>
      </c>
      <c r="J359">
        <v>2483.37</v>
      </c>
      <c r="K359">
        <v>6.9</v>
      </c>
      <c r="L359">
        <v>397.34</v>
      </c>
      <c r="M359">
        <v>2709.36</v>
      </c>
      <c r="N359" t="s">
        <v>1178</v>
      </c>
      <c r="O359" t="s">
        <v>1179</v>
      </c>
      <c r="P359" t="s">
        <v>2456</v>
      </c>
      <c r="Q359" t="s">
        <v>2491</v>
      </c>
      <c r="R359" t="s">
        <v>3437</v>
      </c>
    </row>
    <row r="360" spans="1:19" x14ac:dyDescent="0.25">
      <c r="A360" t="s">
        <v>4154</v>
      </c>
      <c r="B360" t="s">
        <v>3808</v>
      </c>
      <c r="C360" t="s">
        <v>3582</v>
      </c>
      <c r="D360" t="s">
        <v>2930</v>
      </c>
      <c r="E360" t="s">
        <v>218</v>
      </c>
      <c r="F360" t="s">
        <v>485</v>
      </c>
      <c r="G360">
        <v>21</v>
      </c>
      <c r="H360">
        <v>20</v>
      </c>
      <c r="I360">
        <v>67.92</v>
      </c>
      <c r="J360">
        <v>1426.32</v>
      </c>
      <c r="K360">
        <v>9</v>
      </c>
      <c r="L360">
        <v>228.21</v>
      </c>
      <c r="M360">
        <v>1526.16</v>
      </c>
      <c r="N360" t="s">
        <v>1178</v>
      </c>
      <c r="O360" t="s">
        <v>3424</v>
      </c>
      <c r="P360" t="s">
        <v>2440</v>
      </c>
      <c r="Q360" t="s">
        <v>2538</v>
      </c>
      <c r="R360" t="s">
        <v>3425</v>
      </c>
    </row>
    <row r="361" spans="1:19" x14ac:dyDescent="0.25">
      <c r="A361" t="s">
        <v>4155</v>
      </c>
      <c r="B361" t="s">
        <v>3474</v>
      </c>
      <c r="C361" t="s">
        <v>4024</v>
      </c>
      <c r="D361" t="s">
        <v>4156</v>
      </c>
      <c r="E361" t="s">
        <v>231</v>
      </c>
      <c r="F361" t="s">
        <v>1106</v>
      </c>
      <c r="G361">
        <v>96</v>
      </c>
      <c r="H361">
        <v>94</v>
      </c>
      <c r="I361">
        <v>413.06</v>
      </c>
      <c r="J361">
        <v>39653.760000000002</v>
      </c>
      <c r="K361">
        <v>13.6</v>
      </c>
      <c r="L361">
        <v>6344.6</v>
      </c>
      <c r="M361">
        <v>40605.449999999997</v>
      </c>
      <c r="N361" t="s">
        <v>1178</v>
      </c>
      <c r="O361" t="s">
        <v>3424</v>
      </c>
      <c r="P361" t="s">
        <v>2425</v>
      </c>
      <c r="Q361" t="s">
        <v>2558</v>
      </c>
      <c r="R361" t="s">
        <v>3437</v>
      </c>
    </row>
    <row r="362" spans="1:19" x14ac:dyDescent="0.25">
      <c r="A362" t="s">
        <v>4157</v>
      </c>
      <c r="B362" t="s">
        <v>4039</v>
      </c>
      <c r="C362" t="s">
        <v>4158</v>
      </c>
      <c r="D362" t="s">
        <v>2950</v>
      </c>
      <c r="E362" t="s">
        <v>1435</v>
      </c>
      <c r="F362" t="s">
        <v>677</v>
      </c>
      <c r="G362">
        <v>90</v>
      </c>
      <c r="H362">
        <v>85</v>
      </c>
      <c r="I362">
        <v>476.62</v>
      </c>
      <c r="J362">
        <v>42895.8</v>
      </c>
      <c r="K362">
        <v>1.7</v>
      </c>
      <c r="L362">
        <v>6863.33</v>
      </c>
      <c r="M362">
        <v>49029.9</v>
      </c>
      <c r="N362" t="s">
        <v>1161</v>
      </c>
      <c r="O362" t="s">
        <v>3436</v>
      </c>
      <c r="P362" t="s">
        <v>2376</v>
      </c>
      <c r="Q362" t="s">
        <v>2535</v>
      </c>
      <c r="R362" t="s">
        <v>3437</v>
      </c>
      <c r="S362" t="s">
        <v>3426</v>
      </c>
    </row>
    <row r="363" spans="1:19" x14ac:dyDescent="0.25">
      <c r="A363" t="s">
        <v>4159</v>
      </c>
      <c r="B363" t="s">
        <v>2683</v>
      </c>
      <c r="C363" t="s">
        <v>3086</v>
      </c>
      <c r="D363" t="s">
        <v>2859</v>
      </c>
      <c r="E363" t="s">
        <v>1429</v>
      </c>
      <c r="F363" t="s">
        <v>662</v>
      </c>
      <c r="G363">
        <v>3</v>
      </c>
      <c r="H363">
        <v>3</v>
      </c>
      <c r="I363">
        <v>368.78</v>
      </c>
      <c r="J363">
        <v>1106.3399999999999</v>
      </c>
      <c r="K363">
        <v>13.5</v>
      </c>
      <c r="L363">
        <v>177.01</v>
      </c>
      <c r="M363">
        <v>1133.99</v>
      </c>
      <c r="N363" t="s">
        <v>1189</v>
      </c>
      <c r="O363" t="s">
        <v>3428</v>
      </c>
      <c r="P363" t="s">
        <v>2376</v>
      </c>
      <c r="Q363" t="s">
        <v>2515</v>
      </c>
      <c r="R363" t="s">
        <v>3429</v>
      </c>
      <c r="S363" t="s">
        <v>3443</v>
      </c>
    </row>
    <row r="364" spans="1:19" x14ac:dyDescent="0.25">
      <c r="A364" t="s">
        <v>4160</v>
      </c>
      <c r="B364" t="s">
        <v>3218</v>
      </c>
      <c r="C364" t="s">
        <v>3321</v>
      </c>
      <c r="D364" t="s">
        <v>3081</v>
      </c>
      <c r="E364" t="s">
        <v>156</v>
      </c>
      <c r="F364" t="s">
        <v>159</v>
      </c>
      <c r="G364">
        <v>12</v>
      </c>
      <c r="H364">
        <v>8</v>
      </c>
      <c r="I364">
        <v>168.25</v>
      </c>
      <c r="J364">
        <v>2019</v>
      </c>
      <c r="K364">
        <v>14.2</v>
      </c>
      <c r="L364">
        <v>323.04000000000002</v>
      </c>
      <c r="M364">
        <v>2055.34</v>
      </c>
      <c r="N364" t="s">
        <v>1178</v>
      </c>
      <c r="O364" t="s">
        <v>3424</v>
      </c>
      <c r="P364" t="s">
        <v>2388</v>
      </c>
      <c r="Q364" t="s">
        <v>2475</v>
      </c>
      <c r="R364" t="s">
        <v>3425</v>
      </c>
    </row>
    <row r="365" spans="1:19" x14ac:dyDescent="0.25">
      <c r="A365" t="s">
        <v>4161</v>
      </c>
      <c r="B365" t="s">
        <v>3608</v>
      </c>
      <c r="C365" t="s">
        <v>4162</v>
      </c>
      <c r="D365" t="s">
        <v>4049</v>
      </c>
      <c r="E365" t="s">
        <v>57</v>
      </c>
      <c r="F365" t="s">
        <v>337</v>
      </c>
      <c r="G365">
        <v>86</v>
      </c>
      <c r="H365">
        <v>84</v>
      </c>
      <c r="I365">
        <v>138.43</v>
      </c>
      <c r="J365">
        <v>11904.98</v>
      </c>
      <c r="K365">
        <v>9.9</v>
      </c>
      <c r="L365">
        <v>1904.8</v>
      </c>
      <c r="M365">
        <v>12631.19</v>
      </c>
      <c r="N365" t="s">
        <v>1189</v>
      </c>
      <c r="O365" t="s">
        <v>3442</v>
      </c>
      <c r="P365" t="s">
        <v>2398</v>
      </c>
      <c r="Q365" t="s">
        <v>2548</v>
      </c>
      <c r="R365" t="s">
        <v>3429</v>
      </c>
    </row>
    <row r="366" spans="1:19" x14ac:dyDescent="0.25">
      <c r="A366" t="s">
        <v>4163</v>
      </c>
      <c r="B366" t="s">
        <v>4164</v>
      </c>
      <c r="C366" t="s">
        <v>3976</v>
      </c>
      <c r="D366" t="s">
        <v>3751</v>
      </c>
      <c r="E366" t="s">
        <v>287</v>
      </c>
      <c r="F366" t="s">
        <v>117</v>
      </c>
      <c r="G366">
        <v>30</v>
      </c>
      <c r="H366">
        <v>28</v>
      </c>
      <c r="I366">
        <v>141.1</v>
      </c>
      <c r="J366">
        <v>4233</v>
      </c>
      <c r="K366">
        <v>4.5</v>
      </c>
      <c r="L366">
        <v>677.28</v>
      </c>
      <c r="M366">
        <v>4719.8</v>
      </c>
      <c r="N366" t="s">
        <v>1178</v>
      </c>
      <c r="O366" t="s">
        <v>3436</v>
      </c>
      <c r="P366" t="s">
        <v>2376</v>
      </c>
      <c r="Q366" t="s">
        <v>2491</v>
      </c>
      <c r="R366" t="s">
        <v>3434</v>
      </c>
    </row>
    <row r="367" spans="1:19" x14ac:dyDescent="0.25">
      <c r="A367" t="s">
        <v>4165</v>
      </c>
      <c r="B367" t="s">
        <v>2588</v>
      </c>
      <c r="C367" t="s">
        <v>2943</v>
      </c>
      <c r="D367" t="s">
        <v>4006</v>
      </c>
      <c r="E367" t="s">
        <v>476</v>
      </c>
      <c r="F367" t="s">
        <v>274</v>
      </c>
      <c r="G367">
        <v>41</v>
      </c>
      <c r="H367">
        <v>38</v>
      </c>
      <c r="I367">
        <v>464.33</v>
      </c>
      <c r="J367">
        <v>19037.53</v>
      </c>
      <c r="K367">
        <v>12.9</v>
      </c>
      <c r="L367">
        <v>3046</v>
      </c>
      <c r="M367">
        <v>19627.689999999999</v>
      </c>
      <c r="N367" t="s">
        <v>1189</v>
      </c>
      <c r="O367" t="s">
        <v>3428</v>
      </c>
      <c r="P367" t="s">
        <v>2407</v>
      </c>
      <c r="Q367" t="s">
        <v>2491</v>
      </c>
      <c r="R367" t="s">
        <v>3425</v>
      </c>
      <c r="S367" t="s">
        <v>3443</v>
      </c>
    </row>
    <row r="368" spans="1:19" x14ac:dyDescent="0.25">
      <c r="A368" t="s">
        <v>4166</v>
      </c>
      <c r="B368" t="s">
        <v>3637</v>
      </c>
      <c r="C368" t="s">
        <v>3054</v>
      </c>
      <c r="D368" t="s">
        <v>3036</v>
      </c>
      <c r="E368" t="s">
        <v>287</v>
      </c>
      <c r="F368" t="s">
        <v>925</v>
      </c>
      <c r="G368">
        <v>81</v>
      </c>
      <c r="H368">
        <v>77</v>
      </c>
      <c r="I368">
        <v>293.63</v>
      </c>
      <c r="J368">
        <v>23784.03</v>
      </c>
      <c r="K368">
        <v>12.1</v>
      </c>
      <c r="L368">
        <v>3805.44</v>
      </c>
      <c r="M368">
        <v>24711.599999999999</v>
      </c>
      <c r="N368" t="s">
        <v>1178</v>
      </c>
      <c r="O368" t="s">
        <v>3442</v>
      </c>
      <c r="P368" t="s">
        <v>2440</v>
      </c>
      <c r="Q368" t="s">
        <v>2541</v>
      </c>
      <c r="R368" t="s">
        <v>3425</v>
      </c>
    </row>
    <row r="369" spans="1:19" x14ac:dyDescent="0.25">
      <c r="A369" t="s">
        <v>4167</v>
      </c>
      <c r="B369" t="s">
        <v>1828</v>
      </c>
      <c r="C369" t="s">
        <v>4059</v>
      </c>
      <c r="D369" t="s">
        <v>3171</v>
      </c>
      <c r="E369" t="s">
        <v>225</v>
      </c>
      <c r="F369" t="s">
        <v>915</v>
      </c>
      <c r="G369">
        <v>97</v>
      </c>
      <c r="H369">
        <v>97</v>
      </c>
      <c r="I369">
        <v>236.08</v>
      </c>
      <c r="J369">
        <v>22899.759999999998</v>
      </c>
      <c r="K369">
        <v>9.4</v>
      </c>
      <c r="L369">
        <v>3663.96</v>
      </c>
      <c r="M369">
        <v>24411.14</v>
      </c>
      <c r="N369" t="s">
        <v>1189</v>
      </c>
      <c r="O369" t="s">
        <v>3442</v>
      </c>
      <c r="P369" t="s">
        <v>2425</v>
      </c>
      <c r="Q369" t="s">
        <v>2568</v>
      </c>
      <c r="R369" t="s">
        <v>3429</v>
      </c>
    </row>
    <row r="370" spans="1:19" x14ac:dyDescent="0.25">
      <c r="A370" t="s">
        <v>4168</v>
      </c>
      <c r="B370" t="s">
        <v>3758</v>
      </c>
      <c r="C370" t="s">
        <v>4169</v>
      </c>
      <c r="D370" t="s">
        <v>3459</v>
      </c>
      <c r="E370" t="s">
        <v>128</v>
      </c>
      <c r="F370" t="s">
        <v>970</v>
      </c>
      <c r="G370">
        <v>93</v>
      </c>
      <c r="H370">
        <v>92</v>
      </c>
      <c r="I370">
        <v>468.85</v>
      </c>
      <c r="J370">
        <v>43603.05</v>
      </c>
      <c r="K370">
        <v>5.9</v>
      </c>
      <c r="L370">
        <v>6976.49</v>
      </c>
      <c r="M370">
        <v>48006.96</v>
      </c>
      <c r="N370" t="s">
        <v>1189</v>
      </c>
      <c r="O370" t="s">
        <v>3436</v>
      </c>
      <c r="P370" t="s">
        <v>2449</v>
      </c>
      <c r="Q370" t="s">
        <v>2531</v>
      </c>
      <c r="R370" t="s">
        <v>3425</v>
      </c>
    </row>
    <row r="371" spans="1:19" x14ac:dyDescent="0.25">
      <c r="A371" t="s">
        <v>4170</v>
      </c>
      <c r="B371" t="s">
        <v>4171</v>
      </c>
      <c r="C371" t="s">
        <v>3574</v>
      </c>
      <c r="D371" t="s">
        <v>3738</v>
      </c>
      <c r="E371" t="s">
        <v>66</v>
      </c>
      <c r="F371" t="s">
        <v>779</v>
      </c>
      <c r="G371">
        <v>37</v>
      </c>
      <c r="H371">
        <v>37</v>
      </c>
      <c r="I371">
        <v>273.70999999999998</v>
      </c>
      <c r="J371">
        <v>10127.27</v>
      </c>
      <c r="K371">
        <v>1.1000000000000001</v>
      </c>
      <c r="L371">
        <v>1620.36</v>
      </c>
      <c r="M371">
        <v>11636.23</v>
      </c>
      <c r="N371" t="s">
        <v>1161</v>
      </c>
      <c r="O371" t="s">
        <v>3442</v>
      </c>
      <c r="P371" t="s">
        <v>2398</v>
      </c>
      <c r="Q371" t="s">
        <v>2568</v>
      </c>
      <c r="R371" t="s">
        <v>3425</v>
      </c>
      <c r="S371" t="s">
        <v>3426</v>
      </c>
    </row>
    <row r="372" spans="1:19" x14ac:dyDescent="0.25">
      <c r="A372" t="s">
        <v>4172</v>
      </c>
      <c r="B372" t="s">
        <v>3082</v>
      </c>
      <c r="C372" t="s">
        <v>3157</v>
      </c>
      <c r="D372" t="s">
        <v>2560</v>
      </c>
      <c r="E372" t="s">
        <v>1018</v>
      </c>
      <c r="F372" t="s">
        <v>611</v>
      </c>
      <c r="G372">
        <v>36</v>
      </c>
      <c r="H372">
        <v>32</v>
      </c>
      <c r="I372">
        <v>259.02999999999997</v>
      </c>
      <c r="J372">
        <v>9325.08</v>
      </c>
      <c r="K372">
        <v>12.1</v>
      </c>
      <c r="L372">
        <v>1492.01</v>
      </c>
      <c r="M372">
        <v>9688.76</v>
      </c>
      <c r="N372" t="s">
        <v>1178</v>
      </c>
      <c r="O372" t="s">
        <v>1179</v>
      </c>
      <c r="P372" t="s">
        <v>2440</v>
      </c>
      <c r="Q372" t="s">
        <v>2541</v>
      </c>
      <c r="R372" t="s">
        <v>3437</v>
      </c>
      <c r="S372" t="s">
        <v>3443</v>
      </c>
    </row>
    <row r="373" spans="1:19" x14ac:dyDescent="0.25">
      <c r="A373" t="s">
        <v>4173</v>
      </c>
      <c r="B373" t="s">
        <v>3765</v>
      </c>
      <c r="C373" t="s">
        <v>4003</v>
      </c>
      <c r="D373" t="s">
        <v>4174</v>
      </c>
      <c r="E373" t="s">
        <v>1455</v>
      </c>
      <c r="F373" t="s">
        <v>995</v>
      </c>
      <c r="G373">
        <v>76</v>
      </c>
      <c r="H373">
        <v>72</v>
      </c>
      <c r="I373">
        <v>362.86</v>
      </c>
      <c r="J373">
        <v>27577.360000000001</v>
      </c>
      <c r="K373">
        <v>13.9</v>
      </c>
      <c r="L373">
        <v>4412.38</v>
      </c>
      <c r="M373">
        <v>28156.49</v>
      </c>
      <c r="N373" t="s">
        <v>1178</v>
      </c>
      <c r="O373" t="s">
        <v>3428</v>
      </c>
      <c r="P373" t="s">
        <v>2425</v>
      </c>
      <c r="Q373" t="s">
        <v>2486</v>
      </c>
      <c r="R373" t="s">
        <v>3437</v>
      </c>
      <c r="S373" t="s">
        <v>3426</v>
      </c>
    </row>
    <row r="374" spans="1:19" x14ac:dyDescent="0.25">
      <c r="A374" t="s">
        <v>4175</v>
      </c>
      <c r="B374" t="s">
        <v>4176</v>
      </c>
      <c r="C374" t="s">
        <v>3533</v>
      </c>
      <c r="D374" t="s">
        <v>3533</v>
      </c>
      <c r="E374" t="s">
        <v>91</v>
      </c>
      <c r="F374" t="s">
        <v>774</v>
      </c>
      <c r="G374">
        <v>79</v>
      </c>
      <c r="H374">
        <v>75</v>
      </c>
      <c r="I374">
        <v>334.11</v>
      </c>
      <c r="J374">
        <v>26394.69</v>
      </c>
      <c r="K374">
        <v>3.8</v>
      </c>
      <c r="L374">
        <v>4223.1499999999996</v>
      </c>
      <c r="M374">
        <v>29614.84</v>
      </c>
      <c r="N374" t="s">
        <v>1161</v>
      </c>
      <c r="O374" t="s">
        <v>3424</v>
      </c>
      <c r="P374" t="s">
        <v>2425</v>
      </c>
      <c r="Q374" t="s">
        <v>2522</v>
      </c>
      <c r="R374" t="s">
        <v>3425</v>
      </c>
    </row>
    <row r="375" spans="1:19" x14ac:dyDescent="0.25">
      <c r="A375" t="s">
        <v>4177</v>
      </c>
      <c r="B375" t="s">
        <v>1487</v>
      </c>
      <c r="C375" t="s">
        <v>2755</v>
      </c>
      <c r="D375" t="s">
        <v>2110</v>
      </c>
      <c r="E375" t="s">
        <v>177</v>
      </c>
      <c r="F375" t="s">
        <v>500</v>
      </c>
      <c r="G375">
        <v>25</v>
      </c>
      <c r="H375">
        <v>21</v>
      </c>
      <c r="I375">
        <v>421.58</v>
      </c>
      <c r="J375">
        <v>10539.5</v>
      </c>
      <c r="K375">
        <v>7.8</v>
      </c>
      <c r="L375">
        <v>1686.32</v>
      </c>
      <c r="M375">
        <v>11403.74</v>
      </c>
      <c r="N375" t="s">
        <v>1189</v>
      </c>
      <c r="O375" t="s">
        <v>3424</v>
      </c>
      <c r="P375" t="s">
        <v>2456</v>
      </c>
      <c r="Q375" t="s">
        <v>2495</v>
      </c>
      <c r="R375" t="s">
        <v>3434</v>
      </c>
    </row>
    <row r="376" spans="1:19" x14ac:dyDescent="0.25">
      <c r="A376" t="s">
        <v>4178</v>
      </c>
      <c r="B376" t="s">
        <v>3074</v>
      </c>
      <c r="C376" t="s">
        <v>3468</v>
      </c>
      <c r="D376" t="s">
        <v>2628</v>
      </c>
      <c r="E376" t="s">
        <v>1422</v>
      </c>
      <c r="F376" t="s">
        <v>990</v>
      </c>
      <c r="G376">
        <v>47</v>
      </c>
      <c r="H376">
        <v>43</v>
      </c>
      <c r="I376">
        <v>370.68</v>
      </c>
      <c r="J376">
        <v>17421.96</v>
      </c>
      <c r="K376">
        <v>8.3000000000000007</v>
      </c>
      <c r="L376">
        <v>2787.51</v>
      </c>
      <c r="M376">
        <v>18763.45</v>
      </c>
      <c r="N376" t="s">
        <v>1178</v>
      </c>
      <c r="O376" t="s">
        <v>3442</v>
      </c>
      <c r="P376" t="s">
        <v>2416</v>
      </c>
      <c r="Q376" t="s">
        <v>2554</v>
      </c>
      <c r="R376" t="s">
        <v>3425</v>
      </c>
    </row>
    <row r="377" spans="1:19" x14ac:dyDescent="0.25">
      <c r="A377" t="s">
        <v>4179</v>
      </c>
      <c r="B377" t="s">
        <v>3478</v>
      </c>
      <c r="C377" t="s">
        <v>4103</v>
      </c>
      <c r="D377" t="s">
        <v>4180</v>
      </c>
      <c r="E377" t="s">
        <v>66</v>
      </c>
      <c r="F377" t="s">
        <v>925</v>
      </c>
      <c r="G377">
        <v>44</v>
      </c>
      <c r="H377">
        <v>41</v>
      </c>
      <c r="I377">
        <v>132.38999999999999</v>
      </c>
      <c r="J377">
        <v>5825.16</v>
      </c>
      <c r="K377">
        <v>9.6999999999999993</v>
      </c>
      <c r="L377">
        <v>932.03</v>
      </c>
      <c r="M377">
        <v>6192.15</v>
      </c>
      <c r="N377" t="s">
        <v>1189</v>
      </c>
      <c r="O377" t="s">
        <v>1179</v>
      </c>
      <c r="P377" t="s">
        <v>2456</v>
      </c>
      <c r="Q377" t="s">
        <v>2535</v>
      </c>
      <c r="R377" t="s">
        <v>2633</v>
      </c>
    </row>
    <row r="378" spans="1:19" x14ac:dyDescent="0.25">
      <c r="A378" t="s">
        <v>4181</v>
      </c>
      <c r="B378" t="s">
        <v>4182</v>
      </c>
      <c r="C378" t="s">
        <v>3440</v>
      </c>
      <c r="D378" t="s">
        <v>4183</v>
      </c>
      <c r="E378" t="s">
        <v>731</v>
      </c>
      <c r="F378" t="s">
        <v>890</v>
      </c>
      <c r="G378">
        <v>10</v>
      </c>
      <c r="H378">
        <v>10</v>
      </c>
      <c r="I378">
        <v>163.63999999999999</v>
      </c>
      <c r="J378">
        <v>1636.4</v>
      </c>
      <c r="K378">
        <v>14.5</v>
      </c>
      <c r="L378">
        <v>261.82</v>
      </c>
      <c r="M378">
        <v>1660.94</v>
      </c>
      <c r="N378" t="s">
        <v>1178</v>
      </c>
      <c r="O378" t="s">
        <v>1179</v>
      </c>
      <c r="P378" t="s">
        <v>2440</v>
      </c>
      <c r="Q378" t="s">
        <v>2535</v>
      </c>
      <c r="R378" t="s">
        <v>3434</v>
      </c>
      <c r="S378" t="s">
        <v>3443</v>
      </c>
    </row>
    <row r="379" spans="1:19" x14ac:dyDescent="0.25">
      <c r="A379" t="s">
        <v>4184</v>
      </c>
      <c r="B379" t="s">
        <v>3939</v>
      </c>
      <c r="C379" t="s">
        <v>3489</v>
      </c>
      <c r="D379" t="s">
        <v>3565</v>
      </c>
      <c r="E379" t="s">
        <v>128</v>
      </c>
      <c r="F379" t="s">
        <v>448</v>
      </c>
      <c r="G379">
        <v>7</v>
      </c>
      <c r="H379">
        <v>4</v>
      </c>
      <c r="I379">
        <v>491.71</v>
      </c>
      <c r="J379">
        <v>3441.97</v>
      </c>
      <c r="K379">
        <v>9.4</v>
      </c>
      <c r="L379">
        <v>550.72</v>
      </c>
      <c r="M379">
        <v>3669.14</v>
      </c>
      <c r="N379" t="s">
        <v>1189</v>
      </c>
      <c r="O379" t="s">
        <v>3428</v>
      </c>
      <c r="P379" t="s">
        <v>2425</v>
      </c>
      <c r="Q379" t="s">
        <v>2491</v>
      </c>
      <c r="R379" t="s">
        <v>3425</v>
      </c>
    </row>
    <row r="380" spans="1:19" x14ac:dyDescent="0.25">
      <c r="A380" t="s">
        <v>4185</v>
      </c>
      <c r="B380" t="s">
        <v>2989</v>
      </c>
      <c r="C380" t="s">
        <v>3114</v>
      </c>
      <c r="D380" t="s">
        <v>2843</v>
      </c>
      <c r="E380" t="s">
        <v>435</v>
      </c>
      <c r="F380" t="s">
        <v>571</v>
      </c>
      <c r="G380">
        <v>98</v>
      </c>
      <c r="H380">
        <v>94</v>
      </c>
      <c r="I380">
        <v>410.58</v>
      </c>
      <c r="J380">
        <v>40236.839999999997</v>
      </c>
      <c r="K380">
        <v>0.8</v>
      </c>
      <c r="L380">
        <v>6437.89</v>
      </c>
      <c r="M380">
        <v>46352.84</v>
      </c>
      <c r="N380" t="s">
        <v>1161</v>
      </c>
      <c r="O380" t="s">
        <v>1179</v>
      </c>
      <c r="P380" t="s">
        <v>2398</v>
      </c>
      <c r="Q380" t="s">
        <v>2491</v>
      </c>
      <c r="R380" t="s">
        <v>3429</v>
      </c>
    </row>
    <row r="381" spans="1:19" x14ac:dyDescent="0.25">
      <c r="A381" t="s">
        <v>4186</v>
      </c>
      <c r="B381" t="s">
        <v>3460</v>
      </c>
      <c r="C381" t="s">
        <v>4187</v>
      </c>
      <c r="D381" t="s">
        <v>4187</v>
      </c>
      <c r="E381" t="s">
        <v>303</v>
      </c>
      <c r="F381" t="s">
        <v>960</v>
      </c>
      <c r="G381">
        <v>73</v>
      </c>
      <c r="H381">
        <v>70</v>
      </c>
      <c r="I381">
        <v>76.95</v>
      </c>
      <c r="J381">
        <v>5617.35</v>
      </c>
      <c r="K381">
        <v>1.7</v>
      </c>
      <c r="L381">
        <v>898.78</v>
      </c>
      <c r="M381">
        <v>6420.64</v>
      </c>
      <c r="N381" t="s">
        <v>1178</v>
      </c>
      <c r="O381" t="s">
        <v>3424</v>
      </c>
      <c r="P381" t="s">
        <v>2407</v>
      </c>
      <c r="Q381" t="s">
        <v>2551</v>
      </c>
      <c r="R381" t="s">
        <v>3434</v>
      </c>
      <c r="S381" t="s">
        <v>3426</v>
      </c>
    </row>
    <row r="382" spans="1:19" x14ac:dyDescent="0.25">
      <c r="A382" t="s">
        <v>4188</v>
      </c>
      <c r="B382" t="s">
        <v>2940</v>
      </c>
      <c r="C382" t="s">
        <v>3508</v>
      </c>
      <c r="D382" t="s">
        <v>1794</v>
      </c>
      <c r="E382" t="s">
        <v>225</v>
      </c>
      <c r="F382" t="s">
        <v>290</v>
      </c>
      <c r="G382">
        <v>3</v>
      </c>
      <c r="H382">
        <v>2</v>
      </c>
      <c r="I382">
        <v>299.17</v>
      </c>
      <c r="J382">
        <v>897.51</v>
      </c>
      <c r="K382">
        <v>4.8</v>
      </c>
      <c r="L382">
        <v>143.6</v>
      </c>
      <c r="M382">
        <v>998.03</v>
      </c>
      <c r="N382" t="s">
        <v>1161</v>
      </c>
      <c r="O382" t="s">
        <v>3436</v>
      </c>
      <c r="P382" t="s">
        <v>2376</v>
      </c>
      <c r="Q382" t="s">
        <v>2501</v>
      </c>
      <c r="R382" t="s">
        <v>3425</v>
      </c>
      <c r="S382" t="s">
        <v>3509</v>
      </c>
    </row>
    <row r="383" spans="1:19" x14ac:dyDescent="0.25">
      <c r="A383" t="s">
        <v>4189</v>
      </c>
      <c r="B383" t="s">
        <v>3606</v>
      </c>
      <c r="C383" t="s">
        <v>3772</v>
      </c>
      <c r="D383" t="s">
        <v>3980</v>
      </c>
      <c r="E383" t="s">
        <v>212</v>
      </c>
      <c r="F383" t="s">
        <v>253</v>
      </c>
      <c r="G383">
        <v>13</v>
      </c>
      <c r="H383">
        <v>12</v>
      </c>
      <c r="I383">
        <v>160.79</v>
      </c>
      <c r="J383">
        <v>2090.27</v>
      </c>
      <c r="K383">
        <v>6.1</v>
      </c>
      <c r="L383">
        <v>334.44</v>
      </c>
      <c r="M383">
        <v>2297.1999999999998</v>
      </c>
      <c r="N383" t="s">
        <v>1178</v>
      </c>
      <c r="O383" t="s">
        <v>3424</v>
      </c>
      <c r="P383" t="s">
        <v>2416</v>
      </c>
      <c r="Q383" t="s">
        <v>2491</v>
      </c>
      <c r="R383" t="s">
        <v>3425</v>
      </c>
    </row>
    <row r="384" spans="1:19" x14ac:dyDescent="0.25">
      <c r="A384" t="s">
        <v>4190</v>
      </c>
      <c r="B384" t="s">
        <v>2791</v>
      </c>
      <c r="C384" t="s">
        <v>3753</v>
      </c>
      <c r="D384" t="s">
        <v>2632</v>
      </c>
      <c r="E384" t="s">
        <v>1416</v>
      </c>
      <c r="F384" t="s">
        <v>500</v>
      </c>
      <c r="G384">
        <v>56</v>
      </c>
      <c r="H384">
        <v>55</v>
      </c>
      <c r="I384">
        <v>310.83999999999997</v>
      </c>
      <c r="J384">
        <v>17407.04</v>
      </c>
      <c r="K384">
        <v>9</v>
      </c>
      <c r="L384">
        <v>2785.13</v>
      </c>
      <c r="M384">
        <v>18625.54</v>
      </c>
      <c r="N384" t="s">
        <v>1178</v>
      </c>
      <c r="O384" t="s">
        <v>3442</v>
      </c>
      <c r="P384" t="s">
        <v>2432</v>
      </c>
      <c r="Q384" t="s">
        <v>2561</v>
      </c>
      <c r="R384" t="s">
        <v>3437</v>
      </c>
      <c r="S384" t="s">
        <v>3466</v>
      </c>
    </row>
    <row r="385" spans="1:19" x14ac:dyDescent="0.25">
      <c r="A385" t="s">
        <v>4191</v>
      </c>
      <c r="B385" t="s">
        <v>4192</v>
      </c>
      <c r="C385" t="s">
        <v>3057</v>
      </c>
      <c r="D385" t="s">
        <v>3058</v>
      </c>
      <c r="E385" t="s">
        <v>45</v>
      </c>
      <c r="F385" t="s">
        <v>1061</v>
      </c>
      <c r="G385">
        <v>50</v>
      </c>
      <c r="H385">
        <v>48</v>
      </c>
      <c r="I385">
        <v>432.76</v>
      </c>
      <c r="J385">
        <v>21638</v>
      </c>
      <c r="K385">
        <v>11.3</v>
      </c>
      <c r="L385">
        <v>3462.08</v>
      </c>
      <c r="M385">
        <v>22654.99</v>
      </c>
      <c r="N385" t="s">
        <v>1178</v>
      </c>
      <c r="O385" t="s">
        <v>3428</v>
      </c>
      <c r="P385" t="s">
        <v>2432</v>
      </c>
      <c r="Q385" t="s">
        <v>2541</v>
      </c>
      <c r="R385" t="s">
        <v>2633</v>
      </c>
      <c r="S385" t="s">
        <v>3426</v>
      </c>
    </row>
    <row r="386" spans="1:19" x14ac:dyDescent="0.25">
      <c r="A386" t="s">
        <v>4193</v>
      </c>
      <c r="B386" t="s">
        <v>4194</v>
      </c>
      <c r="C386" t="s">
        <v>4169</v>
      </c>
      <c r="D386" t="s">
        <v>3603</v>
      </c>
      <c r="E386" t="s">
        <v>189</v>
      </c>
      <c r="F386" t="s">
        <v>749</v>
      </c>
      <c r="G386">
        <v>65</v>
      </c>
      <c r="H386">
        <v>64</v>
      </c>
      <c r="I386">
        <v>327.04000000000002</v>
      </c>
      <c r="J386">
        <v>21257.599999999999</v>
      </c>
      <c r="K386">
        <v>12.6</v>
      </c>
      <c r="L386">
        <v>3401.22</v>
      </c>
      <c r="M386">
        <v>21980.36</v>
      </c>
      <c r="N386" t="s">
        <v>1178</v>
      </c>
      <c r="O386" t="s">
        <v>3436</v>
      </c>
      <c r="P386" t="s">
        <v>2432</v>
      </c>
      <c r="Q386" t="s">
        <v>2501</v>
      </c>
      <c r="R386" t="s">
        <v>3429</v>
      </c>
    </row>
    <row r="387" spans="1:19" x14ac:dyDescent="0.25">
      <c r="A387" t="s">
        <v>4195</v>
      </c>
      <c r="B387" t="s">
        <v>3069</v>
      </c>
      <c r="C387" t="s">
        <v>2717</v>
      </c>
      <c r="D387" t="s">
        <v>4196</v>
      </c>
      <c r="E387" t="s">
        <v>74</v>
      </c>
      <c r="F387" t="s">
        <v>510</v>
      </c>
      <c r="G387">
        <v>46</v>
      </c>
      <c r="H387">
        <v>42</v>
      </c>
      <c r="I387">
        <v>232.3</v>
      </c>
      <c r="J387">
        <v>10685.8</v>
      </c>
      <c r="K387">
        <v>3.7</v>
      </c>
      <c r="L387">
        <v>1709.73</v>
      </c>
      <c r="M387">
        <v>12000.16</v>
      </c>
      <c r="N387" t="s">
        <v>1189</v>
      </c>
      <c r="O387" t="s">
        <v>3442</v>
      </c>
      <c r="P387" t="s">
        <v>2456</v>
      </c>
      <c r="Q387" t="s">
        <v>2512</v>
      </c>
      <c r="R387" t="s">
        <v>3425</v>
      </c>
      <c r="S387" t="s">
        <v>3466</v>
      </c>
    </row>
    <row r="388" spans="1:19" x14ac:dyDescent="0.25">
      <c r="A388" t="s">
        <v>4197</v>
      </c>
      <c r="B388" t="s">
        <v>4198</v>
      </c>
      <c r="C388" t="s">
        <v>4063</v>
      </c>
      <c r="D388" t="s">
        <v>4027</v>
      </c>
      <c r="E388" t="s">
        <v>1435</v>
      </c>
      <c r="F388" t="s">
        <v>77</v>
      </c>
      <c r="G388">
        <v>50</v>
      </c>
      <c r="H388">
        <v>45</v>
      </c>
      <c r="I388">
        <v>307.25</v>
      </c>
      <c r="J388">
        <v>15362.5</v>
      </c>
      <c r="K388">
        <v>5.4</v>
      </c>
      <c r="L388">
        <v>2458</v>
      </c>
      <c r="M388">
        <v>16990.919999999998</v>
      </c>
      <c r="N388" t="s">
        <v>1189</v>
      </c>
      <c r="O388" t="s">
        <v>3428</v>
      </c>
      <c r="P388" t="s">
        <v>2388</v>
      </c>
      <c r="Q388" t="s">
        <v>2531</v>
      </c>
      <c r="R388" t="s">
        <v>3434</v>
      </c>
      <c r="S388" t="s">
        <v>3426</v>
      </c>
    </row>
    <row r="389" spans="1:19" x14ac:dyDescent="0.25">
      <c r="A389" t="s">
        <v>4199</v>
      </c>
      <c r="B389" t="s">
        <v>3144</v>
      </c>
      <c r="C389" t="s">
        <v>4076</v>
      </c>
      <c r="D389" t="s">
        <v>3995</v>
      </c>
      <c r="E389" t="s">
        <v>690</v>
      </c>
      <c r="F389" t="s">
        <v>448</v>
      </c>
      <c r="G389">
        <v>47</v>
      </c>
      <c r="H389">
        <v>43</v>
      </c>
      <c r="I389">
        <v>460.22</v>
      </c>
      <c r="J389">
        <v>21630.34</v>
      </c>
      <c r="K389">
        <v>3.9</v>
      </c>
      <c r="L389">
        <v>3460.85</v>
      </c>
      <c r="M389">
        <v>24247.61</v>
      </c>
      <c r="N389" t="s">
        <v>1161</v>
      </c>
      <c r="O389" t="s">
        <v>3436</v>
      </c>
      <c r="P389" t="s">
        <v>2449</v>
      </c>
      <c r="Q389" t="s">
        <v>2506</v>
      </c>
      <c r="R389" t="s">
        <v>3425</v>
      </c>
      <c r="S389" t="s">
        <v>3443</v>
      </c>
    </row>
    <row r="390" spans="1:19" x14ac:dyDescent="0.25">
      <c r="A390" t="s">
        <v>4200</v>
      </c>
      <c r="B390" t="s">
        <v>4038</v>
      </c>
      <c r="C390" t="s">
        <v>2193</v>
      </c>
      <c r="D390" t="s">
        <v>2746</v>
      </c>
      <c r="E390" t="s">
        <v>558</v>
      </c>
      <c r="F390" t="s">
        <v>131</v>
      </c>
      <c r="G390">
        <v>98</v>
      </c>
      <c r="H390">
        <v>93</v>
      </c>
      <c r="I390">
        <v>152.86000000000001</v>
      </c>
      <c r="J390">
        <v>14980.28</v>
      </c>
      <c r="K390">
        <v>10.6</v>
      </c>
      <c r="L390">
        <v>2396.84</v>
      </c>
      <c r="M390">
        <v>15789.21</v>
      </c>
      <c r="N390" t="s">
        <v>1161</v>
      </c>
      <c r="O390" t="s">
        <v>3442</v>
      </c>
      <c r="P390" t="s">
        <v>2416</v>
      </c>
      <c r="Q390" t="s">
        <v>2486</v>
      </c>
      <c r="R390" t="s">
        <v>3434</v>
      </c>
      <c r="S390" t="s">
        <v>3466</v>
      </c>
    </row>
    <row r="391" spans="1:19" x14ac:dyDescent="0.25">
      <c r="A391" t="s">
        <v>4201</v>
      </c>
      <c r="B391" t="s">
        <v>3670</v>
      </c>
      <c r="C391" t="s">
        <v>3177</v>
      </c>
      <c r="D391" t="s">
        <v>2588</v>
      </c>
      <c r="E391" t="s">
        <v>45</v>
      </c>
      <c r="F391" t="s">
        <v>485</v>
      </c>
      <c r="G391">
        <v>19</v>
      </c>
      <c r="H391">
        <v>17</v>
      </c>
      <c r="I391">
        <v>436.33</v>
      </c>
      <c r="J391">
        <v>8290.27</v>
      </c>
      <c r="K391">
        <v>4.2</v>
      </c>
      <c r="L391">
        <v>1326.44</v>
      </c>
      <c r="M391">
        <v>9268.52</v>
      </c>
      <c r="N391" t="s">
        <v>1178</v>
      </c>
      <c r="O391" t="s">
        <v>3436</v>
      </c>
      <c r="P391" t="s">
        <v>2388</v>
      </c>
      <c r="Q391" t="s">
        <v>2512</v>
      </c>
      <c r="R391" t="s">
        <v>3425</v>
      </c>
    </row>
    <row r="392" spans="1:19" x14ac:dyDescent="0.25">
      <c r="A392" t="s">
        <v>4202</v>
      </c>
      <c r="B392" t="s">
        <v>3226</v>
      </c>
      <c r="C392" t="s">
        <v>3582</v>
      </c>
      <c r="D392" t="s">
        <v>2691</v>
      </c>
      <c r="E392" t="s">
        <v>57</v>
      </c>
      <c r="F392" t="s">
        <v>950</v>
      </c>
      <c r="G392">
        <v>95</v>
      </c>
      <c r="H392">
        <v>95</v>
      </c>
      <c r="I392">
        <v>129.16999999999999</v>
      </c>
      <c r="J392">
        <v>12271.15</v>
      </c>
      <c r="K392">
        <v>8.1999999999999993</v>
      </c>
      <c r="L392">
        <v>1963.38</v>
      </c>
      <c r="M392">
        <v>13228.3</v>
      </c>
      <c r="N392" t="s">
        <v>1178</v>
      </c>
      <c r="O392" t="s">
        <v>3436</v>
      </c>
      <c r="P392" t="s">
        <v>2388</v>
      </c>
      <c r="Q392" t="s">
        <v>2486</v>
      </c>
      <c r="R392" t="s">
        <v>3425</v>
      </c>
      <c r="S392" t="s">
        <v>3509</v>
      </c>
    </row>
    <row r="393" spans="1:19" x14ac:dyDescent="0.25">
      <c r="A393" t="s">
        <v>4203</v>
      </c>
      <c r="B393" t="s">
        <v>2683</v>
      </c>
      <c r="C393" t="s">
        <v>2702</v>
      </c>
      <c r="D393" t="s">
        <v>2218</v>
      </c>
      <c r="E393" t="s">
        <v>376</v>
      </c>
      <c r="F393" t="s">
        <v>794</v>
      </c>
      <c r="G393">
        <v>16</v>
      </c>
      <c r="H393">
        <v>12</v>
      </c>
      <c r="I393">
        <v>400.58</v>
      </c>
      <c r="J393">
        <v>6409.28</v>
      </c>
      <c r="K393">
        <v>8.3000000000000007</v>
      </c>
      <c r="L393">
        <v>1025.48</v>
      </c>
      <c r="M393">
        <v>6902.79</v>
      </c>
      <c r="N393" t="s">
        <v>1178</v>
      </c>
      <c r="O393" t="s">
        <v>3424</v>
      </c>
      <c r="P393" t="s">
        <v>2376</v>
      </c>
      <c r="Q393" t="s">
        <v>2522</v>
      </c>
      <c r="R393" t="s">
        <v>3425</v>
      </c>
      <c r="S393" t="s">
        <v>3509</v>
      </c>
    </row>
    <row r="394" spans="1:19" x14ac:dyDescent="0.25">
      <c r="A394" t="s">
        <v>4204</v>
      </c>
      <c r="B394" t="s">
        <v>3645</v>
      </c>
      <c r="C394" t="s">
        <v>3545</v>
      </c>
      <c r="D394" t="s">
        <v>3589</v>
      </c>
      <c r="E394" t="s">
        <v>324</v>
      </c>
      <c r="F394" t="s">
        <v>77</v>
      </c>
      <c r="G394">
        <v>65</v>
      </c>
      <c r="H394">
        <v>62</v>
      </c>
      <c r="I394">
        <v>277.02999999999997</v>
      </c>
      <c r="J394">
        <v>18006.95</v>
      </c>
      <c r="K394">
        <v>0.9</v>
      </c>
      <c r="L394">
        <v>2881.11</v>
      </c>
      <c r="M394">
        <v>20726</v>
      </c>
      <c r="N394" t="s">
        <v>1178</v>
      </c>
      <c r="O394" t="s">
        <v>3424</v>
      </c>
      <c r="P394" t="s">
        <v>2407</v>
      </c>
      <c r="Q394" t="s">
        <v>2551</v>
      </c>
      <c r="R394" t="s">
        <v>2633</v>
      </c>
      <c r="S394" t="s">
        <v>3509</v>
      </c>
    </row>
    <row r="395" spans="1:19" x14ac:dyDescent="0.25">
      <c r="A395" t="s">
        <v>4205</v>
      </c>
      <c r="B395" t="s">
        <v>3988</v>
      </c>
      <c r="C395" t="s">
        <v>4206</v>
      </c>
      <c r="D395" t="s">
        <v>2651</v>
      </c>
      <c r="E395" t="s">
        <v>340</v>
      </c>
      <c r="F395" t="s">
        <v>415</v>
      </c>
      <c r="G395">
        <v>59</v>
      </c>
      <c r="H395">
        <v>55</v>
      </c>
      <c r="I395">
        <v>128.82</v>
      </c>
      <c r="J395">
        <v>7600.38</v>
      </c>
      <c r="K395">
        <v>1.6</v>
      </c>
      <c r="L395">
        <v>1216.06</v>
      </c>
      <c r="M395">
        <v>8694.83</v>
      </c>
      <c r="N395" t="s">
        <v>1178</v>
      </c>
      <c r="O395" t="s">
        <v>3442</v>
      </c>
      <c r="P395" t="s">
        <v>2432</v>
      </c>
      <c r="Q395" t="s">
        <v>2495</v>
      </c>
      <c r="R395" t="s">
        <v>3425</v>
      </c>
      <c r="S395" t="s">
        <v>3509</v>
      </c>
    </row>
    <row r="396" spans="1:19" x14ac:dyDescent="0.25">
      <c r="A396" t="s">
        <v>4207</v>
      </c>
      <c r="B396" t="s">
        <v>3592</v>
      </c>
      <c r="C396" t="s">
        <v>4208</v>
      </c>
      <c r="D396" t="s">
        <v>3629</v>
      </c>
      <c r="E396" t="s">
        <v>340</v>
      </c>
      <c r="F396" t="s">
        <v>789</v>
      </c>
      <c r="G396">
        <v>63</v>
      </c>
      <c r="H396">
        <v>60</v>
      </c>
      <c r="I396">
        <v>354.89</v>
      </c>
      <c r="J396">
        <v>22358.07</v>
      </c>
      <c r="K396">
        <v>5.9</v>
      </c>
      <c r="L396">
        <v>3577.29</v>
      </c>
      <c r="M396">
        <v>24616.23</v>
      </c>
      <c r="N396" t="s">
        <v>1161</v>
      </c>
      <c r="O396" t="s">
        <v>1179</v>
      </c>
      <c r="P396" t="s">
        <v>2456</v>
      </c>
      <c r="Q396" t="s">
        <v>2548</v>
      </c>
      <c r="R396" t="s">
        <v>3429</v>
      </c>
      <c r="S396" t="s">
        <v>3509</v>
      </c>
    </row>
    <row r="397" spans="1:19" x14ac:dyDescent="0.25">
      <c r="A397" t="s">
        <v>4209</v>
      </c>
      <c r="B397" t="s">
        <v>3649</v>
      </c>
      <c r="C397" t="s">
        <v>3371</v>
      </c>
      <c r="D397" t="s">
        <v>2781</v>
      </c>
      <c r="E397" t="s">
        <v>106</v>
      </c>
      <c r="F397" t="s">
        <v>631</v>
      </c>
      <c r="G397">
        <v>22</v>
      </c>
      <c r="H397">
        <v>18</v>
      </c>
      <c r="I397">
        <v>276.42</v>
      </c>
      <c r="J397">
        <v>6081.24</v>
      </c>
      <c r="K397">
        <v>7.5</v>
      </c>
      <c r="L397">
        <v>973</v>
      </c>
      <c r="M397">
        <v>6598.15</v>
      </c>
      <c r="N397" t="s">
        <v>1178</v>
      </c>
      <c r="O397" t="s">
        <v>1179</v>
      </c>
      <c r="P397" t="s">
        <v>2388</v>
      </c>
      <c r="Q397" t="s">
        <v>2551</v>
      </c>
      <c r="R397" t="s">
        <v>3429</v>
      </c>
      <c r="S397" t="s">
        <v>3443</v>
      </c>
    </row>
    <row r="398" spans="1:19" x14ac:dyDescent="0.25">
      <c r="A398" t="s">
        <v>4210</v>
      </c>
      <c r="B398" t="s">
        <v>3770</v>
      </c>
      <c r="C398" t="s">
        <v>3452</v>
      </c>
      <c r="D398" t="s">
        <v>3969</v>
      </c>
      <c r="E398" t="s">
        <v>231</v>
      </c>
      <c r="F398" t="s">
        <v>490</v>
      </c>
      <c r="G398">
        <v>48</v>
      </c>
      <c r="H398">
        <v>45</v>
      </c>
      <c r="I398">
        <v>60.74</v>
      </c>
      <c r="J398">
        <v>2915.52</v>
      </c>
      <c r="K398">
        <v>7.3</v>
      </c>
      <c r="L398">
        <v>466.48</v>
      </c>
      <c r="M398">
        <v>3169.17</v>
      </c>
      <c r="N398" t="s">
        <v>1178</v>
      </c>
      <c r="O398" t="s">
        <v>3428</v>
      </c>
      <c r="P398" t="s">
        <v>2456</v>
      </c>
      <c r="Q398" t="s">
        <v>2568</v>
      </c>
      <c r="R398" t="s">
        <v>3425</v>
      </c>
      <c r="S398" t="s">
        <v>3509</v>
      </c>
    </row>
    <row r="399" spans="1:19" x14ac:dyDescent="0.25">
      <c r="A399" t="s">
        <v>4211</v>
      </c>
      <c r="B399" t="s">
        <v>2901</v>
      </c>
      <c r="C399" t="s">
        <v>2692</v>
      </c>
      <c r="D399" t="s">
        <v>3092</v>
      </c>
      <c r="E399" t="s">
        <v>237</v>
      </c>
      <c r="F399" t="s">
        <v>415</v>
      </c>
      <c r="G399">
        <v>19</v>
      </c>
      <c r="H399">
        <v>16</v>
      </c>
      <c r="I399">
        <v>57.37</v>
      </c>
      <c r="J399">
        <v>1090.03</v>
      </c>
      <c r="K399">
        <v>3.4</v>
      </c>
      <c r="L399">
        <v>174.4</v>
      </c>
      <c r="M399">
        <v>1227.3699999999999</v>
      </c>
      <c r="N399" t="s">
        <v>1189</v>
      </c>
      <c r="O399" t="s">
        <v>3428</v>
      </c>
      <c r="P399" t="s">
        <v>2425</v>
      </c>
      <c r="Q399" t="s">
        <v>2506</v>
      </c>
      <c r="R399" t="s">
        <v>3437</v>
      </c>
    </row>
    <row r="400" spans="1:19" x14ac:dyDescent="0.25">
      <c r="A400" t="s">
        <v>4212</v>
      </c>
      <c r="B400" t="s">
        <v>4213</v>
      </c>
      <c r="C400" t="s">
        <v>4013</v>
      </c>
      <c r="D400" t="s">
        <v>2984</v>
      </c>
      <c r="E400" t="s">
        <v>429</v>
      </c>
      <c r="F400" t="s">
        <v>139</v>
      </c>
      <c r="G400">
        <v>32</v>
      </c>
      <c r="H400">
        <v>32</v>
      </c>
      <c r="I400">
        <v>476.48</v>
      </c>
      <c r="J400">
        <v>15247.36</v>
      </c>
      <c r="K400">
        <v>13.5</v>
      </c>
      <c r="L400">
        <v>2439.58</v>
      </c>
      <c r="M400">
        <v>15628.55</v>
      </c>
      <c r="N400" t="s">
        <v>1178</v>
      </c>
      <c r="O400" t="s">
        <v>3428</v>
      </c>
      <c r="P400" t="s">
        <v>2432</v>
      </c>
      <c r="Q400" t="s">
        <v>2554</v>
      </c>
      <c r="R400" t="s">
        <v>3429</v>
      </c>
    </row>
    <row r="401" spans="1:18" x14ac:dyDescent="0.25">
      <c r="A401" t="s">
        <v>4214</v>
      </c>
      <c r="B401" t="s">
        <v>3555</v>
      </c>
      <c r="C401" t="s">
        <v>4215</v>
      </c>
      <c r="D401" t="s">
        <v>2722</v>
      </c>
      <c r="E401" t="s">
        <v>66</v>
      </c>
      <c r="F401" t="s">
        <v>485</v>
      </c>
      <c r="G401">
        <v>46</v>
      </c>
      <c r="H401">
        <v>44</v>
      </c>
      <c r="I401">
        <v>419.49</v>
      </c>
      <c r="J401">
        <v>19296.54</v>
      </c>
      <c r="K401">
        <v>8.3000000000000007</v>
      </c>
      <c r="L401">
        <v>3087.45</v>
      </c>
      <c r="M401">
        <v>20782.38</v>
      </c>
      <c r="N401" t="s">
        <v>1178</v>
      </c>
      <c r="O401" t="s">
        <v>3424</v>
      </c>
      <c r="P401" t="s">
        <v>2416</v>
      </c>
      <c r="Q401" t="s">
        <v>2541</v>
      </c>
      <c r="R401" t="s">
        <v>3425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358A0-CA3B-4ABD-81BA-B75DD16DDF87}">
  <sheetPr filterMode="1"/>
  <dimension ref="A1:E93"/>
  <sheetViews>
    <sheetView workbookViewId="0">
      <selection activeCell="C100" sqref="C100"/>
    </sheetView>
  </sheetViews>
  <sheetFormatPr baseColWidth="10" defaultRowHeight="15" x14ac:dyDescent="0.25"/>
  <cols>
    <col min="1" max="5" width="21.28515625" customWidth="1"/>
  </cols>
  <sheetData>
    <row r="1" spans="1:5" x14ac:dyDescent="0.25">
      <c r="A1" t="s">
        <v>7216</v>
      </c>
      <c r="B1" t="s">
        <v>7217</v>
      </c>
      <c r="C1" t="s">
        <v>7218</v>
      </c>
      <c r="D1" t="s">
        <v>7219</v>
      </c>
      <c r="E1" t="s">
        <v>7220</v>
      </c>
    </row>
    <row r="2" spans="1:5" x14ac:dyDescent="0.25">
      <c r="A2" t="s">
        <v>7221</v>
      </c>
      <c r="B2" t="s">
        <v>4242</v>
      </c>
      <c r="C2" s="2">
        <v>45368</v>
      </c>
      <c r="D2" t="str">
        <f ca="1">CHOOSE(RANDBETWEEN(1, 4), "Defectuoso", "Pedido Incorrecto", "Retraso en entrega", "Componente Incompatible")</f>
        <v>Componente Incompatible</v>
      </c>
      <c r="E2" t="str">
        <f ca="1">CHOOSE(RANDBETWEEN(1, 2), "Reacondicionado", "Desecho")</f>
        <v>Desecho</v>
      </c>
    </row>
    <row r="3" spans="1:5" x14ac:dyDescent="0.25">
      <c r="A3" t="s">
        <v>7222</v>
      </c>
      <c r="B3" t="s">
        <v>4255</v>
      </c>
      <c r="C3" s="2">
        <v>46104</v>
      </c>
      <c r="D3" t="str">
        <f t="shared" ref="D3:D66" ca="1" si="0">CHOOSE(RANDBETWEEN(1, 4), "Defectuoso", "Pedido Incorrecto", "Retraso en entrega", "Componente Incompatible")</f>
        <v>Retraso en entrega</v>
      </c>
      <c r="E3" t="str">
        <f t="shared" ref="E3:E66" ca="1" si="1">CHOOSE(RANDBETWEEN(1, 2), "Reacondicionado", "Desecho")</f>
        <v>Reacondicionado</v>
      </c>
    </row>
    <row r="4" spans="1:5" hidden="1" x14ac:dyDescent="0.25">
      <c r="A4" t="s">
        <v>7223</v>
      </c>
      <c r="B4" t="s">
        <v>4261</v>
      </c>
      <c r="C4" s="2">
        <v>45399</v>
      </c>
      <c r="D4" t="str">
        <f t="shared" ca="1" si="0"/>
        <v>Defectuoso</v>
      </c>
      <c r="E4" t="str">
        <f t="shared" ca="1" si="1"/>
        <v>Desecho</v>
      </c>
    </row>
    <row r="5" spans="1:5" hidden="1" x14ac:dyDescent="0.25">
      <c r="A5" t="s">
        <v>7224</v>
      </c>
      <c r="B5" t="s">
        <v>4334</v>
      </c>
      <c r="C5" s="2">
        <v>46052</v>
      </c>
      <c r="D5" t="str">
        <f t="shared" ca="1" si="0"/>
        <v>Pedido Incorrecto</v>
      </c>
      <c r="E5" t="str">
        <f t="shared" ca="1" si="1"/>
        <v>Desecho</v>
      </c>
    </row>
    <row r="6" spans="1:5" hidden="1" x14ac:dyDescent="0.25">
      <c r="A6" t="s">
        <v>7225</v>
      </c>
      <c r="B6" t="s">
        <v>4356</v>
      </c>
      <c r="C6" s="2">
        <v>45541</v>
      </c>
      <c r="D6" t="str">
        <f t="shared" ca="1" si="0"/>
        <v>Componente Incompatible</v>
      </c>
      <c r="E6" t="str">
        <f t="shared" ca="1" si="1"/>
        <v>Desecho</v>
      </c>
    </row>
    <row r="7" spans="1:5" x14ac:dyDescent="0.25">
      <c r="A7" t="s">
        <v>7226</v>
      </c>
      <c r="B7" t="s">
        <v>4365</v>
      </c>
      <c r="C7" s="2">
        <v>46087</v>
      </c>
      <c r="D7" t="str">
        <f t="shared" ca="1" si="0"/>
        <v>Componente Incompatible</v>
      </c>
      <c r="E7" t="str">
        <f t="shared" ca="1" si="1"/>
        <v>Reacondicionado</v>
      </c>
    </row>
    <row r="8" spans="1:5" hidden="1" x14ac:dyDescent="0.25">
      <c r="A8" t="s">
        <v>7227</v>
      </c>
      <c r="B8" t="s">
        <v>4397</v>
      </c>
      <c r="C8" s="2">
        <v>45851</v>
      </c>
      <c r="D8" t="str">
        <f t="shared" ca="1" si="0"/>
        <v>Defectuoso</v>
      </c>
      <c r="E8" t="str">
        <f t="shared" ca="1" si="1"/>
        <v>Desecho</v>
      </c>
    </row>
    <row r="9" spans="1:5" hidden="1" x14ac:dyDescent="0.25">
      <c r="A9" t="s">
        <v>7228</v>
      </c>
      <c r="B9" t="s">
        <v>4469</v>
      </c>
      <c r="C9" s="2">
        <v>45961</v>
      </c>
      <c r="D9" t="str">
        <f t="shared" ca="1" si="0"/>
        <v>Componente Incompatible</v>
      </c>
      <c r="E9" t="str">
        <f t="shared" ca="1" si="1"/>
        <v>Reacondicionado</v>
      </c>
    </row>
    <row r="10" spans="1:5" x14ac:dyDescent="0.25">
      <c r="A10" t="s">
        <v>7229</v>
      </c>
      <c r="B10" t="s">
        <v>4486</v>
      </c>
      <c r="C10" s="2">
        <v>45577</v>
      </c>
      <c r="D10" t="str">
        <f t="shared" ca="1" si="0"/>
        <v>Defectuoso</v>
      </c>
      <c r="E10" t="str">
        <f t="shared" ca="1" si="1"/>
        <v>Reacondicionado</v>
      </c>
    </row>
    <row r="11" spans="1:5" hidden="1" x14ac:dyDescent="0.25">
      <c r="A11" t="s">
        <v>7230</v>
      </c>
      <c r="B11" t="s">
        <v>4497</v>
      </c>
      <c r="C11" s="2">
        <v>45632</v>
      </c>
      <c r="D11" t="str">
        <f t="shared" ca="1" si="0"/>
        <v>Componente Incompatible</v>
      </c>
      <c r="E11" t="str">
        <f t="shared" ca="1" si="1"/>
        <v>Reacondicionado</v>
      </c>
    </row>
    <row r="12" spans="1:5" hidden="1" x14ac:dyDescent="0.25">
      <c r="A12" t="s">
        <v>7231</v>
      </c>
      <c r="B12" t="s">
        <v>4505</v>
      </c>
      <c r="C12" s="2">
        <v>45367</v>
      </c>
      <c r="D12" t="str">
        <f t="shared" ca="1" si="0"/>
        <v>Retraso en entrega</v>
      </c>
      <c r="E12" t="str">
        <f t="shared" ca="1" si="1"/>
        <v>Reacondicionado</v>
      </c>
    </row>
    <row r="13" spans="1:5" hidden="1" x14ac:dyDescent="0.25">
      <c r="A13" t="s">
        <v>7232</v>
      </c>
      <c r="B13" t="s">
        <v>4510</v>
      </c>
      <c r="C13" s="2">
        <v>45807</v>
      </c>
      <c r="D13" t="str">
        <f t="shared" ca="1" si="0"/>
        <v>Defectuoso</v>
      </c>
      <c r="E13" t="str">
        <f t="shared" ca="1" si="1"/>
        <v>Desecho</v>
      </c>
    </row>
    <row r="14" spans="1:5" hidden="1" x14ac:dyDescent="0.25">
      <c r="A14" t="s">
        <v>7233</v>
      </c>
      <c r="B14" t="s">
        <v>4535</v>
      </c>
      <c r="C14" s="2">
        <v>45451</v>
      </c>
      <c r="D14" t="str">
        <f t="shared" ca="1" si="0"/>
        <v>Pedido Incorrecto</v>
      </c>
      <c r="E14" t="str">
        <f t="shared" ca="1" si="1"/>
        <v>Reacondicionado</v>
      </c>
    </row>
    <row r="15" spans="1:5" hidden="1" x14ac:dyDescent="0.25">
      <c r="A15" t="s">
        <v>7234</v>
      </c>
      <c r="B15" t="s">
        <v>4539</v>
      </c>
      <c r="C15" s="2">
        <v>45478</v>
      </c>
      <c r="D15" t="str">
        <f t="shared" ca="1" si="0"/>
        <v>Defectuoso</v>
      </c>
      <c r="E15" t="str">
        <f t="shared" ca="1" si="1"/>
        <v>Reacondicionado</v>
      </c>
    </row>
    <row r="16" spans="1:5" x14ac:dyDescent="0.25">
      <c r="A16" t="s">
        <v>7235</v>
      </c>
      <c r="B16" t="s">
        <v>4590</v>
      </c>
      <c r="C16" s="2">
        <v>45368</v>
      </c>
      <c r="D16" t="str">
        <f t="shared" ca="1" si="0"/>
        <v>Retraso en entrega</v>
      </c>
      <c r="E16" t="str">
        <f t="shared" ca="1" si="1"/>
        <v>Reacondicionado</v>
      </c>
    </row>
    <row r="17" spans="1:5" hidden="1" x14ac:dyDescent="0.25">
      <c r="A17" t="s">
        <v>7236</v>
      </c>
      <c r="B17" t="s">
        <v>4604</v>
      </c>
      <c r="C17" s="2">
        <v>45665</v>
      </c>
      <c r="D17" t="str">
        <f t="shared" ca="1" si="0"/>
        <v>Retraso en entrega</v>
      </c>
      <c r="E17" t="str">
        <f t="shared" ca="1" si="1"/>
        <v>Reacondicionado</v>
      </c>
    </row>
    <row r="18" spans="1:5" hidden="1" x14ac:dyDescent="0.25">
      <c r="A18" t="s">
        <v>7237</v>
      </c>
      <c r="B18" t="s">
        <v>4642</v>
      </c>
      <c r="C18" s="2">
        <v>45342</v>
      </c>
      <c r="D18" t="str">
        <f t="shared" ca="1" si="0"/>
        <v>Componente Incompatible</v>
      </c>
      <c r="E18" t="str">
        <f t="shared" ca="1" si="1"/>
        <v>Desecho</v>
      </c>
    </row>
    <row r="19" spans="1:5" hidden="1" x14ac:dyDescent="0.25">
      <c r="A19" t="s">
        <v>7238</v>
      </c>
      <c r="B19" t="s">
        <v>4680</v>
      </c>
      <c r="C19" s="2">
        <v>45498</v>
      </c>
      <c r="D19" t="str">
        <f t="shared" ca="1" si="0"/>
        <v>Defectuoso</v>
      </c>
      <c r="E19" t="str">
        <f t="shared" ca="1" si="1"/>
        <v>Reacondicionado</v>
      </c>
    </row>
    <row r="20" spans="1:5" hidden="1" x14ac:dyDescent="0.25">
      <c r="A20" t="s">
        <v>7239</v>
      </c>
      <c r="B20" t="s">
        <v>4713</v>
      </c>
      <c r="C20" s="2">
        <v>45746</v>
      </c>
      <c r="D20" t="str">
        <f t="shared" ca="1" si="0"/>
        <v>Retraso en entrega</v>
      </c>
      <c r="E20" t="str">
        <f t="shared" ca="1" si="1"/>
        <v>Reacondicionado</v>
      </c>
    </row>
    <row r="21" spans="1:5" hidden="1" x14ac:dyDescent="0.25">
      <c r="A21" t="s">
        <v>7240</v>
      </c>
      <c r="B21" t="s">
        <v>4769</v>
      </c>
      <c r="C21" s="2">
        <v>45425</v>
      </c>
      <c r="D21" t="str">
        <f t="shared" ca="1" si="0"/>
        <v>Pedido Incorrecto</v>
      </c>
      <c r="E21" t="str">
        <f t="shared" ca="1" si="1"/>
        <v>Reacondicionado</v>
      </c>
    </row>
    <row r="22" spans="1:5" x14ac:dyDescent="0.25">
      <c r="A22" t="s">
        <v>7241</v>
      </c>
      <c r="B22" t="s">
        <v>4777</v>
      </c>
      <c r="C22" s="2">
        <v>45364</v>
      </c>
      <c r="D22" t="str">
        <f t="shared" ca="1" si="0"/>
        <v>Componente Incompatible</v>
      </c>
      <c r="E22" t="str">
        <f t="shared" ca="1" si="1"/>
        <v>Reacondicionado</v>
      </c>
    </row>
    <row r="23" spans="1:5" x14ac:dyDescent="0.25">
      <c r="A23" t="s">
        <v>7242</v>
      </c>
      <c r="B23" t="s">
        <v>4810</v>
      </c>
      <c r="C23" s="2">
        <v>45528</v>
      </c>
      <c r="D23" t="str">
        <f t="shared" ca="1" si="0"/>
        <v>Pedido Incorrecto</v>
      </c>
      <c r="E23" t="str">
        <f t="shared" ca="1" si="1"/>
        <v>Reacondicionado</v>
      </c>
    </row>
    <row r="24" spans="1:5" hidden="1" x14ac:dyDescent="0.25">
      <c r="A24" t="s">
        <v>7243</v>
      </c>
      <c r="B24" t="s">
        <v>4824</v>
      </c>
      <c r="C24" s="2">
        <v>45463</v>
      </c>
      <c r="D24" t="str">
        <f t="shared" ca="1" si="0"/>
        <v>Componente Incompatible</v>
      </c>
      <c r="E24" t="str">
        <f t="shared" ca="1" si="1"/>
        <v>Reacondicionado</v>
      </c>
    </row>
    <row r="25" spans="1:5" x14ac:dyDescent="0.25">
      <c r="A25" t="s">
        <v>7244</v>
      </c>
      <c r="B25" t="s">
        <v>4841</v>
      </c>
      <c r="C25" s="2">
        <v>45849</v>
      </c>
      <c r="D25" t="str">
        <f t="shared" ca="1" si="0"/>
        <v>Pedido Incorrecto</v>
      </c>
      <c r="E25" t="str">
        <f t="shared" ca="1" si="1"/>
        <v>Desecho</v>
      </c>
    </row>
    <row r="26" spans="1:5" hidden="1" x14ac:dyDescent="0.25">
      <c r="A26" t="s">
        <v>7245</v>
      </c>
      <c r="B26" t="s">
        <v>4845</v>
      </c>
      <c r="C26" s="2">
        <v>45594</v>
      </c>
      <c r="D26" t="str">
        <f t="shared" ca="1" si="0"/>
        <v>Componente Incompatible</v>
      </c>
      <c r="E26" t="str">
        <f t="shared" ca="1" si="1"/>
        <v>Desecho</v>
      </c>
    </row>
    <row r="27" spans="1:5" hidden="1" x14ac:dyDescent="0.25">
      <c r="A27" t="s">
        <v>7246</v>
      </c>
      <c r="B27" t="s">
        <v>4859</v>
      </c>
      <c r="C27" s="2">
        <v>45935</v>
      </c>
      <c r="D27" t="str">
        <f t="shared" ca="1" si="0"/>
        <v>Defectuoso</v>
      </c>
      <c r="E27" t="str">
        <f t="shared" ca="1" si="1"/>
        <v>Desecho</v>
      </c>
    </row>
    <row r="28" spans="1:5" hidden="1" x14ac:dyDescent="0.25">
      <c r="A28" t="s">
        <v>7247</v>
      </c>
      <c r="B28" t="s">
        <v>4887</v>
      </c>
      <c r="C28" s="2">
        <v>45624</v>
      </c>
      <c r="D28" t="str">
        <f t="shared" ca="1" si="0"/>
        <v>Retraso en entrega</v>
      </c>
      <c r="E28" t="str">
        <f t="shared" ca="1" si="1"/>
        <v>Desecho</v>
      </c>
    </row>
    <row r="29" spans="1:5" hidden="1" x14ac:dyDescent="0.25">
      <c r="A29" t="s">
        <v>7248</v>
      </c>
      <c r="B29" t="s">
        <v>4923</v>
      </c>
      <c r="C29" s="2">
        <v>45557</v>
      </c>
      <c r="D29" t="str">
        <f t="shared" ca="1" si="0"/>
        <v>Retraso en entrega</v>
      </c>
      <c r="E29" t="str">
        <f t="shared" ca="1" si="1"/>
        <v>Reacondicionado</v>
      </c>
    </row>
    <row r="30" spans="1:5" x14ac:dyDescent="0.25">
      <c r="A30" t="s">
        <v>7249</v>
      </c>
      <c r="B30" t="s">
        <v>4933</v>
      </c>
      <c r="C30" s="2">
        <v>45798</v>
      </c>
      <c r="D30" t="str">
        <f t="shared" ca="1" si="0"/>
        <v>Retraso en entrega</v>
      </c>
      <c r="E30" t="str">
        <f t="shared" ca="1" si="1"/>
        <v>Reacondicionado</v>
      </c>
    </row>
    <row r="31" spans="1:5" hidden="1" x14ac:dyDescent="0.25">
      <c r="A31" t="s">
        <v>7250</v>
      </c>
      <c r="B31" t="s">
        <v>4951</v>
      </c>
      <c r="C31" s="2">
        <v>45774</v>
      </c>
      <c r="D31" t="str">
        <f t="shared" ca="1" si="0"/>
        <v>Defectuoso</v>
      </c>
      <c r="E31" t="str">
        <f t="shared" ca="1" si="1"/>
        <v>Reacondicionado</v>
      </c>
    </row>
    <row r="32" spans="1:5" hidden="1" x14ac:dyDescent="0.25">
      <c r="A32" t="s">
        <v>7251</v>
      </c>
      <c r="B32" t="s">
        <v>4979</v>
      </c>
      <c r="C32" s="2">
        <v>45445</v>
      </c>
      <c r="D32" t="str">
        <f t="shared" ca="1" si="0"/>
        <v>Defectuoso</v>
      </c>
      <c r="E32" t="str">
        <f t="shared" ca="1" si="1"/>
        <v>Desecho</v>
      </c>
    </row>
    <row r="33" spans="1:5" hidden="1" x14ac:dyDescent="0.25">
      <c r="A33" t="s">
        <v>7252</v>
      </c>
      <c r="B33" t="s">
        <v>4985</v>
      </c>
      <c r="C33" s="2">
        <v>45509</v>
      </c>
      <c r="D33" t="str">
        <f t="shared" ca="1" si="0"/>
        <v>Defectuoso</v>
      </c>
      <c r="E33" t="str">
        <f t="shared" ca="1" si="1"/>
        <v>Reacondicionado</v>
      </c>
    </row>
    <row r="34" spans="1:5" x14ac:dyDescent="0.25">
      <c r="A34" t="s">
        <v>7253</v>
      </c>
      <c r="B34" t="s">
        <v>4989</v>
      </c>
      <c r="C34" s="2">
        <v>45369</v>
      </c>
      <c r="D34" t="str">
        <f t="shared" ca="1" si="0"/>
        <v>Defectuoso</v>
      </c>
      <c r="E34" t="str">
        <f t="shared" ca="1" si="1"/>
        <v>Desecho</v>
      </c>
    </row>
    <row r="35" spans="1:5" hidden="1" x14ac:dyDescent="0.25">
      <c r="A35" t="s">
        <v>7254</v>
      </c>
      <c r="B35" t="s">
        <v>4991</v>
      </c>
      <c r="C35" s="2">
        <v>45430</v>
      </c>
      <c r="D35" t="str">
        <f t="shared" ca="1" si="0"/>
        <v>Defectuoso</v>
      </c>
      <c r="E35" t="str">
        <f t="shared" ca="1" si="1"/>
        <v>Reacondicionado</v>
      </c>
    </row>
    <row r="36" spans="1:5" hidden="1" x14ac:dyDescent="0.25">
      <c r="A36" t="s">
        <v>7255</v>
      </c>
      <c r="B36" t="s">
        <v>4993</v>
      </c>
      <c r="C36" s="2">
        <v>45369</v>
      </c>
      <c r="D36" t="str">
        <f t="shared" ca="1" si="0"/>
        <v>Componente Incompatible</v>
      </c>
      <c r="E36" t="str">
        <f t="shared" ca="1" si="1"/>
        <v>Reacondicionado</v>
      </c>
    </row>
    <row r="37" spans="1:5" hidden="1" x14ac:dyDescent="0.25">
      <c r="A37" t="s">
        <v>7256</v>
      </c>
      <c r="B37" t="s">
        <v>5036</v>
      </c>
      <c r="C37" s="2">
        <v>45470</v>
      </c>
      <c r="D37" t="str">
        <f t="shared" ca="1" si="0"/>
        <v>Componente Incompatible</v>
      </c>
      <c r="E37" t="str">
        <f t="shared" ca="1" si="1"/>
        <v>Reacondicionado</v>
      </c>
    </row>
    <row r="38" spans="1:5" x14ac:dyDescent="0.25">
      <c r="A38" t="s">
        <v>7257</v>
      </c>
      <c r="B38" t="s">
        <v>5063</v>
      </c>
      <c r="C38" s="2">
        <v>45760</v>
      </c>
      <c r="D38" t="str">
        <f t="shared" ca="1" si="0"/>
        <v>Pedido Incorrecto</v>
      </c>
      <c r="E38" t="str">
        <f t="shared" ca="1" si="1"/>
        <v>Desecho</v>
      </c>
    </row>
    <row r="39" spans="1:5" hidden="1" x14ac:dyDescent="0.25">
      <c r="A39" t="s">
        <v>7258</v>
      </c>
      <c r="B39" t="s">
        <v>5095</v>
      </c>
      <c r="C39" s="2">
        <v>45370</v>
      </c>
      <c r="D39" t="str">
        <f t="shared" ca="1" si="0"/>
        <v>Retraso en entrega</v>
      </c>
      <c r="E39" t="str">
        <f t="shared" ca="1" si="1"/>
        <v>Desecho</v>
      </c>
    </row>
    <row r="40" spans="1:5" x14ac:dyDescent="0.25">
      <c r="A40" t="s">
        <v>7259</v>
      </c>
      <c r="B40" t="s">
        <v>5099</v>
      </c>
      <c r="C40" s="2">
        <v>45400</v>
      </c>
      <c r="D40" t="str">
        <f t="shared" ca="1" si="0"/>
        <v>Pedido Incorrecto</v>
      </c>
      <c r="E40" t="str">
        <f t="shared" ca="1" si="1"/>
        <v>Desecho</v>
      </c>
    </row>
    <row r="41" spans="1:5" hidden="1" x14ac:dyDescent="0.25">
      <c r="A41" t="s">
        <v>7260</v>
      </c>
      <c r="B41" t="s">
        <v>5101</v>
      </c>
      <c r="C41" s="2">
        <v>45676</v>
      </c>
      <c r="D41" t="str">
        <f t="shared" ca="1" si="0"/>
        <v>Retraso en entrega</v>
      </c>
      <c r="E41" t="str">
        <f t="shared" ca="1" si="1"/>
        <v>Reacondicionado</v>
      </c>
    </row>
    <row r="42" spans="1:5" hidden="1" x14ac:dyDescent="0.25">
      <c r="A42" t="s">
        <v>7261</v>
      </c>
      <c r="B42" t="s">
        <v>5105</v>
      </c>
      <c r="C42" s="2">
        <v>45505</v>
      </c>
      <c r="D42" t="str">
        <f t="shared" ca="1" si="0"/>
        <v>Pedido Incorrecto</v>
      </c>
      <c r="E42" t="str">
        <f t="shared" ca="1" si="1"/>
        <v>Desecho</v>
      </c>
    </row>
    <row r="43" spans="1:5" x14ac:dyDescent="0.25">
      <c r="A43" t="s">
        <v>7262</v>
      </c>
      <c r="B43" t="s">
        <v>5113</v>
      </c>
      <c r="C43" s="2">
        <v>45493</v>
      </c>
      <c r="D43" t="str">
        <f t="shared" ca="1" si="0"/>
        <v>Defectuoso</v>
      </c>
      <c r="E43" t="str">
        <f t="shared" ca="1" si="1"/>
        <v>Reacondicionado</v>
      </c>
    </row>
    <row r="44" spans="1:5" hidden="1" x14ac:dyDescent="0.25">
      <c r="A44" t="s">
        <v>7263</v>
      </c>
      <c r="B44" t="s">
        <v>5126</v>
      </c>
      <c r="C44" s="2">
        <v>45853</v>
      </c>
      <c r="D44" t="str">
        <f t="shared" ca="1" si="0"/>
        <v>Componente Incompatible</v>
      </c>
      <c r="E44" t="str">
        <f t="shared" ca="1" si="1"/>
        <v>Desecho</v>
      </c>
    </row>
    <row r="45" spans="1:5" x14ac:dyDescent="0.25">
      <c r="A45" t="s">
        <v>7264</v>
      </c>
      <c r="B45" t="s">
        <v>5130</v>
      </c>
      <c r="C45" s="2">
        <v>45652</v>
      </c>
      <c r="D45" t="str">
        <f t="shared" ca="1" si="0"/>
        <v>Pedido Incorrecto</v>
      </c>
      <c r="E45" t="str">
        <f t="shared" ca="1" si="1"/>
        <v>Desecho</v>
      </c>
    </row>
    <row r="46" spans="1:5" hidden="1" x14ac:dyDescent="0.25">
      <c r="A46" t="s">
        <v>7265</v>
      </c>
      <c r="B46" t="s">
        <v>5132</v>
      </c>
      <c r="C46" s="2">
        <v>45731</v>
      </c>
      <c r="D46" t="str">
        <f t="shared" ca="1" si="0"/>
        <v>Defectuoso</v>
      </c>
      <c r="E46" t="str">
        <f t="shared" ca="1" si="1"/>
        <v>Reacondicionado</v>
      </c>
    </row>
    <row r="47" spans="1:5" hidden="1" x14ac:dyDescent="0.25">
      <c r="A47" t="s">
        <v>7266</v>
      </c>
      <c r="B47" t="s">
        <v>5157</v>
      </c>
      <c r="C47" s="2">
        <v>45831</v>
      </c>
      <c r="D47" t="str">
        <f t="shared" ca="1" si="0"/>
        <v>Pedido Incorrecto</v>
      </c>
      <c r="E47" t="str">
        <f t="shared" ca="1" si="1"/>
        <v>Reacondicionado</v>
      </c>
    </row>
    <row r="48" spans="1:5" hidden="1" x14ac:dyDescent="0.25">
      <c r="A48" t="s">
        <v>7267</v>
      </c>
      <c r="B48" t="s">
        <v>5183</v>
      </c>
      <c r="C48" s="2">
        <v>45471</v>
      </c>
      <c r="D48" t="str">
        <f t="shared" ca="1" si="0"/>
        <v>Retraso en entrega</v>
      </c>
      <c r="E48" t="str">
        <f t="shared" ca="1" si="1"/>
        <v>Desecho</v>
      </c>
    </row>
    <row r="49" spans="1:5" x14ac:dyDescent="0.25">
      <c r="A49" t="s">
        <v>7268</v>
      </c>
      <c r="B49" t="s">
        <v>5210</v>
      </c>
      <c r="C49" s="2">
        <v>45401</v>
      </c>
      <c r="D49" t="str">
        <f t="shared" ca="1" si="0"/>
        <v>Retraso en entrega</v>
      </c>
      <c r="E49" t="str">
        <f t="shared" ca="1" si="1"/>
        <v>Desecho</v>
      </c>
    </row>
    <row r="50" spans="1:5" x14ac:dyDescent="0.25">
      <c r="A50" t="s">
        <v>7269</v>
      </c>
      <c r="B50" t="s">
        <v>5239</v>
      </c>
      <c r="C50" s="2">
        <v>45716</v>
      </c>
      <c r="D50" t="str">
        <f t="shared" ca="1" si="0"/>
        <v>Defectuoso</v>
      </c>
      <c r="E50" t="str">
        <f t="shared" ca="1" si="1"/>
        <v>Reacondicionado</v>
      </c>
    </row>
    <row r="51" spans="1:5" x14ac:dyDescent="0.25">
      <c r="A51" t="s">
        <v>7270</v>
      </c>
      <c r="B51" t="s">
        <v>5242</v>
      </c>
      <c r="C51" s="2">
        <v>45655</v>
      </c>
      <c r="D51" t="str">
        <f t="shared" ca="1" si="0"/>
        <v>Componente Incompatible</v>
      </c>
      <c r="E51" t="str">
        <f t="shared" ca="1" si="1"/>
        <v>Reacondicionado</v>
      </c>
    </row>
    <row r="52" spans="1:5" hidden="1" x14ac:dyDescent="0.25">
      <c r="A52" t="s">
        <v>7271</v>
      </c>
      <c r="B52" t="s">
        <v>5258</v>
      </c>
      <c r="C52" s="2">
        <v>45858</v>
      </c>
      <c r="D52" t="str">
        <f t="shared" ca="1" si="0"/>
        <v>Componente Incompatible</v>
      </c>
      <c r="E52" t="str">
        <f t="shared" ca="1" si="1"/>
        <v>Desecho</v>
      </c>
    </row>
    <row r="53" spans="1:5" hidden="1" x14ac:dyDescent="0.25">
      <c r="A53" t="s">
        <v>7272</v>
      </c>
      <c r="B53" t="s">
        <v>5266</v>
      </c>
      <c r="C53" s="2">
        <v>45426</v>
      </c>
      <c r="D53" t="str">
        <f t="shared" ca="1" si="0"/>
        <v>Defectuoso</v>
      </c>
      <c r="E53" t="str">
        <f t="shared" ca="1" si="1"/>
        <v>Reacondicionado</v>
      </c>
    </row>
    <row r="54" spans="1:5" hidden="1" x14ac:dyDescent="0.25">
      <c r="A54" t="s">
        <v>7273</v>
      </c>
      <c r="B54" t="s">
        <v>5284</v>
      </c>
      <c r="C54" s="2">
        <v>45326</v>
      </c>
      <c r="D54" t="str">
        <f t="shared" ca="1" si="0"/>
        <v>Retraso en entrega</v>
      </c>
      <c r="E54" t="str">
        <f t="shared" ca="1" si="1"/>
        <v>Reacondicionado</v>
      </c>
    </row>
    <row r="55" spans="1:5" x14ac:dyDescent="0.25">
      <c r="A55" t="s">
        <v>7274</v>
      </c>
      <c r="B55" t="s">
        <v>5297</v>
      </c>
      <c r="C55" s="2">
        <v>45773</v>
      </c>
      <c r="D55" t="str">
        <f t="shared" ca="1" si="0"/>
        <v>Defectuoso</v>
      </c>
      <c r="E55" t="str">
        <f t="shared" ca="1" si="1"/>
        <v>Reacondicionado</v>
      </c>
    </row>
    <row r="56" spans="1:5" x14ac:dyDescent="0.25">
      <c r="A56" t="s">
        <v>7275</v>
      </c>
      <c r="B56" t="s">
        <v>5301</v>
      </c>
      <c r="C56" s="2">
        <v>45648</v>
      </c>
      <c r="D56" t="str">
        <f t="shared" ca="1" si="0"/>
        <v>Defectuoso</v>
      </c>
      <c r="E56" t="str">
        <f t="shared" ca="1" si="1"/>
        <v>Reacondicionado</v>
      </c>
    </row>
    <row r="57" spans="1:5" hidden="1" x14ac:dyDescent="0.25">
      <c r="A57" t="s">
        <v>7276</v>
      </c>
      <c r="B57" t="s">
        <v>5304</v>
      </c>
      <c r="C57" s="2">
        <v>45736</v>
      </c>
      <c r="D57" t="str">
        <f t="shared" ca="1" si="0"/>
        <v>Pedido Incorrecto</v>
      </c>
      <c r="E57" t="str">
        <f t="shared" ca="1" si="1"/>
        <v>Reacondicionado</v>
      </c>
    </row>
    <row r="58" spans="1:5" hidden="1" x14ac:dyDescent="0.25">
      <c r="A58" t="s">
        <v>7277</v>
      </c>
      <c r="B58" t="s">
        <v>5310</v>
      </c>
      <c r="C58" s="2">
        <v>45920</v>
      </c>
      <c r="D58" t="str">
        <f t="shared" ca="1" si="0"/>
        <v>Defectuoso</v>
      </c>
      <c r="E58" t="str">
        <f t="shared" ca="1" si="1"/>
        <v>Desecho</v>
      </c>
    </row>
    <row r="59" spans="1:5" hidden="1" x14ac:dyDescent="0.25">
      <c r="A59" t="s">
        <v>7278</v>
      </c>
      <c r="B59" t="s">
        <v>5314</v>
      </c>
      <c r="C59" s="2">
        <v>45335</v>
      </c>
      <c r="D59" t="str">
        <f t="shared" ca="1" si="0"/>
        <v>Pedido Incorrecto</v>
      </c>
      <c r="E59" t="str">
        <f t="shared" ca="1" si="1"/>
        <v>Reacondicionado</v>
      </c>
    </row>
    <row r="60" spans="1:5" hidden="1" x14ac:dyDescent="0.25">
      <c r="A60" t="s">
        <v>7279</v>
      </c>
      <c r="B60" t="s">
        <v>5355</v>
      </c>
      <c r="C60" s="2">
        <v>45709</v>
      </c>
      <c r="D60" t="str">
        <f t="shared" ca="1" si="0"/>
        <v>Defectuoso</v>
      </c>
      <c r="E60" t="str">
        <f t="shared" ca="1" si="1"/>
        <v>Desecho</v>
      </c>
    </row>
    <row r="61" spans="1:5" x14ac:dyDescent="0.25">
      <c r="A61" t="s">
        <v>7280</v>
      </c>
      <c r="B61" t="s">
        <v>5395</v>
      </c>
      <c r="C61" s="2">
        <v>45491</v>
      </c>
      <c r="D61" t="str">
        <f t="shared" ca="1" si="0"/>
        <v>Componente Incompatible</v>
      </c>
      <c r="E61" t="str">
        <f t="shared" ca="1" si="1"/>
        <v>Desecho</v>
      </c>
    </row>
    <row r="62" spans="1:5" hidden="1" x14ac:dyDescent="0.25">
      <c r="A62" t="s">
        <v>7281</v>
      </c>
      <c r="B62" t="s">
        <v>5411</v>
      </c>
      <c r="C62" s="2">
        <v>45396</v>
      </c>
      <c r="D62" t="str">
        <f t="shared" ca="1" si="0"/>
        <v>Defectuoso</v>
      </c>
      <c r="E62" t="str">
        <f t="shared" ca="1" si="1"/>
        <v>Desecho</v>
      </c>
    </row>
    <row r="63" spans="1:5" hidden="1" x14ac:dyDescent="0.25">
      <c r="A63" t="s">
        <v>7282</v>
      </c>
      <c r="B63" t="s">
        <v>5453</v>
      </c>
      <c r="C63" s="2">
        <v>45391</v>
      </c>
      <c r="D63" t="str">
        <f t="shared" ca="1" si="0"/>
        <v>Retraso en entrega</v>
      </c>
      <c r="E63" t="str">
        <f t="shared" ca="1" si="1"/>
        <v>Reacondicionado</v>
      </c>
    </row>
    <row r="64" spans="1:5" hidden="1" x14ac:dyDescent="0.25">
      <c r="A64" t="s">
        <v>7283</v>
      </c>
      <c r="B64" t="s">
        <v>5499</v>
      </c>
      <c r="C64" s="2">
        <v>45983</v>
      </c>
      <c r="D64" t="str">
        <f t="shared" ca="1" si="0"/>
        <v>Pedido Incorrecto</v>
      </c>
      <c r="E64" t="str">
        <f t="shared" ca="1" si="1"/>
        <v>Reacondicionado</v>
      </c>
    </row>
    <row r="65" spans="1:5" hidden="1" x14ac:dyDescent="0.25">
      <c r="A65" t="s">
        <v>7284</v>
      </c>
      <c r="B65" t="s">
        <v>5515</v>
      </c>
      <c r="C65" s="2">
        <v>45459</v>
      </c>
      <c r="D65" t="str">
        <f t="shared" ca="1" si="0"/>
        <v>Retraso en entrega</v>
      </c>
      <c r="E65" t="str">
        <f t="shared" ca="1" si="1"/>
        <v>Reacondicionado</v>
      </c>
    </row>
    <row r="66" spans="1:5" x14ac:dyDescent="0.25">
      <c r="A66" t="s">
        <v>7285</v>
      </c>
      <c r="B66" t="s">
        <v>5538</v>
      </c>
      <c r="C66" s="2">
        <v>45322</v>
      </c>
      <c r="D66" t="str">
        <f t="shared" ca="1" si="0"/>
        <v>Pedido Incorrecto</v>
      </c>
      <c r="E66" t="str">
        <f t="shared" ca="1" si="1"/>
        <v>Reacondicionado</v>
      </c>
    </row>
    <row r="67" spans="1:5" hidden="1" x14ac:dyDescent="0.25">
      <c r="A67" t="s">
        <v>7286</v>
      </c>
      <c r="B67" t="s">
        <v>5542</v>
      </c>
      <c r="C67" s="2">
        <v>45998</v>
      </c>
      <c r="D67" t="str">
        <f t="shared" ref="D67:D93" ca="1" si="2">CHOOSE(RANDBETWEEN(1, 4), "Defectuoso", "Pedido Incorrecto", "Retraso en entrega", "Componente Incompatible")</f>
        <v>Pedido Incorrecto</v>
      </c>
      <c r="E67" t="str">
        <f t="shared" ref="E67:E93" ca="1" si="3">CHOOSE(RANDBETWEEN(1, 2), "Reacondicionado", "Desecho")</f>
        <v>Desecho</v>
      </c>
    </row>
    <row r="68" spans="1:5" hidden="1" x14ac:dyDescent="0.25">
      <c r="A68" t="s">
        <v>7287</v>
      </c>
      <c r="B68" t="s">
        <v>5559</v>
      </c>
      <c r="C68" s="2">
        <v>45539</v>
      </c>
      <c r="D68" t="str">
        <f t="shared" ca="1" si="2"/>
        <v>Componente Incompatible</v>
      </c>
      <c r="E68" t="str">
        <f t="shared" ca="1" si="3"/>
        <v>Desecho</v>
      </c>
    </row>
    <row r="69" spans="1:5" x14ac:dyDescent="0.25">
      <c r="A69" t="s">
        <v>7288</v>
      </c>
      <c r="B69" t="s">
        <v>5571</v>
      </c>
      <c r="C69" s="2">
        <v>45582</v>
      </c>
      <c r="D69" t="str">
        <f t="shared" ca="1" si="2"/>
        <v>Componente Incompatible</v>
      </c>
      <c r="E69" t="str">
        <f t="shared" ca="1" si="3"/>
        <v>Reacondicionado</v>
      </c>
    </row>
    <row r="70" spans="1:5" x14ac:dyDescent="0.25">
      <c r="A70" t="s">
        <v>7289</v>
      </c>
      <c r="B70" t="s">
        <v>5575</v>
      </c>
      <c r="C70" s="2">
        <v>45577</v>
      </c>
      <c r="D70" t="str">
        <f t="shared" ca="1" si="2"/>
        <v>Defectuoso</v>
      </c>
      <c r="E70" t="str">
        <f t="shared" ca="1" si="3"/>
        <v>Desecho</v>
      </c>
    </row>
    <row r="71" spans="1:5" hidden="1" x14ac:dyDescent="0.25">
      <c r="A71" t="s">
        <v>7290</v>
      </c>
      <c r="B71" t="s">
        <v>5583</v>
      </c>
      <c r="C71" s="2">
        <v>45616</v>
      </c>
      <c r="D71" t="str">
        <f t="shared" ca="1" si="2"/>
        <v>Retraso en entrega</v>
      </c>
      <c r="E71" t="str">
        <f t="shared" ca="1" si="3"/>
        <v>Desecho</v>
      </c>
    </row>
    <row r="72" spans="1:5" x14ac:dyDescent="0.25">
      <c r="A72" t="s">
        <v>7291</v>
      </c>
      <c r="B72" t="s">
        <v>5599</v>
      </c>
      <c r="C72" s="2">
        <v>45558</v>
      </c>
      <c r="D72" t="str">
        <f t="shared" ca="1" si="2"/>
        <v>Defectuoso</v>
      </c>
      <c r="E72" t="str">
        <f t="shared" ca="1" si="3"/>
        <v>Desecho</v>
      </c>
    </row>
    <row r="73" spans="1:5" hidden="1" x14ac:dyDescent="0.25">
      <c r="A73" t="s">
        <v>7292</v>
      </c>
      <c r="B73" t="s">
        <v>5622</v>
      </c>
      <c r="C73" s="2">
        <v>46030</v>
      </c>
      <c r="D73" t="str">
        <f t="shared" ca="1" si="2"/>
        <v>Componente Incompatible</v>
      </c>
      <c r="E73" t="str">
        <f t="shared" ca="1" si="3"/>
        <v>Desecho</v>
      </c>
    </row>
    <row r="74" spans="1:5" hidden="1" x14ac:dyDescent="0.25">
      <c r="A74" t="s">
        <v>7293</v>
      </c>
      <c r="B74" t="s">
        <v>5626</v>
      </c>
      <c r="C74" s="2">
        <v>45915</v>
      </c>
      <c r="D74" t="str">
        <f t="shared" ca="1" si="2"/>
        <v>Pedido Incorrecto</v>
      </c>
      <c r="E74" t="str">
        <f t="shared" ca="1" si="3"/>
        <v>Desecho</v>
      </c>
    </row>
    <row r="75" spans="1:5" x14ac:dyDescent="0.25">
      <c r="A75" t="s">
        <v>7294</v>
      </c>
      <c r="B75" t="s">
        <v>5640</v>
      </c>
      <c r="C75" s="2">
        <v>46043</v>
      </c>
      <c r="D75" t="str">
        <f t="shared" ca="1" si="2"/>
        <v>Pedido Incorrecto</v>
      </c>
      <c r="E75" t="str">
        <f t="shared" ca="1" si="3"/>
        <v>Desecho</v>
      </c>
    </row>
    <row r="76" spans="1:5" hidden="1" x14ac:dyDescent="0.25">
      <c r="A76" t="s">
        <v>7295</v>
      </c>
      <c r="B76" t="s">
        <v>5644</v>
      </c>
      <c r="C76" s="2">
        <v>45831</v>
      </c>
      <c r="D76" t="str">
        <f t="shared" ca="1" si="2"/>
        <v>Pedido Incorrecto</v>
      </c>
      <c r="E76" t="str">
        <f t="shared" ca="1" si="3"/>
        <v>Reacondicionado</v>
      </c>
    </row>
    <row r="77" spans="1:5" hidden="1" x14ac:dyDescent="0.25">
      <c r="A77" t="s">
        <v>7296</v>
      </c>
      <c r="B77" t="s">
        <v>5650</v>
      </c>
      <c r="C77" s="2">
        <v>45358</v>
      </c>
      <c r="D77" t="str">
        <f t="shared" ca="1" si="2"/>
        <v>Retraso en entrega</v>
      </c>
      <c r="E77" t="str">
        <f t="shared" ca="1" si="3"/>
        <v>Reacondicionado</v>
      </c>
    </row>
    <row r="78" spans="1:5" hidden="1" x14ac:dyDescent="0.25">
      <c r="A78" t="s">
        <v>7297</v>
      </c>
      <c r="B78" t="s">
        <v>5668</v>
      </c>
      <c r="C78" s="2">
        <v>45703</v>
      </c>
      <c r="D78" t="str">
        <f t="shared" ca="1" si="2"/>
        <v>Defectuoso</v>
      </c>
      <c r="E78" t="str">
        <f t="shared" ca="1" si="3"/>
        <v>Reacondicionado</v>
      </c>
    </row>
    <row r="79" spans="1:5" hidden="1" x14ac:dyDescent="0.25">
      <c r="A79" t="s">
        <v>7298</v>
      </c>
      <c r="B79" t="s">
        <v>5688</v>
      </c>
      <c r="C79" s="2">
        <v>46074</v>
      </c>
      <c r="D79" t="str">
        <f t="shared" ca="1" si="2"/>
        <v>Retraso en entrega</v>
      </c>
      <c r="E79" t="str">
        <f t="shared" ca="1" si="3"/>
        <v>Reacondicionado</v>
      </c>
    </row>
    <row r="80" spans="1:5" hidden="1" x14ac:dyDescent="0.25">
      <c r="A80" t="s">
        <v>7299</v>
      </c>
      <c r="B80" t="s">
        <v>5754</v>
      </c>
      <c r="C80" s="2">
        <v>45564</v>
      </c>
      <c r="D80" t="str">
        <f t="shared" ca="1" si="2"/>
        <v>Defectuoso</v>
      </c>
      <c r="E80" t="str">
        <f t="shared" ca="1" si="3"/>
        <v>Desecho</v>
      </c>
    </row>
    <row r="81" spans="1:5" hidden="1" x14ac:dyDescent="0.25">
      <c r="A81" t="s">
        <v>7300</v>
      </c>
      <c r="B81" t="s">
        <v>5756</v>
      </c>
      <c r="C81" s="2">
        <v>45359</v>
      </c>
      <c r="D81" t="str">
        <f t="shared" ca="1" si="2"/>
        <v>Defectuoso</v>
      </c>
      <c r="E81" t="str">
        <f t="shared" ca="1" si="3"/>
        <v>Desecho</v>
      </c>
    </row>
    <row r="82" spans="1:5" x14ac:dyDescent="0.25">
      <c r="A82" t="s">
        <v>7301</v>
      </c>
      <c r="B82" t="s">
        <v>5760</v>
      </c>
      <c r="C82" s="2">
        <v>45447</v>
      </c>
      <c r="D82" t="str">
        <f t="shared" ca="1" si="2"/>
        <v>Componente Incompatible</v>
      </c>
      <c r="E82" t="str">
        <f t="shared" ca="1" si="3"/>
        <v>Desecho</v>
      </c>
    </row>
    <row r="83" spans="1:5" hidden="1" x14ac:dyDescent="0.25">
      <c r="A83" t="s">
        <v>7302</v>
      </c>
      <c r="B83" t="s">
        <v>5768</v>
      </c>
      <c r="C83" s="2">
        <v>45310</v>
      </c>
      <c r="D83" t="str">
        <f t="shared" ca="1" si="2"/>
        <v>Retraso en entrega</v>
      </c>
      <c r="E83" t="str">
        <f t="shared" ca="1" si="3"/>
        <v>Desecho</v>
      </c>
    </row>
    <row r="84" spans="1:5" x14ac:dyDescent="0.25">
      <c r="A84" t="s">
        <v>7303</v>
      </c>
      <c r="B84" t="s">
        <v>5770</v>
      </c>
      <c r="C84" s="2">
        <v>45812</v>
      </c>
      <c r="D84" t="str">
        <f t="shared" ca="1" si="2"/>
        <v>Pedido Incorrecto</v>
      </c>
      <c r="E84" t="str">
        <f t="shared" ca="1" si="3"/>
        <v>Desecho</v>
      </c>
    </row>
    <row r="85" spans="1:5" hidden="1" x14ac:dyDescent="0.25">
      <c r="A85" t="s">
        <v>7304</v>
      </c>
      <c r="B85" t="s">
        <v>5786</v>
      </c>
      <c r="C85" s="2">
        <v>45918</v>
      </c>
      <c r="D85" t="str">
        <f t="shared" ca="1" si="2"/>
        <v>Defectuoso</v>
      </c>
      <c r="E85" t="str">
        <f t="shared" ca="1" si="3"/>
        <v>Reacondicionado</v>
      </c>
    </row>
    <row r="86" spans="1:5" hidden="1" x14ac:dyDescent="0.25">
      <c r="A86" t="s">
        <v>7305</v>
      </c>
      <c r="B86" t="s">
        <v>5790</v>
      </c>
      <c r="C86" s="2">
        <v>46090</v>
      </c>
      <c r="D86" t="str">
        <f t="shared" ca="1" si="2"/>
        <v>Retraso en entrega</v>
      </c>
      <c r="E86" t="str">
        <f t="shared" ca="1" si="3"/>
        <v>Reacondicionado</v>
      </c>
    </row>
    <row r="87" spans="1:5" hidden="1" x14ac:dyDescent="0.25">
      <c r="A87" t="s">
        <v>7306</v>
      </c>
      <c r="B87" t="s">
        <v>5802</v>
      </c>
      <c r="C87" s="2">
        <v>45863</v>
      </c>
      <c r="D87" t="str">
        <f t="shared" ca="1" si="2"/>
        <v>Componente Incompatible</v>
      </c>
      <c r="E87" t="str">
        <f t="shared" ca="1" si="3"/>
        <v>Reacondicionado</v>
      </c>
    </row>
    <row r="88" spans="1:5" hidden="1" x14ac:dyDescent="0.25">
      <c r="A88" t="s">
        <v>7307</v>
      </c>
      <c r="B88" t="s">
        <v>5821</v>
      </c>
      <c r="C88" s="2">
        <v>45894</v>
      </c>
      <c r="D88" t="str">
        <f t="shared" ca="1" si="2"/>
        <v>Componente Incompatible</v>
      </c>
      <c r="E88" t="str">
        <f t="shared" ca="1" si="3"/>
        <v>Desecho</v>
      </c>
    </row>
    <row r="89" spans="1:5" hidden="1" x14ac:dyDescent="0.25">
      <c r="A89" t="s">
        <v>7308</v>
      </c>
      <c r="B89" t="s">
        <v>5842</v>
      </c>
      <c r="C89" s="2">
        <v>45753</v>
      </c>
      <c r="D89" t="str">
        <f t="shared" ca="1" si="2"/>
        <v>Retraso en entrega</v>
      </c>
      <c r="E89" t="str">
        <f t="shared" ca="1" si="3"/>
        <v>Reacondicionado</v>
      </c>
    </row>
    <row r="90" spans="1:5" hidden="1" x14ac:dyDescent="0.25">
      <c r="A90" t="s">
        <v>7309</v>
      </c>
      <c r="B90" t="s">
        <v>5859</v>
      </c>
      <c r="C90" s="2">
        <v>45435</v>
      </c>
      <c r="D90" t="str">
        <f t="shared" ca="1" si="2"/>
        <v>Componente Incompatible</v>
      </c>
      <c r="E90" t="str">
        <f t="shared" ca="1" si="3"/>
        <v>Desecho</v>
      </c>
    </row>
    <row r="91" spans="1:5" hidden="1" x14ac:dyDescent="0.25">
      <c r="A91" t="s">
        <v>7310</v>
      </c>
      <c r="B91" t="s">
        <v>5901</v>
      </c>
      <c r="C91" s="2">
        <v>45595</v>
      </c>
      <c r="D91" t="str">
        <f t="shared" ca="1" si="2"/>
        <v>Defectuoso</v>
      </c>
      <c r="E91" t="str">
        <f t="shared" ca="1" si="3"/>
        <v>Reacondicionado</v>
      </c>
    </row>
    <row r="92" spans="1:5" hidden="1" x14ac:dyDescent="0.25">
      <c r="A92" t="s">
        <v>7311</v>
      </c>
      <c r="B92" t="s">
        <v>5934</v>
      </c>
      <c r="C92" s="2">
        <v>46093</v>
      </c>
      <c r="D92" t="str">
        <f t="shared" ca="1" si="2"/>
        <v>Defectuoso</v>
      </c>
      <c r="E92" t="str">
        <f t="shared" ca="1" si="3"/>
        <v>Reacondicionado</v>
      </c>
    </row>
    <row r="93" spans="1:5" hidden="1" x14ac:dyDescent="0.25">
      <c r="A93" t="s">
        <v>7312</v>
      </c>
      <c r="B93" t="s">
        <v>5948</v>
      </c>
      <c r="C93" s="2">
        <v>46025</v>
      </c>
      <c r="D93" t="str">
        <f t="shared" ca="1" si="2"/>
        <v>Componente Incompatible</v>
      </c>
      <c r="E93" t="str">
        <f t="shared" ca="1" si="3"/>
        <v>Desecho</v>
      </c>
    </row>
  </sheetData>
  <autoFilter ref="A1:E93" xr:uid="{B3B358A0-CA3B-4ABD-81BA-B75DD16DDF87}">
    <filterColumn colId="3">
      <filters>
        <filter val="Retraso en entrega"/>
      </filters>
    </filterColumn>
  </autoFilter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79AE7-631F-4487-A09F-3AF5DCDFA6A8}">
  <dimension ref="A1:E28"/>
  <sheetViews>
    <sheetView workbookViewId="0">
      <selection activeCell="F23" sqref="F23"/>
    </sheetView>
  </sheetViews>
  <sheetFormatPr baseColWidth="10" defaultRowHeight="15" x14ac:dyDescent="0.25"/>
  <cols>
    <col min="1" max="4" width="24.140625" customWidth="1"/>
    <col min="5" max="5" width="13.42578125" customWidth="1"/>
  </cols>
  <sheetData>
    <row r="1" spans="1:5" x14ac:dyDescent="0.25">
      <c r="A1" t="s">
        <v>7313</v>
      </c>
      <c r="B1" t="s">
        <v>7217</v>
      </c>
      <c r="C1" t="s">
        <v>7314</v>
      </c>
      <c r="D1" t="s">
        <v>7315</v>
      </c>
      <c r="E1" t="s">
        <v>7316</v>
      </c>
    </row>
    <row r="2" spans="1:5" x14ac:dyDescent="0.25">
      <c r="A2" t="s">
        <v>7317</v>
      </c>
      <c r="B2" t="s">
        <v>4242</v>
      </c>
      <c r="C2" t="str">
        <f ca="1">CHOOSE(RANDBETWEEN(1, 4), "Accidente", "Retraso por Clima", "Robo Parcial", "Falla Mecánica")</f>
        <v>Robo Parcial</v>
      </c>
      <c r="D2">
        <f ca="1">RANDBETWEEN(50, 800)</f>
        <v>278</v>
      </c>
      <c r="E2">
        <f ca="1">RANDBETWEEN(50, 800)</f>
        <v>690</v>
      </c>
    </row>
    <row r="3" spans="1:5" x14ac:dyDescent="0.25">
      <c r="A3" t="s">
        <v>7319</v>
      </c>
      <c r="B3" t="s">
        <v>4255</v>
      </c>
      <c r="C3" t="str">
        <f t="shared" ref="C3:C28" ca="1" si="0">CHOOSE(RANDBETWEEN(1, 4), "Accidente", "Retraso por Clima", "Robo Parcial", "Falla Mecánica")</f>
        <v>Accidente</v>
      </c>
      <c r="D3">
        <f t="shared" ref="D3:E28" ca="1" si="1">RANDBETWEEN(50, 800)</f>
        <v>187</v>
      </c>
      <c r="E3">
        <f t="shared" ca="1" si="1"/>
        <v>601</v>
      </c>
    </row>
    <row r="4" spans="1:5" x14ac:dyDescent="0.25">
      <c r="A4" t="s">
        <v>7320</v>
      </c>
      <c r="B4" t="s">
        <v>4365</v>
      </c>
      <c r="C4" t="str">
        <f t="shared" ca="1" si="0"/>
        <v>Falla Mecánica</v>
      </c>
      <c r="D4">
        <f t="shared" ca="1" si="1"/>
        <v>798</v>
      </c>
      <c r="E4">
        <f t="shared" ca="1" si="1"/>
        <v>798</v>
      </c>
    </row>
    <row r="5" spans="1:5" x14ac:dyDescent="0.25">
      <c r="A5" t="s">
        <v>7321</v>
      </c>
      <c r="B5" t="s">
        <v>4486</v>
      </c>
      <c r="C5" t="str">
        <f t="shared" ca="1" si="0"/>
        <v>Accidente</v>
      </c>
      <c r="D5">
        <f t="shared" ca="1" si="1"/>
        <v>730</v>
      </c>
      <c r="E5">
        <f t="shared" ca="1" si="1"/>
        <v>74</v>
      </c>
    </row>
    <row r="6" spans="1:5" x14ac:dyDescent="0.25">
      <c r="A6" t="s">
        <v>7322</v>
      </c>
      <c r="B6" t="s">
        <v>4590</v>
      </c>
      <c r="C6" t="str">
        <f t="shared" ca="1" si="0"/>
        <v>Accidente</v>
      </c>
      <c r="D6">
        <f t="shared" ca="1" si="1"/>
        <v>404</v>
      </c>
      <c r="E6">
        <f t="shared" ca="1" si="1"/>
        <v>152</v>
      </c>
    </row>
    <row r="7" spans="1:5" x14ac:dyDescent="0.25">
      <c r="A7" t="s">
        <v>7323</v>
      </c>
      <c r="B7" t="s">
        <v>4777</v>
      </c>
      <c r="C7" t="str">
        <f t="shared" ca="1" si="0"/>
        <v>Falla Mecánica</v>
      </c>
      <c r="D7">
        <f t="shared" ca="1" si="1"/>
        <v>189</v>
      </c>
      <c r="E7">
        <f t="shared" ca="1" si="1"/>
        <v>418</v>
      </c>
    </row>
    <row r="8" spans="1:5" x14ac:dyDescent="0.25">
      <c r="A8" t="s">
        <v>7324</v>
      </c>
      <c r="B8" t="s">
        <v>4810</v>
      </c>
      <c r="C8" t="str">
        <f t="shared" ca="1" si="0"/>
        <v>Retraso por Clima</v>
      </c>
      <c r="D8">
        <f t="shared" ca="1" si="1"/>
        <v>776</v>
      </c>
      <c r="E8">
        <f t="shared" ca="1" si="1"/>
        <v>246</v>
      </c>
    </row>
    <row r="9" spans="1:5" x14ac:dyDescent="0.25">
      <c r="A9" t="s">
        <v>7325</v>
      </c>
      <c r="B9" t="s">
        <v>4841</v>
      </c>
      <c r="C9" t="str">
        <f t="shared" ca="1" si="0"/>
        <v>Robo Parcial</v>
      </c>
      <c r="D9">
        <f t="shared" ca="1" si="1"/>
        <v>430</v>
      </c>
      <c r="E9">
        <f t="shared" ca="1" si="1"/>
        <v>756</v>
      </c>
    </row>
    <row r="10" spans="1:5" x14ac:dyDescent="0.25">
      <c r="A10" t="s">
        <v>7326</v>
      </c>
      <c r="B10" t="s">
        <v>4933</v>
      </c>
      <c r="C10" t="str">
        <f t="shared" ca="1" si="0"/>
        <v>Falla Mecánica</v>
      </c>
      <c r="D10">
        <f t="shared" ca="1" si="1"/>
        <v>681</v>
      </c>
      <c r="E10">
        <f t="shared" ca="1" si="1"/>
        <v>599</v>
      </c>
    </row>
    <row r="11" spans="1:5" x14ac:dyDescent="0.25">
      <c r="A11" t="s">
        <v>7327</v>
      </c>
      <c r="B11" t="s">
        <v>4989</v>
      </c>
      <c r="C11" t="str">
        <f t="shared" ca="1" si="0"/>
        <v>Retraso por Clima</v>
      </c>
      <c r="D11">
        <f t="shared" ca="1" si="1"/>
        <v>599</v>
      </c>
      <c r="E11">
        <f t="shared" ca="1" si="1"/>
        <v>500</v>
      </c>
    </row>
    <row r="12" spans="1:5" x14ac:dyDescent="0.25">
      <c r="A12" t="s">
        <v>7328</v>
      </c>
      <c r="B12" t="s">
        <v>5063</v>
      </c>
      <c r="C12" t="str">
        <f t="shared" ca="1" si="0"/>
        <v>Retraso por Clima</v>
      </c>
      <c r="D12">
        <f t="shared" ca="1" si="1"/>
        <v>293</v>
      </c>
      <c r="E12">
        <f t="shared" ca="1" si="1"/>
        <v>799</v>
      </c>
    </row>
    <row r="13" spans="1:5" x14ac:dyDescent="0.25">
      <c r="A13" t="s">
        <v>7329</v>
      </c>
      <c r="B13" t="s">
        <v>5099</v>
      </c>
      <c r="C13" t="str">
        <f t="shared" ca="1" si="0"/>
        <v>Robo Parcial</v>
      </c>
      <c r="D13">
        <f t="shared" ca="1" si="1"/>
        <v>675</v>
      </c>
      <c r="E13">
        <f t="shared" ca="1" si="1"/>
        <v>681</v>
      </c>
    </row>
    <row r="14" spans="1:5" x14ac:dyDescent="0.25">
      <c r="A14" t="s">
        <v>7318</v>
      </c>
      <c r="B14" t="s">
        <v>5113</v>
      </c>
      <c r="C14" t="str">
        <f t="shared" ca="1" si="0"/>
        <v>Robo Parcial</v>
      </c>
      <c r="D14">
        <f t="shared" ca="1" si="1"/>
        <v>432</v>
      </c>
      <c r="E14">
        <f t="shared" ca="1" si="1"/>
        <v>471</v>
      </c>
    </row>
    <row r="15" spans="1:5" x14ac:dyDescent="0.25">
      <c r="A15" t="s">
        <v>7330</v>
      </c>
      <c r="B15" t="s">
        <v>5130</v>
      </c>
      <c r="C15" t="str">
        <f t="shared" ca="1" si="0"/>
        <v>Accidente</v>
      </c>
      <c r="D15">
        <f t="shared" ca="1" si="1"/>
        <v>600</v>
      </c>
      <c r="E15">
        <f t="shared" ca="1" si="1"/>
        <v>382</v>
      </c>
    </row>
    <row r="16" spans="1:5" x14ac:dyDescent="0.25">
      <c r="A16" t="s">
        <v>7331</v>
      </c>
      <c r="B16" t="s">
        <v>5210</v>
      </c>
      <c r="C16" t="str">
        <f t="shared" ca="1" si="0"/>
        <v>Retraso por Clima</v>
      </c>
      <c r="D16">
        <f t="shared" ca="1" si="1"/>
        <v>200</v>
      </c>
      <c r="E16">
        <f t="shared" ca="1" si="1"/>
        <v>578</v>
      </c>
    </row>
    <row r="17" spans="1:5" x14ac:dyDescent="0.25">
      <c r="A17" t="s">
        <v>7332</v>
      </c>
      <c r="B17" t="s">
        <v>5239</v>
      </c>
      <c r="C17" t="str">
        <f t="shared" ca="1" si="0"/>
        <v>Accidente</v>
      </c>
      <c r="D17">
        <f t="shared" ca="1" si="1"/>
        <v>214</v>
      </c>
      <c r="E17">
        <f t="shared" ca="1" si="1"/>
        <v>99</v>
      </c>
    </row>
    <row r="18" spans="1:5" x14ac:dyDescent="0.25">
      <c r="A18" t="s">
        <v>7333</v>
      </c>
      <c r="B18" t="s">
        <v>5242</v>
      </c>
      <c r="C18" t="str">
        <f t="shared" ca="1" si="0"/>
        <v>Retraso por Clima</v>
      </c>
      <c r="D18">
        <f t="shared" ca="1" si="1"/>
        <v>148</v>
      </c>
      <c r="E18">
        <f t="shared" ca="1" si="1"/>
        <v>521</v>
      </c>
    </row>
    <row r="19" spans="1:5" x14ac:dyDescent="0.25">
      <c r="A19" t="s">
        <v>7334</v>
      </c>
      <c r="B19" t="s">
        <v>5297</v>
      </c>
      <c r="C19" t="str">
        <f t="shared" ca="1" si="0"/>
        <v>Retraso por Clima</v>
      </c>
      <c r="D19">
        <f t="shared" ca="1" si="1"/>
        <v>790</v>
      </c>
      <c r="E19">
        <f t="shared" ca="1" si="1"/>
        <v>292</v>
      </c>
    </row>
    <row r="20" spans="1:5" x14ac:dyDescent="0.25">
      <c r="A20" t="s">
        <v>7335</v>
      </c>
      <c r="B20" t="s">
        <v>5301</v>
      </c>
      <c r="C20" t="str">
        <f t="shared" ca="1" si="0"/>
        <v>Retraso por Clima</v>
      </c>
      <c r="D20">
        <f t="shared" ca="1" si="1"/>
        <v>338</v>
      </c>
      <c r="E20">
        <f t="shared" ca="1" si="1"/>
        <v>703</v>
      </c>
    </row>
    <row r="21" spans="1:5" x14ac:dyDescent="0.25">
      <c r="A21" t="s">
        <v>7336</v>
      </c>
      <c r="B21" t="s">
        <v>5395</v>
      </c>
      <c r="C21" t="str">
        <f t="shared" ca="1" si="0"/>
        <v>Accidente</v>
      </c>
      <c r="D21">
        <f t="shared" ca="1" si="1"/>
        <v>390</v>
      </c>
      <c r="E21">
        <f t="shared" ca="1" si="1"/>
        <v>156</v>
      </c>
    </row>
    <row r="22" spans="1:5" x14ac:dyDescent="0.25">
      <c r="A22" t="s">
        <v>7337</v>
      </c>
      <c r="B22" t="s">
        <v>5538</v>
      </c>
      <c r="C22" t="str">
        <f t="shared" ca="1" si="0"/>
        <v>Falla Mecánica</v>
      </c>
      <c r="D22">
        <f t="shared" ca="1" si="1"/>
        <v>636</v>
      </c>
      <c r="E22">
        <f t="shared" ca="1" si="1"/>
        <v>141</v>
      </c>
    </row>
    <row r="23" spans="1:5" x14ac:dyDescent="0.25">
      <c r="A23" t="s">
        <v>7338</v>
      </c>
      <c r="B23" t="s">
        <v>5571</v>
      </c>
      <c r="C23" t="str">
        <f t="shared" ca="1" si="0"/>
        <v>Falla Mecánica</v>
      </c>
      <c r="D23">
        <f t="shared" ca="1" si="1"/>
        <v>425</v>
      </c>
      <c r="E23">
        <f t="shared" ca="1" si="1"/>
        <v>569</v>
      </c>
    </row>
    <row r="24" spans="1:5" x14ac:dyDescent="0.25">
      <c r="A24" t="s">
        <v>7339</v>
      </c>
      <c r="B24" t="s">
        <v>5575</v>
      </c>
      <c r="C24" t="str">
        <f t="shared" ca="1" si="0"/>
        <v>Falla Mecánica</v>
      </c>
      <c r="D24">
        <f t="shared" ca="1" si="1"/>
        <v>568</v>
      </c>
      <c r="E24">
        <f t="shared" ca="1" si="1"/>
        <v>665</v>
      </c>
    </row>
    <row r="25" spans="1:5" x14ac:dyDescent="0.25">
      <c r="A25" t="s">
        <v>7340</v>
      </c>
      <c r="B25" t="s">
        <v>5599</v>
      </c>
      <c r="C25" t="str">
        <f t="shared" ca="1" si="0"/>
        <v>Accidente</v>
      </c>
      <c r="D25">
        <f t="shared" ca="1" si="1"/>
        <v>587</v>
      </c>
      <c r="E25">
        <f t="shared" ca="1" si="1"/>
        <v>180</v>
      </c>
    </row>
    <row r="26" spans="1:5" x14ac:dyDescent="0.25">
      <c r="A26" t="s">
        <v>7341</v>
      </c>
      <c r="B26" t="s">
        <v>5640</v>
      </c>
      <c r="C26" t="str">
        <f t="shared" ca="1" si="0"/>
        <v>Falla Mecánica</v>
      </c>
      <c r="D26">
        <f t="shared" ca="1" si="1"/>
        <v>678</v>
      </c>
      <c r="E26">
        <f t="shared" ca="1" si="1"/>
        <v>511</v>
      </c>
    </row>
    <row r="27" spans="1:5" x14ac:dyDescent="0.25">
      <c r="A27" t="s">
        <v>7342</v>
      </c>
      <c r="B27" t="s">
        <v>5760</v>
      </c>
      <c r="C27" t="str">
        <f t="shared" ca="1" si="0"/>
        <v>Falla Mecánica</v>
      </c>
      <c r="D27">
        <f t="shared" ca="1" si="1"/>
        <v>67</v>
      </c>
      <c r="E27">
        <f t="shared" ca="1" si="1"/>
        <v>476</v>
      </c>
    </row>
    <row r="28" spans="1:5" x14ac:dyDescent="0.25">
      <c r="A28" t="s">
        <v>7343</v>
      </c>
      <c r="B28" t="s">
        <v>5770</v>
      </c>
      <c r="C28" t="str">
        <f t="shared" ca="1" si="0"/>
        <v>Robo Parcial</v>
      </c>
      <c r="D28">
        <f t="shared" ca="1" si="1"/>
        <v>375</v>
      </c>
      <c r="E28">
        <f t="shared" ca="1" si="1"/>
        <v>219</v>
      </c>
    </row>
  </sheetData>
  <autoFilter ref="A1:E28" xr:uid="{7C379AE7-631F-4487-A09F-3AF5DCDFA6A8}"/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S802"/>
  <sheetViews>
    <sheetView workbookViewId="0">
      <selection activeCell="C179" sqref="C179:C196"/>
    </sheetView>
  </sheetViews>
  <sheetFormatPr baseColWidth="10" defaultColWidth="9.140625" defaultRowHeight="15" x14ac:dyDescent="0.25"/>
  <cols>
    <col min="1" max="1" width="21.42578125" customWidth="1"/>
    <col min="2" max="2" width="21.42578125" style="2" customWidth="1"/>
    <col min="3" max="19" width="21.42578125" customWidth="1"/>
  </cols>
  <sheetData>
    <row r="1" spans="1:19" x14ac:dyDescent="0.25">
      <c r="A1" s="1" t="s">
        <v>1116</v>
      </c>
      <c r="B1" s="3" t="s">
        <v>3409</v>
      </c>
      <c r="C1" s="1" t="s">
        <v>4216</v>
      </c>
      <c r="D1" s="1" t="s">
        <v>4217</v>
      </c>
      <c r="E1" s="1" t="s">
        <v>4218</v>
      </c>
      <c r="F1" s="1" t="s">
        <v>0</v>
      </c>
      <c r="G1" s="1" t="s">
        <v>4219</v>
      </c>
      <c r="H1" s="1" t="s">
        <v>4220</v>
      </c>
      <c r="I1" s="1" t="s">
        <v>4221</v>
      </c>
      <c r="J1" s="1" t="s">
        <v>1472</v>
      </c>
      <c r="K1" s="1" t="s">
        <v>3415</v>
      </c>
      <c r="L1" s="1" t="s">
        <v>3416</v>
      </c>
      <c r="M1" s="1" t="s">
        <v>3417</v>
      </c>
      <c r="N1" s="1" t="s">
        <v>4222</v>
      </c>
      <c r="O1" s="1" t="s">
        <v>4223</v>
      </c>
      <c r="P1" s="1" t="s">
        <v>3419</v>
      </c>
      <c r="Q1" s="1" t="s">
        <v>4224</v>
      </c>
      <c r="R1" s="1" t="s">
        <v>17</v>
      </c>
      <c r="S1" s="1" t="s">
        <v>3420</v>
      </c>
    </row>
    <row r="2" spans="1:19" hidden="1" x14ac:dyDescent="0.25">
      <c r="A2" t="s">
        <v>4225</v>
      </c>
      <c r="B2" t="s">
        <v>2849</v>
      </c>
      <c r="C2" t="s">
        <v>2521</v>
      </c>
      <c r="D2" t="s">
        <v>4226</v>
      </c>
      <c r="E2" t="s">
        <v>1554</v>
      </c>
      <c r="F2" t="s">
        <v>87</v>
      </c>
      <c r="G2">
        <v>33</v>
      </c>
      <c r="H2">
        <v>274.95999999999998</v>
      </c>
      <c r="I2">
        <v>9073.68</v>
      </c>
      <c r="J2">
        <v>10.4</v>
      </c>
      <c r="K2">
        <v>1451.79</v>
      </c>
      <c r="L2">
        <v>9581.81</v>
      </c>
      <c r="M2" t="s">
        <v>4227</v>
      </c>
      <c r="N2" t="s">
        <v>4228</v>
      </c>
      <c r="O2" t="s">
        <v>2440</v>
      </c>
      <c r="P2" t="s">
        <v>2525</v>
      </c>
      <c r="Q2" t="s">
        <v>4229</v>
      </c>
      <c r="R2" t="s">
        <v>3434</v>
      </c>
      <c r="S2" t="s">
        <v>4230</v>
      </c>
    </row>
    <row r="3" spans="1:19" hidden="1" x14ac:dyDescent="0.25">
      <c r="A3" t="s">
        <v>4231</v>
      </c>
      <c r="B3" t="s">
        <v>2673</v>
      </c>
      <c r="C3" t="s">
        <v>3885</v>
      </c>
      <c r="D3" t="s">
        <v>3586</v>
      </c>
      <c r="E3" t="s">
        <v>1544</v>
      </c>
      <c r="F3" t="s">
        <v>774</v>
      </c>
      <c r="G3">
        <v>38</v>
      </c>
      <c r="H3">
        <v>198.64</v>
      </c>
      <c r="I3">
        <v>7548.32</v>
      </c>
      <c r="J3">
        <v>8.8000000000000007</v>
      </c>
      <c r="K3">
        <v>1207.73</v>
      </c>
      <c r="L3">
        <v>8091.8</v>
      </c>
      <c r="M3" t="s">
        <v>4232</v>
      </c>
      <c r="N3" t="s">
        <v>4233</v>
      </c>
      <c r="O3" t="s">
        <v>2449</v>
      </c>
      <c r="P3" t="s">
        <v>2564</v>
      </c>
      <c r="Q3" t="s">
        <v>4234</v>
      </c>
      <c r="R3" t="s">
        <v>3425</v>
      </c>
      <c r="S3" t="s">
        <v>4235</v>
      </c>
    </row>
    <row r="4" spans="1:19" hidden="1" x14ac:dyDescent="0.25">
      <c r="A4" t="s">
        <v>4236</v>
      </c>
      <c r="B4" t="s">
        <v>3530</v>
      </c>
      <c r="C4" t="s">
        <v>4176</v>
      </c>
      <c r="D4" t="s">
        <v>4237</v>
      </c>
      <c r="E4" t="s">
        <v>1881</v>
      </c>
      <c r="F4" t="s">
        <v>960</v>
      </c>
      <c r="G4">
        <v>46</v>
      </c>
      <c r="H4">
        <v>451.89</v>
      </c>
      <c r="I4">
        <v>20786.939999999999</v>
      </c>
      <c r="J4">
        <v>14.5</v>
      </c>
      <c r="K4">
        <v>3325.91</v>
      </c>
      <c r="L4">
        <v>21098.74</v>
      </c>
      <c r="M4" t="s">
        <v>4238</v>
      </c>
      <c r="N4" t="s">
        <v>1121</v>
      </c>
      <c r="O4" t="s">
        <v>2388</v>
      </c>
      <c r="P4" t="s">
        <v>2551</v>
      </c>
      <c r="Q4" t="s">
        <v>4239</v>
      </c>
      <c r="R4" t="s">
        <v>3429</v>
      </c>
    </row>
    <row r="5" spans="1:19" hidden="1" x14ac:dyDescent="0.25">
      <c r="A5" t="s">
        <v>4240</v>
      </c>
      <c r="B5" t="s">
        <v>3228</v>
      </c>
      <c r="C5" t="s">
        <v>2985</v>
      </c>
      <c r="D5" t="s">
        <v>3253</v>
      </c>
      <c r="E5" t="s">
        <v>1534</v>
      </c>
      <c r="F5" t="s">
        <v>125</v>
      </c>
      <c r="G5">
        <v>20</v>
      </c>
      <c r="H5">
        <v>109.69</v>
      </c>
      <c r="I5">
        <v>2193.8000000000002</v>
      </c>
      <c r="J5">
        <v>2.7</v>
      </c>
      <c r="K5">
        <v>351.01</v>
      </c>
      <c r="L5">
        <v>2485.58</v>
      </c>
      <c r="M5" t="s">
        <v>4238</v>
      </c>
      <c r="N5" t="s">
        <v>1121</v>
      </c>
      <c r="O5" t="s">
        <v>2432</v>
      </c>
      <c r="P5" t="s">
        <v>2544</v>
      </c>
      <c r="Q5" t="s">
        <v>4241</v>
      </c>
      <c r="R5" t="s">
        <v>3425</v>
      </c>
    </row>
    <row r="6" spans="1:19" x14ac:dyDescent="0.25">
      <c r="A6" t="s">
        <v>4242</v>
      </c>
      <c r="B6" s="2" t="s">
        <v>3626</v>
      </c>
      <c r="C6" t="s">
        <v>2697</v>
      </c>
      <c r="D6" t="s">
        <v>1552</v>
      </c>
      <c r="E6" t="s">
        <v>1566</v>
      </c>
      <c r="F6" t="s">
        <v>306</v>
      </c>
      <c r="G6">
        <v>3</v>
      </c>
      <c r="H6">
        <v>312.41000000000003</v>
      </c>
      <c r="I6">
        <v>937.23</v>
      </c>
      <c r="J6">
        <v>9.6999999999999993</v>
      </c>
      <c r="K6">
        <v>149.96</v>
      </c>
      <c r="L6">
        <v>996.28</v>
      </c>
      <c r="M6" t="s">
        <v>3442</v>
      </c>
      <c r="N6" t="s">
        <v>4243</v>
      </c>
      <c r="O6" t="s">
        <v>2440</v>
      </c>
      <c r="P6" t="s">
        <v>2491</v>
      </c>
      <c r="Q6" t="s">
        <v>4244</v>
      </c>
      <c r="R6" t="s">
        <v>4245</v>
      </c>
      <c r="S6" t="s">
        <v>4230</v>
      </c>
    </row>
    <row r="7" spans="1:19" hidden="1" x14ac:dyDescent="0.25">
      <c r="A7" t="s">
        <v>4246</v>
      </c>
      <c r="B7" t="s">
        <v>3012</v>
      </c>
      <c r="C7" t="s">
        <v>2244</v>
      </c>
      <c r="D7" t="s">
        <v>2995</v>
      </c>
      <c r="E7" t="s">
        <v>2185</v>
      </c>
      <c r="F7" t="s">
        <v>1046</v>
      </c>
      <c r="G7">
        <v>24</v>
      </c>
      <c r="H7">
        <v>780.48</v>
      </c>
      <c r="I7">
        <v>18731.52</v>
      </c>
      <c r="J7">
        <v>19.100000000000001</v>
      </c>
      <c r="K7">
        <v>2997.04</v>
      </c>
      <c r="L7">
        <v>18150.84</v>
      </c>
      <c r="M7" t="s">
        <v>4247</v>
      </c>
      <c r="N7" t="s">
        <v>4248</v>
      </c>
      <c r="O7" t="s">
        <v>2449</v>
      </c>
      <c r="P7" t="s">
        <v>2495</v>
      </c>
      <c r="Q7" t="s">
        <v>4249</v>
      </c>
      <c r="R7" t="s">
        <v>3425</v>
      </c>
    </row>
    <row r="8" spans="1:19" hidden="1" x14ac:dyDescent="0.25">
      <c r="A8" t="s">
        <v>4250</v>
      </c>
      <c r="B8" t="s">
        <v>2749</v>
      </c>
      <c r="C8" t="s">
        <v>3384</v>
      </c>
      <c r="D8" t="s">
        <v>2858</v>
      </c>
      <c r="E8" t="s">
        <v>1502</v>
      </c>
      <c r="F8" t="s">
        <v>667</v>
      </c>
      <c r="G8">
        <v>31</v>
      </c>
      <c r="H8">
        <v>317.75</v>
      </c>
      <c r="I8">
        <v>9850.25</v>
      </c>
      <c r="J8">
        <v>18.8</v>
      </c>
      <c r="K8">
        <v>1576.04</v>
      </c>
      <c r="L8">
        <v>9574.44</v>
      </c>
      <c r="M8" t="s">
        <v>3428</v>
      </c>
      <c r="N8" t="s">
        <v>4233</v>
      </c>
      <c r="O8" t="s">
        <v>2456</v>
      </c>
      <c r="P8" t="s">
        <v>2519</v>
      </c>
      <c r="Q8" t="s">
        <v>4251</v>
      </c>
      <c r="R8" t="s">
        <v>3425</v>
      </c>
    </row>
    <row r="9" spans="1:19" hidden="1" x14ac:dyDescent="0.25">
      <c r="A9" t="s">
        <v>4252</v>
      </c>
      <c r="B9" t="s">
        <v>3823</v>
      </c>
      <c r="C9" t="s">
        <v>3796</v>
      </c>
      <c r="D9" t="s">
        <v>4253</v>
      </c>
      <c r="E9" t="s">
        <v>1757</v>
      </c>
      <c r="F9" t="s">
        <v>420</v>
      </c>
      <c r="G9">
        <v>30</v>
      </c>
      <c r="H9">
        <v>824.14</v>
      </c>
      <c r="I9">
        <v>24724.2</v>
      </c>
      <c r="J9">
        <v>18.5</v>
      </c>
      <c r="K9">
        <v>3955.87</v>
      </c>
      <c r="L9">
        <v>24106.09</v>
      </c>
      <c r="M9" t="s">
        <v>4247</v>
      </c>
      <c r="N9" t="s">
        <v>1520</v>
      </c>
      <c r="O9" t="s">
        <v>2432</v>
      </c>
      <c r="P9" t="s">
        <v>2548</v>
      </c>
      <c r="Q9" t="s">
        <v>4254</v>
      </c>
      <c r="R9" t="s">
        <v>3425</v>
      </c>
    </row>
    <row r="10" spans="1:19" x14ac:dyDescent="0.25">
      <c r="A10" t="s">
        <v>4255</v>
      </c>
      <c r="B10" s="2" t="s">
        <v>3723</v>
      </c>
      <c r="C10" t="s">
        <v>4156</v>
      </c>
      <c r="D10" t="s">
        <v>4256</v>
      </c>
      <c r="E10" t="s">
        <v>1687</v>
      </c>
      <c r="F10" t="s">
        <v>910</v>
      </c>
      <c r="G10">
        <v>31</v>
      </c>
      <c r="H10">
        <v>858.79</v>
      </c>
      <c r="I10">
        <v>26622.49</v>
      </c>
      <c r="J10">
        <v>13.3</v>
      </c>
      <c r="K10">
        <v>4259.6000000000004</v>
      </c>
      <c r="L10">
        <v>27341.3</v>
      </c>
      <c r="M10" t="s">
        <v>4257</v>
      </c>
      <c r="N10" t="s">
        <v>1520</v>
      </c>
      <c r="O10" t="s">
        <v>2432</v>
      </c>
      <c r="P10" t="s">
        <v>2531</v>
      </c>
      <c r="Q10" t="s">
        <v>4258</v>
      </c>
      <c r="R10" t="s">
        <v>4245</v>
      </c>
    </row>
    <row r="11" spans="1:19" hidden="1" x14ac:dyDescent="0.25">
      <c r="A11" t="s">
        <v>4259</v>
      </c>
      <c r="B11" t="s">
        <v>3794</v>
      </c>
      <c r="C11" t="s">
        <v>3519</v>
      </c>
      <c r="D11" t="s">
        <v>3815</v>
      </c>
      <c r="E11" t="s">
        <v>1881</v>
      </c>
      <c r="F11" t="s">
        <v>581</v>
      </c>
      <c r="G11">
        <v>8</v>
      </c>
      <c r="H11">
        <v>346.41</v>
      </c>
      <c r="I11">
        <v>2771.28</v>
      </c>
      <c r="J11">
        <v>9.6999999999999993</v>
      </c>
      <c r="K11">
        <v>443.4</v>
      </c>
      <c r="L11">
        <v>2945.87</v>
      </c>
      <c r="M11" t="s">
        <v>3442</v>
      </c>
      <c r="N11" t="s">
        <v>1520</v>
      </c>
      <c r="O11" t="s">
        <v>2432</v>
      </c>
      <c r="P11" t="s">
        <v>2512</v>
      </c>
      <c r="Q11" t="s">
        <v>4260</v>
      </c>
      <c r="R11" t="s">
        <v>3425</v>
      </c>
      <c r="S11" t="s">
        <v>4230</v>
      </c>
    </row>
    <row r="12" spans="1:19" x14ac:dyDescent="0.25">
      <c r="A12" t="s">
        <v>4261</v>
      </c>
      <c r="B12" s="2" t="s">
        <v>4213</v>
      </c>
      <c r="C12" t="s">
        <v>4213</v>
      </c>
      <c r="D12" t="s">
        <v>4262</v>
      </c>
      <c r="E12" t="s">
        <v>1687</v>
      </c>
      <c r="F12" t="s">
        <v>880</v>
      </c>
      <c r="G12">
        <v>21</v>
      </c>
      <c r="H12">
        <v>574.76</v>
      </c>
      <c r="I12">
        <v>12069.96</v>
      </c>
      <c r="J12">
        <v>17.100000000000001</v>
      </c>
      <c r="K12">
        <v>1931.19</v>
      </c>
      <c r="L12">
        <v>11937.19</v>
      </c>
      <c r="M12" t="s">
        <v>4238</v>
      </c>
      <c r="N12" t="s">
        <v>4243</v>
      </c>
      <c r="O12" t="s">
        <v>2376</v>
      </c>
      <c r="P12" t="s">
        <v>2495</v>
      </c>
      <c r="Q12" t="s">
        <v>4263</v>
      </c>
      <c r="R12" t="s">
        <v>4245</v>
      </c>
    </row>
    <row r="13" spans="1:19" hidden="1" x14ac:dyDescent="0.25">
      <c r="A13" t="s">
        <v>4264</v>
      </c>
      <c r="B13" t="s">
        <v>3852</v>
      </c>
      <c r="C13" t="s">
        <v>3852</v>
      </c>
      <c r="D13" t="s">
        <v>3357</v>
      </c>
      <c r="E13" t="s">
        <v>2278</v>
      </c>
      <c r="F13" t="s">
        <v>940</v>
      </c>
      <c r="G13">
        <v>10</v>
      </c>
      <c r="H13">
        <v>893.47</v>
      </c>
      <c r="I13">
        <v>8934.7000000000007</v>
      </c>
      <c r="J13">
        <v>0</v>
      </c>
      <c r="K13">
        <v>1429.55</v>
      </c>
      <c r="L13">
        <v>10364.25</v>
      </c>
      <c r="M13" t="s">
        <v>4227</v>
      </c>
      <c r="N13" t="s">
        <v>4248</v>
      </c>
      <c r="O13" t="s">
        <v>2425</v>
      </c>
      <c r="P13" t="s">
        <v>2558</v>
      </c>
      <c r="Q13" t="s">
        <v>4265</v>
      </c>
      <c r="R13" t="s">
        <v>3425</v>
      </c>
    </row>
    <row r="14" spans="1:19" hidden="1" x14ac:dyDescent="0.25">
      <c r="A14" t="s">
        <v>4266</v>
      </c>
      <c r="B14" t="s">
        <v>3079</v>
      </c>
      <c r="C14" t="s">
        <v>3079</v>
      </c>
      <c r="D14" t="s">
        <v>4063</v>
      </c>
      <c r="E14" t="s">
        <v>1855</v>
      </c>
      <c r="F14" t="s">
        <v>530</v>
      </c>
      <c r="G14">
        <v>7</v>
      </c>
      <c r="H14">
        <v>131.15</v>
      </c>
      <c r="I14">
        <v>918.05</v>
      </c>
      <c r="J14">
        <v>11.7</v>
      </c>
      <c r="K14">
        <v>146.88999999999999</v>
      </c>
      <c r="L14">
        <v>957.53</v>
      </c>
      <c r="M14" t="s">
        <v>3442</v>
      </c>
      <c r="N14" t="s">
        <v>1121</v>
      </c>
      <c r="O14" t="s">
        <v>2432</v>
      </c>
      <c r="P14" t="s">
        <v>2538</v>
      </c>
      <c r="Q14" t="s">
        <v>4267</v>
      </c>
      <c r="R14" t="s">
        <v>3434</v>
      </c>
    </row>
    <row r="15" spans="1:19" hidden="1" x14ac:dyDescent="0.25">
      <c r="A15" t="s">
        <v>4268</v>
      </c>
      <c r="B15" t="s">
        <v>2244</v>
      </c>
      <c r="C15" t="s">
        <v>4206</v>
      </c>
      <c r="D15" t="s">
        <v>3531</v>
      </c>
      <c r="E15" t="s">
        <v>2185</v>
      </c>
      <c r="F15" t="s">
        <v>468</v>
      </c>
      <c r="G15">
        <v>9</v>
      </c>
      <c r="H15">
        <v>151.94999999999999</v>
      </c>
      <c r="I15">
        <v>1367.55</v>
      </c>
      <c r="J15">
        <v>12.1</v>
      </c>
      <c r="K15">
        <v>218.81</v>
      </c>
      <c r="L15">
        <v>1420.89</v>
      </c>
      <c r="M15" t="s">
        <v>4238</v>
      </c>
      <c r="N15" t="s">
        <v>4243</v>
      </c>
      <c r="O15" t="s">
        <v>2449</v>
      </c>
      <c r="P15" t="s">
        <v>2491</v>
      </c>
      <c r="Q15" t="s">
        <v>4269</v>
      </c>
      <c r="R15" t="s">
        <v>3429</v>
      </c>
      <c r="S15" t="s">
        <v>4230</v>
      </c>
    </row>
    <row r="16" spans="1:19" hidden="1" x14ac:dyDescent="0.25">
      <c r="A16" t="s">
        <v>4270</v>
      </c>
      <c r="B16" t="s">
        <v>3892</v>
      </c>
      <c r="C16" t="s">
        <v>3488</v>
      </c>
      <c r="D16" t="s">
        <v>4271</v>
      </c>
      <c r="E16" t="s">
        <v>2245</v>
      </c>
      <c r="F16" t="s">
        <v>306</v>
      </c>
      <c r="G16">
        <v>45</v>
      </c>
      <c r="H16">
        <v>478.13</v>
      </c>
      <c r="I16">
        <v>21515.85</v>
      </c>
      <c r="J16">
        <v>9.1</v>
      </c>
      <c r="K16">
        <v>3442.54</v>
      </c>
      <c r="L16">
        <v>23000.45</v>
      </c>
      <c r="M16" t="s">
        <v>4247</v>
      </c>
      <c r="N16" t="s">
        <v>4243</v>
      </c>
      <c r="O16" t="s">
        <v>2432</v>
      </c>
      <c r="P16" t="s">
        <v>2531</v>
      </c>
      <c r="Q16" t="s">
        <v>4272</v>
      </c>
      <c r="R16" t="s">
        <v>3425</v>
      </c>
      <c r="S16" t="s">
        <v>3466</v>
      </c>
    </row>
    <row r="17" spans="1:19" hidden="1" x14ac:dyDescent="0.25">
      <c r="A17" t="s">
        <v>4273</v>
      </c>
      <c r="B17" t="s">
        <v>3636</v>
      </c>
      <c r="C17" t="s">
        <v>3155</v>
      </c>
      <c r="D17" t="s">
        <v>3499</v>
      </c>
      <c r="E17" t="s">
        <v>1678</v>
      </c>
      <c r="F17" t="s">
        <v>1015</v>
      </c>
      <c r="G17">
        <v>10</v>
      </c>
      <c r="H17">
        <v>129.44</v>
      </c>
      <c r="I17">
        <v>1294.4000000000001</v>
      </c>
      <c r="J17">
        <v>1.2</v>
      </c>
      <c r="K17">
        <v>207.1</v>
      </c>
      <c r="L17">
        <v>1485.97</v>
      </c>
      <c r="M17" t="s">
        <v>3428</v>
      </c>
      <c r="N17" t="s">
        <v>1121</v>
      </c>
      <c r="O17" t="s">
        <v>2398</v>
      </c>
      <c r="P17" t="s">
        <v>2564</v>
      </c>
      <c r="Q17" t="s">
        <v>4274</v>
      </c>
      <c r="R17" t="s">
        <v>4275</v>
      </c>
      <c r="S17" t="s">
        <v>4230</v>
      </c>
    </row>
    <row r="18" spans="1:19" hidden="1" x14ac:dyDescent="0.25">
      <c r="A18" t="s">
        <v>4276</v>
      </c>
      <c r="B18" t="s">
        <v>4187</v>
      </c>
      <c r="C18" t="s">
        <v>3828</v>
      </c>
      <c r="D18" t="s">
        <v>3445</v>
      </c>
      <c r="E18" t="s">
        <v>2152</v>
      </c>
      <c r="F18" t="s">
        <v>410</v>
      </c>
      <c r="G18">
        <v>46</v>
      </c>
      <c r="H18">
        <v>485.28</v>
      </c>
      <c r="I18">
        <v>22322.880000000001</v>
      </c>
      <c r="J18">
        <v>8.1999999999999993</v>
      </c>
      <c r="K18">
        <v>3571.66</v>
      </c>
      <c r="L18">
        <v>24064.06</v>
      </c>
      <c r="M18" t="s">
        <v>4247</v>
      </c>
      <c r="N18" t="s">
        <v>1121</v>
      </c>
      <c r="O18" t="s">
        <v>2440</v>
      </c>
      <c r="P18" t="s">
        <v>2554</v>
      </c>
      <c r="Q18" t="s">
        <v>4277</v>
      </c>
      <c r="R18" t="s">
        <v>3425</v>
      </c>
      <c r="S18" t="s">
        <v>4235</v>
      </c>
    </row>
    <row r="19" spans="1:19" hidden="1" x14ac:dyDescent="0.25">
      <c r="A19" t="s">
        <v>4278</v>
      </c>
      <c r="B19" t="s">
        <v>3171</v>
      </c>
      <c r="C19" t="s">
        <v>3914</v>
      </c>
      <c r="D19" t="s">
        <v>3914</v>
      </c>
      <c r="E19" t="s">
        <v>1722</v>
      </c>
      <c r="F19" t="s">
        <v>550</v>
      </c>
      <c r="G19">
        <v>5</v>
      </c>
      <c r="H19">
        <v>139.13</v>
      </c>
      <c r="I19">
        <v>695.65</v>
      </c>
      <c r="J19">
        <v>16.8</v>
      </c>
      <c r="K19">
        <v>111.3</v>
      </c>
      <c r="L19">
        <v>690.08</v>
      </c>
      <c r="M19" t="s">
        <v>4238</v>
      </c>
      <c r="N19" t="s">
        <v>1520</v>
      </c>
      <c r="O19" t="s">
        <v>2440</v>
      </c>
      <c r="P19" t="s">
        <v>2558</v>
      </c>
      <c r="Q19" t="s">
        <v>4279</v>
      </c>
      <c r="R19" t="s">
        <v>4275</v>
      </c>
      <c r="S19" t="s">
        <v>3466</v>
      </c>
    </row>
    <row r="20" spans="1:19" hidden="1" x14ac:dyDescent="0.25">
      <c r="A20" t="s">
        <v>4280</v>
      </c>
      <c r="B20" t="s">
        <v>3773</v>
      </c>
      <c r="C20" t="s">
        <v>4196</v>
      </c>
      <c r="D20" t="s">
        <v>4196</v>
      </c>
      <c r="E20" t="s">
        <v>1659</v>
      </c>
      <c r="F20" t="s">
        <v>525</v>
      </c>
      <c r="G20">
        <v>48</v>
      </c>
      <c r="H20">
        <v>873.36</v>
      </c>
      <c r="I20">
        <v>41921.279999999999</v>
      </c>
      <c r="J20">
        <v>8.4</v>
      </c>
      <c r="K20">
        <v>6707.4</v>
      </c>
      <c r="L20">
        <v>45107.29</v>
      </c>
      <c r="M20" t="s">
        <v>4238</v>
      </c>
      <c r="N20" t="s">
        <v>1121</v>
      </c>
      <c r="O20" t="s">
        <v>2416</v>
      </c>
      <c r="P20" t="s">
        <v>2531</v>
      </c>
      <c r="Q20" t="s">
        <v>4281</v>
      </c>
      <c r="R20" t="s">
        <v>4275</v>
      </c>
    </row>
    <row r="21" spans="1:19" hidden="1" x14ac:dyDescent="0.25">
      <c r="A21" t="s">
        <v>4282</v>
      </c>
      <c r="B21" t="s">
        <v>3652</v>
      </c>
      <c r="C21" t="s">
        <v>2804</v>
      </c>
      <c r="D21" t="s">
        <v>2651</v>
      </c>
      <c r="E21" t="s">
        <v>1534</v>
      </c>
      <c r="F21" t="s">
        <v>274</v>
      </c>
      <c r="G21">
        <v>16</v>
      </c>
      <c r="H21">
        <v>510.23</v>
      </c>
      <c r="I21">
        <v>8163.68</v>
      </c>
      <c r="J21">
        <v>9.9</v>
      </c>
      <c r="K21">
        <v>1306.19</v>
      </c>
      <c r="L21">
        <v>8661.67</v>
      </c>
      <c r="M21" t="s">
        <v>3442</v>
      </c>
      <c r="N21" t="s">
        <v>1520</v>
      </c>
      <c r="O21" t="s">
        <v>2376</v>
      </c>
      <c r="P21" t="s">
        <v>2568</v>
      </c>
      <c r="Q21" t="s">
        <v>4283</v>
      </c>
      <c r="R21" t="s">
        <v>4275</v>
      </c>
      <c r="S21" t="s">
        <v>4230</v>
      </c>
    </row>
    <row r="22" spans="1:19" hidden="1" x14ac:dyDescent="0.25">
      <c r="A22" t="s">
        <v>4284</v>
      </c>
      <c r="B22" t="s">
        <v>3815</v>
      </c>
      <c r="C22" t="s">
        <v>3505</v>
      </c>
      <c r="D22" t="s">
        <v>3543</v>
      </c>
      <c r="E22" t="s">
        <v>2185</v>
      </c>
      <c r="F22" t="s">
        <v>586</v>
      </c>
      <c r="G22">
        <v>22</v>
      </c>
      <c r="H22">
        <v>102.19</v>
      </c>
      <c r="I22">
        <v>2248.1799999999998</v>
      </c>
      <c r="J22">
        <v>9.6999999999999993</v>
      </c>
      <c r="K22">
        <v>359.71</v>
      </c>
      <c r="L22">
        <v>2389.8200000000002</v>
      </c>
      <c r="M22" t="s">
        <v>3442</v>
      </c>
      <c r="N22" t="s">
        <v>4248</v>
      </c>
      <c r="O22" t="s">
        <v>2449</v>
      </c>
      <c r="P22" t="s">
        <v>2515</v>
      </c>
      <c r="Q22" t="s">
        <v>4285</v>
      </c>
      <c r="R22" t="s">
        <v>3425</v>
      </c>
      <c r="S22" t="s">
        <v>4235</v>
      </c>
    </row>
    <row r="23" spans="1:19" hidden="1" x14ac:dyDescent="0.25">
      <c r="A23" t="s">
        <v>4286</v>
      </c>
      <c r="B23" t="s">
        <v>3662</v>
      </c>
      <c r="C23" t="s">
        <v>3490</v>
      </c>
      <c r="D23" t="s">
        <v>3609</v>
      </c>
      <c r="E23" t="s">
        <v>2353</v>
      </c>
      <c r="F23" t="s">
        <v>1051</v>
      </c>
      <c r="G23">
        <v>3</v>
      </c>
      <c r="H23">
        <v>463.96</v>
      </c>
      <c r="I23">
        <v>1391.88</v>
      </c>
      <c r="J23">
        <v>14.4</v>
      </c>
      <c r="K23">
        <v>222.7</v>
      </c>
      <c r="L23">
        <v>1414.15</v>
      </c>
      <c r="M23" t="s">
        <v>4238</v>
      </c>
      <c r="N23" t="s">
        <v>1520</v>
      </c>
      <c r="O23" t="s">
        <v>2376</v>
      </c>
      <c r="P23" t="s">
        <v>2519</v>
      </c>
      <c r="Q23" t="s">
        <v>4287</v>
      </c>
      <c r="R23" t="s">
        <v>3429</v>
      </c>
    </row>
    <row r="24" spans="1:19" hidden="1" x14ac:dyDescent="0.25">
      <c r="A24" t="s">
        <v>4288</v>
      </c>
      <c r="B24" t="s">
        <v>3854</v>
      </c>
      <c r="C24" t="s">
        <v>3508</v>
      </c>
      <c r="D24" t="s">
        <v>3605</v>
      </c>
      <c r="E24" t="s">
        <v>2034</v>
      </c>
      <c r="F24" t="s">
        <v>641</v>
      </c>
      <c r="G24">
        <v>30</v>
      </c>
      <c r="H24">
        <v>831.28</v>
      </c>
      <c r="I24">
        <v>24938.400000000001</v>
      </c>
      <c r="J24">
        <v>12.2</v>
      </c>
      <c r="K24">
        <v>3990.14</v>
      </c>
      <c r="L24">
        <v>25886.06</v>
      </c>
      <c r="M24" t="s">
        <v>4232</v>
      </c>
      <c r="N24" t="s">
        <v>1121</v>
      </c>
      <c r="O24" t="s">
        <v>2440</v>
      </c>
      <c r="P24" t="s">
        <v>2515</v>
      </c>
      <c r="Q24" t="s">
        <v>4289</v>
      </c>
      <c r="R24" t="s">
        <v>3434</v>
      </c>
    </row>
    <row r="25" spans="1:19" hidden="1" x14ac:dyDescent="0.25">
      <c r="A25" t="s">
        <v>4290</v>
      </c>
      <c r="B25" t="s">
        <v>2863</v>
      </c>
      <c r="C25" t="s">
        <v>3606</v>
      </c>
      <c r="D25" t="s">
        <v>3877</v>
      </c>
      <c r="E25" t="s">
        <v>2094</v>
      </c>
      <c r="F25" t="s">
        <v>395</v>
      </c>
      <c r="G25">
        <v>3</v>
      </c>
      <c r="H25">
        <v>277.44</v>
      </c>
      <c r="I25">
        <v>832.32</v>
      </c>
      <c r="J25">
        <v>16.399999999999999</v>
      </c>
      <c r="K25">
        <v>133.16999999999999</v>
      </c>
      <c r="L25">
        <v>828.99</v>
      </c>
      <c r="M25" t="s">
        <v>3428</v>
      </c>
      <c r="N25" t="s">
        <v>4233</v>
      </c>
      <c r="O25" t="s">
        <v>2388</v>
      </c>
      <c r="P25" t="s">
        <v>2515</v>
      </c>
      <c r="Q25" t="s">
        <v>4291</v>
      </c>
      <c r="R25" t="s">
        <v>3425</v>
      </c>
      <c r="S25" t="s">
        <v>4292</v>
      </c>
    </row>
    <row r="26" spans="1:19" hidden="1" x14ac:dyDescent="0.25">
      <c r="A26" t="s">
        <v>4293</v>
      </c>
      <c r="B26" t="s">
        <v>2588</v>
      </c>
      <c r="C26" t="s">
        <v>2696</v>
      </c>
      <c r="D26" t="s">
        <v>3507</v>
      </c>
      <c r="E26" t="s">
        <v>2353</v>
      </c>
      <c r="F26" t="s">
        <v>880</v>
      </c>
      <c r="G26">
        <v>43</v>
      </c>
      <c r="H26">
        <v>140.96</v>
      </c>
      <c r="I26">
        <v>6061.28</v>
      </c>
      <c r="J26">
        <v>19.8</v>
      </c>
      <c r="K26">
        <v>969.8</v>
      </c>
      <c r="L26">
        <v>5830.95</v>
      </c>
      <c r="M26" t="s">
        <v>4257</v>
      </c>
      <c r="N26" t="s">
        <v>1121</v>
      </c>
      <c r="O26" t="s">
        <v>2432</v>
      </c>
      <c r="P26" t="s">
        <v>2544</v>
      </c>
      <c r="Q26" t="s">
        <v>4294</v>
      </c>
      <c r="R26" t="s">
        <v>3425</v>
      </c>
    </row>
    <row r="27" spans="1:19" hidden="1" x14ac:dyDescent="0.25">
      <c r="A27" t="s">
        <v>4295</v>
      </c>
      <c r="B27" t="s">
        <v>2992</v>
      </c>
      <c r="C27" t="s">
        <v>2992</v>
      </c>
      <c r="D27" t="s">
        <v>3477</v>
      </c>
      <c r="E27" t="s">
        <v>1489</v>
      </c>
      <c r="F27" t="s">
        <v>990</v>
      </c>
      <c r="G27">
        <v>28</v>
      </c>
      <c r="H27">
        <v>163.74</v>
      </c>
      <c r="I27">
        <v>4584.72</v>
      </c>
      <c r="J27">
        <v>12.9</v>
      </c>
      <c r="K27">
        <v>733.56</v>
      </c>
      <c r="L27">
        <v>4726.8500000000004</v>
      </c>
      <c r="M27" t="s">
        <v>3442</v>
      </c>
      <c r="N27" t="s">
        <v>4243</v>
      </c>
      <c r="O27" t="s">
        <v>2416</v>
      </c>
      <c r="P27" t="s">
        <v>2501</v>
      </c>
      <c r="Q27" t="s">
        <v>4296</v>
      </c>
      <c r="R27" t="s">
        <v>3434</v>
      </c>
      <c r="S27" t="s">
        <v>4235</v>
      </c>
    </row>
    <row r="28" spans="1:19" hidden="1" x14ac:dyDescent="0.25">
      <c r="A28" t="s">
        <v>4297</v>
      </c>
      <c r="B28" t="s">
        <v>3969</v>
      </c>
      <c r="C28" t="s">
        <v>4298</v>
      </c>
      <c r="D28" t="s">
        <v>4299</v>
      </c>
      <c r="E28" t="s">
        <v>1687</v>
      </c>
      <c r="F28" t="s">
        <v>657</v>
      </c>
      <c r="G28">
        <v>14</v>
      </c>
      <c r="H28">
        <v>683.33</v>
      </c>
      <c r="I28">
        <v>9566.6200000000008</v>
      </c>
      <c r="J28">
        <v>7.2</v>
      </c>
      <c r="K28">
        <v>1530.66</v>
      </c>
      <c r="L28">
        <v>10408.48</v>
      </c>
      <c r="M28" t="s">
        <v>4232</v>
      </c>
      <c r="N28" t="s">
        <v>4243</v>
      </c>
      <c r="O28" t="s">
        <v>2449</v>
      </c>
      <c r="P28" t="s">
        <v>2554</v>
      </c>
      <c r="Q28" t="s">
        <v>4300</v>
      </c>
      <c r="R28" t="s">
        <v>3425</v>
      </c>
    </row>
    <row r="29" spans="1:19" hidden="1" x14ac:dyDescent="0.25">
      <c r="A29" t="s">
        <v>4301</v>
      </c>
      <c r="B29" t="s">
        <v>4237</v>
      </c>
      <c r="C29" t="s">
        <v>3531</v>
      </c>
      <c r="D29" t="s">
        <v>3342</v>
      </c>
      <c r="E29" t="s">
        <v>1475</v>
      </c>
      <c r="F29" t="s">
        <v>410</v>
      </c>
      <c r="G29">
        <v>5</v>
      </c>
      <c r="H29">
        <v>722.93</v>
      </c>
      <c r="I29">
        <v>3614.65</v>
      </c>
      <c r="J29">
        <v>15.9</v>
      </c>
      <c r="K29">
        <v>578.34</v>
      </c>
      <c r="L29">
        <v>3618.26</v>
      </c>
      <c r="M29" t="s">
        <v>4238</v>
      </c>
      <c r="N29" t="s">
        <v>1520</v>
      </c>
      <c r="O29" t="s">
        <v>2425</v>
      </c>
      <c r="P29" t="s">
        <v>2491</v>
      </c>
      <c r="Q29" t="s">
        <v>4302</v>
      </c>
      <c r="R29" t="s">
        <v>3425</v>
      </c>
      <c r="S29" t="s">
        <v>3466</v>
      </c>
    </row>
    <row r="30" spans="1:19" hidden="1" x14ac:dyDescent="0.25">
      <c r="A30" t="s">
        <v>4303</v>
      </c>
      <c r="B30" t="s">
        <v>3624</v>
      </c>
      <c r="C30" t="s">
        <v>2866</v>
      </c>
      <c r="D30" t="s">
        <v>3961</v>
      </c>
      <c r="E30" t="s">
        <v>2245</v>
      </c>
      <c r="F30" t="s">
        <v>900</v>
      </c>
      <c r="G30">
        <v>18</v>
      </c>
      <c r="H30">
        <v>728.4</v>
      </c>
      <c r="I30">
        <v>13111.2</v>
      </c>
      <c r="J30">
        <v>7.1</v>
      </c>
      <c r="K30">
        <v>2097.79</v>
      </c>
      <c r="L30">
        <v>14278.09</v>
      </c>
      <c r="M30" t="s">
        <v>3428</v>
      </c>
      <c r="N30" t="s">
        <v>1121</v>
      </c>
      <c r="O30" t="s">
        <v>2449</v>
      </c>
      <c r="P30" t="s">
        <v>2515</v>
      </c>
      <c r="Q30" t="s">
        <v>4304</v>
      </c>
      <c r="R30" t="s">
        <v>3425</v>
      </c>
    </row>
    <row r="31" spans="1:19" hidden="1" x14ac:dyDescent="0.25">
      <c r="A31" t="s">
        <v>4305</v>
      </c>
      <c r="B31" t="s">
        <v>3587</v>
      </c>
      <c r="C31" t="s">
        <v>3875</v>
      </c>
      <c r="D31" t="s">
        <v>3972</v>
      </c>
      <c r="E31" t="s">
        <v>1687</v>
      </c>
      <c r="F31" t="s">
        <v>284</v>
      </c>
      <c r="G31">
        <v>22</v>
      </c>
      <c r="H31">
        <v>228.27</v>
      </c>
      <c r="I31">
        <v>5021.9399999999996</v>
      </c>
      <c r="J31">
        <v>16.3</v>
      </c>
      <c r="K31">
        <v>803.51</v>
      </c>
      <c r="L31">
        <v>5006.87</v>
      </c>
      <c r="M31" t="s">
        <v>4238</v>
      </c>
      <c r="N31" t="s">
        <v>4243</v>
      </c>
      <c r="O31" t="s">
        <v>2425</v>
      </c>
      <c r="P31" t="s">
        <v>2475</v>
      </c>
      <c r="Q31" t="s">
        <v>4306</v>
      </c>
      <c r="R31" t="s">
        <v>3425</v>
      </c>
      <c r="S31" t="s">
        <v>4235</v>
      </c>
    </row>
    <row r="32" spans="1:19" hidden="1" x14ac:dyDescent="0.25">
      <c r="A32" t="s">
        <v>4307</v>
      </c>
      <c r="B32" t="s">
        <v>3568</v>
      </c>
      <c r="C32" t="s">
        <v>3568</v>
      </c>
      <c r="D32" t="s">
        <v>3982</v>
      </c>
      <c r="E32" t="s">
        <v>1748</v>
      </c>
      <c r="F32" t="s">
        <v>311</v>
      </c>
      <c r="G32">
        <v>13</v>
      </c>
      <c r="H32">
        <v>596.86</v>
      </c>
      <c r="I32">
        <v>7759.18</v>
      </c>
      <c r="J32">
        <v>9.6999999999999993</v>
      </c>
      <c r="K32">
        <v>1241.47</v>
      </c>
      <c r="L32">
        <v>8248.01</v>
      </c>
      <c r="M32" t="s">
        <v>3442</v>
      </c>
      <c r="N32" t="s">
        <v>4243</v>
      </c>
      <c r="O32" t="s">
        <v>2440</v>
      </c>
      <c r="P32" t="s">
        <v>2544</v>
      </c>
      <c r="Q32" t="s">
        <v>4308</v>
      </c>
      <c r="R32" t="s">
        <v>3429</v>
      </c>
      <c r="S32" t="s">
        <v>4230</v>
      </c>
    </row>
    <row r="33" spans="1:19" hidden="1" x14ac:dyDescent="0.25">
      <c r="A33" t="s">
        <v>4309</v>
      </c>
      <c r="B33" t="s">
        <v>2600</v>
      </c>
      <c r="C33" t="s">
        <v>2600</v>
      </c>
      <c r="D33" t="s">
        <v>3332</v>
      </c>
      <c r="E33" t="s">
        <v>2219</v>
      </c>
      <c r="F33" t="s">
        <v>581</v>
      </c>
      <c r="G33">
        <v>13</v>
      </c>
      <c r="H33">
        <v>819.98</v>
      </c>
      <c r="I33">
        <v>10659.74</v>
      </c>
      <c r="J33">
        <v>0.7</v>
      </c>
      <c r="K33">
        <v>1705.56</v>
      </c>
      <c r="L33">
        <v>12290.68</v>
      </c>
      <c r="M33" t="s">
        <v>4227</v>
      </c>
      <c r="N33" t="s">
        <v>4233</v>
      </c>
      <c r="O33" t="s">
        <v>2425</v>
      </c>
      <c r="P33" t="s">
        <v>2554</v>
      </c>
      <c r="Q33" t="s">
        <v>4310</v>
      </c>
      <c r="R33" t="s">
        <v>3425</v>
      </c>
      <c r="S33" t="s">
        <v>4230</v>
      </c>
    </row>
    <row r="34" spans="1:19" hidden="1" x14ac:dyDescent="0.25">
      <c r="A34" t="s">
        <v>4311</v>
      </c>
      <c r="B34" t="s">
        <v>3617</v>
      </c>
      <c r="C34" t="s">
        <v>3617</v>
      </c>
      <c r="D34" t="s">
        <v>3563</v>
      </c>
      <c r="E34" t="s">
        <v>2025</v>
      </c>
      <c r="F34" t="s">
        <v>192</v>
      </c>
      <c r="G34">
        <v>9</v>
      </c>
      <c r="H34">
        <v>774.42</v>
      </c>
      <c r="I34">
        <v>6969.78</v>
      </c>
      <c r="J34">
        <v>11.9</v>
      </c>
      <c r="K34">
        <v>1115.1600000000001</v>
      </c>
      <c r="L34">
        <v>7255.54</v>
      </c>
      <c r="M34" t="s">
        <v>3442</v>
      </c>
      <c r="N34" t="s">
        <v>1520</v>
      </c>
      <c r="O34" t="s">
        <v>2440</v>
      </c>
      <c r="P34" t="s">
        <v>2544</v>
      </c>
      <c r="Q34" t="s">
        <v>4312</v>
      </c>
      <c r="R34" t="s">
        <v>3425</v>
      </c>
      <c r="S34" t="s">
        <v>4230</v>
      </c>
    </row>
    <row r="35" spans="1:19" hidden="1" x14ac:dyDescent="0.25">
      <c r="A35" t="s">
        <v>4313</v>
      </c>
      <c r="B35" t="s">
        <v>2728</v>
      </c>
      <c r="C35" t="s">
        <v>2728</v>
      </c>
      <c r="D35" t="s">
        <v>4142</v>
      </c>
      <c r="E35" t="s">
        <v>1786</v>
      </c>
      <c r="F35" t="s">
        <v>505</v>
      </c>
      <c r="G35">
        <v>35</v>
      </c>
      <c r="H35">
        <v>757.73</v>
      </c>
      <c r="I35">
        <v>26520.55</v>
      </c>
      <c r="J35">
        <v>5.9</v>
      </c>
      <c r="K35">
        <v>4243.29</v>
      </c>
      <c r="L35">
        <v>29199.13</v>
      </c>
      <c r="M35" t="s">
        <v>4247</v>
      </c>
      <c r="N35" t="s">
        <v>1121</v>
      </c>
      <c r="O35" t="s">
        <v>2416</v>
      </c>
      <c r="P35" t="s">
        <v>2527</v>
      </c>
      <c r="Q35" t="s">
        <v>4314</v>
      </c>
      <c r="R35" t="s">
        <v>3434</v>
      </c>
      <c r="S35" t="s">
        <v>4230</v>
      </c>
    </row>
    <row r="36" spans="1:19" hidden="1" x14ac:dyDescent="0.25">
      <c r="A36" t="s">
        <v>4315</v>
      </c>
      <c r="B36" t="s">
        <v>3923</v>
      </c>
      <c r="C36" t="s">
        <v>4316</v>
      </c>
      <c r="D36" t="s">
        <v>3778</v>
      </c>
      <c r="E36" t="s">
        <v>1965</v>
      </c>
      <c r="F36" t="s">
        <v>180</v>
      </c>
      <c r="G36">
        <v>34</v>
      </c>
      <c r="H36">
        <v>391.03</v>
      </c>
      <c r="I36">
        <v>13295.02</v>
      </c>
      <c r="J36">
        <v>10</v>
      </c>
      <c r="K36">
        <v>2127.1999999999998</v>
      </c>
      <c r="L36">
        <v>14092.72</v>
      </c>
      <c r="M36" t="s">
        <v>4257</v>
      </c>
      <c r="N36" t="s">
        <v>4233</v>
      </c>
      <c r="O36" t="s">
        <v>2416</v>
      </c>
      <c r="P36" t="s">
        <v>2522</v>
      </c>
      <c r="Q36" t="s">
        <v>4317</v>
      </c>
      <c r="R36" t="s">
        <v>3425</v>
      </c>
    </row>
    <row r="37" spans="1:19" hidden="1" x14ac:dyDescent="0.25">
      <c r="A37" t="s">
        <v>4318</v>
      </c>
      <c r="B37" t="s">
        <v>3725</v>
      </c>
      <c r="C37" t="s">
        <v>3440</v>
      </c>
      <c r="D37" t="s">
        <v>3568</v>
      </c>
      <c r="E37" t="s">
        <v>1803</v>
      </c>
      <c r="F37" t="s">
        <v>1096</v>
      </c>
      <c r="G37">
        <v>22</v>
      </c>
      <c r="H37">
        <v>354.65</v>
      </c>
      <c r="I37">
        <v>7802.3</v>
      </c>
      <c r="J37">
        <v>2.5</v>
      </c>
      <c r="K37">
        <v>1248.3699999999999</v>
      </c>
      <c r="L37">
        <v>8855.61</v>
      </c>
      <c r="M37" t="s">
        <v>4238</v>
      </c>
      <c r="N37" t="s">
        <v>4233</v>
      </c>
      <c r="O37" t="s">
        <v>2407</v>
      </c>
      <c r="P37" t="s">
        <v>2481</v>
      </c>
      <c r="Q37" t="s">
        <v>4319</v>
      </c>
      <c r="R37" t="s">
        <v>3425</v>
      </c>
      <c r="S37" t="s">
        <v>4292</v>
      </c>
    </row>
    <row r="38" spans="1:19" hidden="1" x14ac:dyDescent="0.25">
      <c r="A38" t="s">
        <v>4320</v>
      </c>
      <c r="B38" t="s">
        <v>3555</v>
      </c>
      <c r="C38" t="s">
        <v>2781</v>
      </c>
      <c r="D38" t="s">
        <v>2777</v>
      </c>
      <c r="E38" t="s">
        <v>2119</v>
      </c>
      <c r="F38" t="s">
        <v>955</v>
      </c>
      <c r="G38">
        <v>20</v>
      </c>
      <c r="H38">
        <v>180.35</v>
      </c>
      <c r="I38">
        <v>3607</v>
      </c>
      <c r="J38">
        <v>8.1</v>
      </c>
      <c r="K38">
        <v>577.12</v>
      </c>
      <c r="L38">
        <v>3891.95</v>
      </c>
      <c r="M38" t="s">
        <v>3428</v>
      </c>
      <c r="N38" t="s">
        <v>4233</v>
      </c>
      <c r="O38" t="s">
        <v>2425</v>
      </c>
      <c r="P38" t="s">
        <v>2515</v>
      </c>
      <c r="Q38" t="s">
        <v>4321</v>
      </c>
      <c r="R38" t="s">
        <v>3425</v>
      </c>
    </row>
    <row r="39" spans="1:19" hidden="1" x14ac:dyDescent="0.25">
      <c r="A39" t="s">
        <v>4322</v>
      </c>
      <c r="B39" t="s">
        <v>2883</v>
      </c>
      <c r="C39" t="s">
        <v>3092</v>
      </c>
      <c r="D39" t="s">
        <v>3713</v>
      </c>
      <c r="E39" t="s">
        <v>1608</v>
      </c>
      <c r="F39" t="s">
        <v>865</v>
      </c>
      <c r="G39">
        <v>1</v>
      </c>
      <c r="H39">
        <v>185.46</v>
      </c>
      <c r="I39">
        <v>185.46</v>
      </c>
      <c r="J39">
        <v>9.5</v>
      </c>
      <c r="K39">
        <v>29.67</v>
      </c>
      <c r="L39">
        <v>197.51</v>
      </c>
      <c r="M39" t="s">
        <v>4232</v>
      </c>
      <c r="N39" t="s">
        <v>4233</v>
      </c>
      <c r="O39" t="s">
        <v>2416</v>
      </c>
      <c r="P39" t="s">
        <v>2501</v>
      </c>
      <c r="Q39" t="s">
        <v>4323</v>
      </c>
      <c r="R39" t="s">
        <v>3425</v>
      </c>
      <c r="S39" t="s">
        <v>4230</v>
      </c>
    </row>
    <row r="40" spans="1:19" hidden="1" x14ac:dyDescent="0.25">
      <c r="A40" t="s">
        <v>4324</v>
      </c>
      <c r="B40" t="s">
        <v>3124</v>
      </c>
      <c r="C40" t="s">
        <v>3124</v>
      </c>
      <c r="D40" t="s">
        <v>4142</v>
      </c>
      <c r="E40" t="s">
        <v>1696</v>
      </c>
      <c r="F40" t="s">
        <v>337</v>
      </c>
      <c r="G40">
        <v>42</v>
      </c>
      <c r="H40">
        <v>834.53</v>
      </c>
      <c r="I40">
        <v>35050.26</v>
      </c>
      <c r="J40">
        <v>14</v>
      </c>
      <c r="K40">
        <v>5608.04</v>
      </c>
      <c r="L40">
        <v>35751.26</v>
      </c>
      <c r="M40" t="s">
        <v>3442</v>
      </c>
      <c r="N40" t="s">
        <v>4243</v>
      </c>
      <c r="O40" t="s">
        <v>2398</v>
      </c>
      <c r="P40" t="s">
        <v>2501</v>
      </c>
      <c r="Q40" t="s">
        <v>4325</v>
      </c>
      <c r="R40" t="s">
        <v>3434</v>
      </c>
    </row>
    <row r="41" spans="1:19" hidden="1" x14ac:dyDescent="0.25">
      <c r="A41" t="s">
        <v>4326</v>
      </c>
      <c r="B41" t="s">
        <v>4098</v>
      </c>
      <c r="C41" t="s">
        <v>4327</v>
      </c>
      <c r="D41" t="s">
        <v>4328</v>
      </c>
      <c r="E41" t="s">
        <v>2060</v>
      </c>
      <c r="F41" t="s">
        <v>814</v>
      </c>
      <c r="G41">
        <v>16</v>
      </c>
      <c r="H41">
        <v>147.5</v>
      </c>
      <c r="I41">
        <v>2360</v>
      </c>
      <c r="J41">
        <v>4.2</v>
      </c>
      <c r="K41">
        <v>377.6</v>
      </c>
      <c r="L41">
        <v>2638.48</v>
      </c>
      <c r="M41" t="s">
        <v>4238</v>
      </c>
      <c r="N41" t="s">
        <v>4228</v>
      </c>
      <c r="O41" t="s">
        <v>2416</v>
      </c>
      <c r="P41" t="s">
        <v>2525</v>
      </c>
      <c r="Q41" t="s">
        <v>4329</v>
      </c>
      <c r="R41" t="s">
        <v>3429</v>
      </c>
      <c r="S41" t="s">
        <v>4292</v>
      </c>
    </row>
    <row r="42" spans="1:19" hidden="1" x14ac:dyDescent="0.25">
      <c r="A42" t="s">
        <v>4330</v>
      </c>
      <c r="B42" t="s">
        <v>2134</v>
      </c>
      <c r="C42" t="s">
        <v>2733</v>
      </c>
      <c r="D42" t="s">
        <v>2755</v>
      </c>
      <c r="E42" t="s">
        <v>1812</v>
      </c>
      <c r="F42" t="s">
        <v>420</v>
      </c>
      <c r="G42">
        <v>40</v>
      </c>
      <c r="H42">
        <v>784.91</v>
      </c>
      <c r="I42">
        <v>31396.400000000001</v>
      </c>
      <c r="J42">
        <v>2.5</v>
      </c>
      <c r="K42">
        <v>5023.42</v>
      </c>
      <c r="L42">
        <v>35634.910000000003</v>
      </c>
      <c r="M42" t="s">
        <v>4232</v>
      </c>
      <c r="N42" t="s">
        <v>1520</v>
      </c>
      <c r="O42" t="s">
        <v>2376</v>
      </c>
      <c r="P42" t="s">
        <v>2491</v>
      </c>
      <c r="Q42" t="s">
        <v>4331</v>
      </c>
      <c r="R42" t="s">
        <v>3425</v>
      </c>
    </row>
    <row r="43" spans="1:19" hidden="1" x14ac:dyDescent="0.25">
      <c r="A43" t="s">
        <v>4332</v>
      </c>
      <c r="B43" t="s">
        <v>2767</v>
      </c>
      <c r="C43" t="s">
        <v>3340</v>
      </c>
      <c r="D43" t="s">
        <v>2737</v>
      </c>
      <c r="E43" t="s">
        <v>1766</v>
      </c>
      <c r="F43" t="s">
        <v>420</v>
      </c>
      <c r="G43">
        <v>48</v>
      </c>
      <c r="H43">
        <v>137.25</v>
      </c>
      <c r="I43">
        <v>6588</v>
      </c>
      <c r="J43">
        <v>1.4</v>
      </c>
      <c r="K43">
        <v>1054.08</v>
      </c>
      <c r="L43">
        <v>7549.85</v>
      </c>
      <c r="M43" t="s">
        <v>4227</v>
      </c>
      <c r="N43" t="s">
        <v>4233</v>
      </c>
      <c r="O43" t="s">
        <v>2456</v>
      </c>
      <c r="P43" t="s">
        <v>2475</v>
      </c>
      <c r="Q43" t="s">
        <v>4333</v>
      </c>
      <c r="R43" t="s">
        <v>3425</v>
      </c>
    </row>
    <row r="44" spans="1:19" x14ac:dyDescent="0.25">
      <c r="A44" t="s">
        <v>4334</v>
      </c>
      <c r="B44" s="2" t="s">
        <v>3789</v>
      </c>
      <c r="C44" t="s">
        <v>3789</v>
      </c>
      <c r="D44" t="s">
        <v>3622</v>
      </c>
      <c r="E44" t="s">
        <v>1965</v>
      </c>
      <c r="F44" t="s">
        <v>228</v>
      </c>
      <c r="G44">
        <v>22</v>
      </c>
      <c r="H44">
        <v>265.07</v>
      </c>
      <c r="I44">
        <v>5831.54</v>
      </c>
      <c r="J44">
        <v>2.9</v>
      </c>
      <c r="K44">
        <v>933.05</v>
      </c>
      <c r="L44">
        <v>6595.48</v>
      </c>
      <c r="M44" t="s">
        <v>4227</v>
      </c>
      <c r="N44" t="s">
        <v>4248</v>
      </c>
      <c r="O44" t="s">
        <v>2432</v>
      </c>
      <c r="P44" t="s">
        <v>2527</v>
      </c>
      <c r="Q44" t="s">
        <v>4335</v>
      </c>
      <c r="R44" t="s">
        <v>4245</v>
      </c>
    </row>
    <row r="45" spans="1:19" hidden="1" x14ac:dyDescent="0.25">
      <c r="A45" t="s">
        <v>4336</v>
      </c>
      <c r="B45" t="s">
        <v>3733</v>
      </c>
      <c r="C45" t="s">
        <v>4098</v>
      </c>
      <c r="D45" t="s">
        <v>3598</v>
      </c>
      <c r="E45" t="s">
        <v>2211</v>
      </c>
      <c r="F45" t="s">
        <v>284</v>
      </c>
      <c r="G45">
        <v>14</v>
      </c>
      <c r="H45">
        <v>411.37</v>
      </c>
      <c r="I45">
        <v>5759.18</v>
      </c>
      <c r="J45">
        <v>3.8</v>
      </c>
      <c r="K45">
        <v>921.47</v>
      </c>
      <c r="L45">
        <v>6461.8</v>
      </c>
      <c r="M45" t="s">
        <v>3428</v>
      </c>
      <c r="N45" t="s">
        <v>4248</v>
      </c>
      <c r="O45" t="s">
        <v>2432</v>
      </c>
      <c r="P45" t="s">
        <v>2481</v>
      </c>
      <c r="Q45" t="s">
        <v>4337</v>
      </c>
      <c r="R45" t="s">
        <v>3429</v>
      </c>
      <c r="S45" t="s">
        <v>3466</v>
      </c>
    </row>
    <row r="46" spans="1:19" hidden="1" x14ac:dyDescent="0.25">
      <c r="A46" t="s">
        <v>4338</v>
      </c>
      <c r="B46" t="s">
        <v>2659</v>
      </c>
      <c r="C46" t="s">
        <v>3422</v>
      </c>
      <c r="D46" t="s">
        <v>3702</v>
      </c>
      <c r="E46" t="s">
        <v>1687</v>
      </c>
      <c r="F46" t="s">
        <v>152</v>
      </c>
      <c r="G46">
        <v>4</v>
      </c>
      <c r="H46">
        <v>698.66</v>
      </c>
      <c r="I46">
        <v>2794.64</v>
      </c>
      <c r="J46">
        <v>10.5</v>
      </c>
      <c r="K46">
        <v>447.14</v>
      </c>
      <c r="L46">
        <v>2948.34</v>
      </c>
      <c r="M46" t="s">
        <v>4227</v>
      </c>
      <c r="N46" t="s">
        <v>1121</v>
      </c>
      <c r="O46" t="s">
        <v>2416</v>
      </c>
      <c r="P46" t="s">
        <v>2515</v>
      </c>
      <c r="Q46" t="s">
        <v>4339</v>
      </c>
      <c r="R46" t="s">
        <v>3425</v>
      </c>
      <c r="S46" t="s">
        <v>3466</v>
      </c>
    </row>
    <row r="47" spans="1:19" hidden="1" x14ac:dyDescent="0.25">
      <c r="A47" t="s">
        <v>4340</v>
      </c>
      <c r="B47" t="s">
        <v>4187</v>
      </c>
      <c r="C47" t="s">
        <v>4003</v>
      </c>
      <c r="D47" t="s">
        <v>3602</v>
      </c>
      <c r="E47" t="s">
        <v>2344</v>
      </c>
      <c r="F47" t="s">
        <v>789</v>
      </c>
      <c r="G47">
        <v>5</v>
      </c>
      <c r="H47">
        <v>569.19000000000005</v>
      </c>
      <c r="I47">
        <v>2845.95</v>
      </c>
      <c r="J47">
        <v>7</v>
      </c>
      <c r="K47">
        <v>455.35</v>
      </c>
      <c r="L47">
        <v>3102.08</v>
      </c>
      <c r="M47" t="s">
        <v>3442</v>
      </c>
      <c r="N47" t="s">
        <v>4243</v>
      </c>
      <c r="O47" t="s">
        <v>2416</v>
      </c>
      <c r="P47" t="s">
        <v>2538</v>
      </c>
      <c r="Q47" t="s">
        <v>4341</v>
      </c>
      <c r="R47" t="s">
        <v>3434</v>
      </c>
    </row>
    <row r="48" spans="1:19" hidden="1" x14ac:dyDescent="0.25">
      <c r="A48" t="s">
        <v>4342</v>
      </c>
      <c r="B48" t="s">
        <v>2711</v>
      </c>
      <c r="C48" t="s">
        <v>1522</v>
      </c>
      <c r="D48" t="s">
        <v>3606</v>
      </c>
      <c r="E48" t="s">
        <v>2042</v>
      </c>
      <c r="F48" t="s">
        <v>384</v>
      </c>
      <c r="G48">
        <v>29</v>
      </c>
      <c r="H48">
        <v>823.85</v>
      </c>
      <c r="I48">
        <v>23891.65</v>
      </c>
      <c r="J48">
        <v>0.3</v>
      </c>
      <c r="K48">
        <v>3822.66</v>
      </c>
      <c r="L48">
        <v>27642.639999999999</v>
      </c>
      <c r="M48" t="s">
        <v>3442</v>
      </c>
      <c r="N48" t="s">
        <v>4228</v>
      </c>
      <c r="O48" t="s">
        <v>2449</v>
      </c>
      <c r="P48" t="s">
        <v>2554</v>
      </c>
      <c r="Q48" t="s">
        <v>4343</v>
      </c>
      <c r="R48" t="s">
        <v>3425</v>
      </c>
      <c r="S48" t="s">
        <v>4292</v>
      </c>
    </row>
    <row r="49" spans="1:19" hidden="1" x14ac:dyDescent="0.25">
      <c r="A49" t="s">
        <v>4344</v>
      </c>
      <c r="B49" t="s">
        <v>3445</v>
      </c>
      <c r="C49" t="s">
        <v>3680</v>
      </c>
      <c r="D49" t="s">
        <v>4328</v>
      </c>
      <c r="E49" t="s">
        <v>2304</v>
      </c>
      <c r="F49" t="s">
        <v>581</v>
      </c>
      <c r="G49">
        <v>34</v>
      </c>
      <c r="H49">
        <v>303.85000000000002</v>
      </c>
      <c r="I49">
        <v>10330.9</v>
      </c>
      <c r="J49">
        <v>2</v>
      </c>
      <c r="K49">
        <v>1652.94</v>
      </c>
      <c r="L49">
        <v>11777.22</v>
      </c>
      <c r="M49" t="s">
        <v>3428</v>
      </c>
      <c r="N49" t="s">
        <v>4233</v>
      </c>
      <c r="O49" t="s">
        <v>2388</v>
      </c>
      <c r="P49" t="s">
        <v>2548</v>
      </c>
      <c r="Q49" t="s">
        <v>4345</v>
      </c>
      <c r="R49" t="s">
        <v>3434</v>
      </c>
      <c r="S49" t="s">
        <v>4292</v>
      </c>
    </row>
    <row r="50" spans="1:19" hidden="1" x14ac:dyDescent="0.25">
      <c r="A50" t="s">
        <v>4346</v>
      </c>
      <c r="B50" t="s">
        <v>3688</v>
      </c>
      <c r="C50" t="s">
        <v>3629</v>
      </c>
      <c r="D50" t="s">
        <v>3523</v>
      </c>
      <c r="E50" t="s">
        <v>1786</v>
      </c>
      <c r="F50" t="s">
        <v>1081</v>
      </c>
      <c r="G50">
        <v>43</v>
      </c>
      <c r="H50">
        <v>845.1</v>
      </c>
      <c r="I50">
        <v>36339.300000000003</v>
      </c>
      <c r="J50">
        <v>17.100000000000001</v>
      </c>
      <c r="K50">
        <v>5814.29</v>
      </c>
      <c r="L50">
        <v>35939.57</v>
      </c>
      <c r="M50" t="s">
        <v>3428</v>
      </c>
      <c r="N50" t="s">
        <v>4228</v>
      </c>
      <c r="O50" t="s">
        <v>2376</v>
      </c>
      <c r="P50" t="s">
        <v>2495</v>
      </c>
      <c r="Q50" t="s">
        <v>4347</v>
      </c>
      <c r="R50" t="s">
        <v>4275</v>
      </c>
      <c r="S50" t="s">
        <v>4235</v>
      </c>
    </row>
    <row r="51" spans="1:19" hidden="1" x14ac:dyDescent="0.25">
      <c r="A51" t="s">
        <v>4348</v>
      </c>
      <c r="B51" t="s">
        <v>3677</v>
      </c>
      <c r="C51" t="s">
        <v>4030</v>
      </c>
      <c r="D51" t="s">
        <v>4087</v>
      </c>
      <c r="E51" t="s">
        <v>2135</v>
      </c>
      <c r="F51" t="s">
        <v>545</v>
      </c>
      <c r="G51">
        <v>1</v>
      </c>
      <c r="H51">
        <v>484.82</v>
      </c>
      <c r="I51">
        <v>484.82</v>
      </c>
      <c r="J51">
        <v>3.7</v>
      </c>
      <c r="K51">
        <v>77.569999999999993</v>
      </c>
      <c r="L51">
        <v>544.45000000000005</v>
      </c>
      <c r="M51" t="s">
        <v>4238</v>
      </c>
      <c r="N51" t="s">
        <v>1520</v>
      </c>
      <c r="O51" t="s">
        <v>2416</v>
      </c>
      <c r="P51" t="s">
        <v>2561</v>
      </c>
      <c r="Q51" t="s">
        <v>4349</v>
      </c>
      <c r="R51" t="s">
        <v>3425</v>
      </c>
      <c r="S51" t="s">
        <v>4235</v>
      </c>
    </row>
    <row r="52" spans="1:19" hidden="1" x14ac:dyDescent="0.25">
      <c r="A52" t="s">
        <v>4350</v>
      </c>
      <c r="B52" t="s">
        <v>2915</v>
      </c>
      <c r="C52" t="s">
        <v>3268</v>
      </c>
      <c r="D52" t="s">
        <v>3352</v>
      </c>
      <c r="E52" t="s">
        <v>2245</v>
      </c>
      <c r="F52" t="s">
        <v>885</v>
      </c>
      <c r="G52">
        <v>37</v>
      </c>
      <c r="H52">
        <v>551.22</v>
      </c>
      <c r="I52">
        <v>20395.14</v>
      </c>
      <c r="J52">
        <v>1.9</v>
      </c>
      <c r="K52">
        <v>3263.22</v>
      </c>
      <c r="L52">
        <v>23270.85</v>
      </c>
      <c r="M52" t="s">
        <v>3442</v>
      </c>
      <c r="N52" t="s">
        <v>4248</v>
      </c>
      <c r="O52" t="s">
        <v>2376</v>
      </c>
      <c r="P52" t="s">
        <v>2522</v>
      </c>
      <c r="Q52" t="s">
        <v>4351</v>
      </c>
      <c r="R52" t="s">
        <v>3425</v>
      </c>
      <c r="S52" t="s">
        <v>4230</v>
      </c>
    </row>
    <row r="53" spans="1:19" hidden="1" x14ac:dyDescent="0.25">
      <c r="A53" t="s">
        <v>4352</v>
      </c>
      <c r="B53" t="s">
        <v>2870</v>
      </c>
      <c r="C53" t="s">
        <v>2870</v>
      </c>
      <c r="D53" t="s">
        <v>2892</v>
      </c>
      <c r="E53" t="s">
        <v>2060</v>
      </c>
      <c r="F53" t="s">
        <v>395</v>
      </c>
      <c r="G53">
        <v>28</v>
      </c>
      <c r="H53">
        <v>866</v>
      </c>
      <c r="I53">
        <v>24248</v>
      </c>
      <c r="J53">
        <v>0.3</v>
      </c>
      <c r="K53">
        <v>3879.68</v>
      </c>
      <c r="L53">
        <v>28054.94</v>
      </c>
      <c r="M53" t="s">
        <v>3442</v>
      </c>
      <c r="N53" t="s">
        <v>1121</v>
      </c>
      <c r="O53" t="s">
        <v>2432</v>
      </c>
      <c r="P53" t="s">
        <v>2481</v>
      </c>
      <c r="Q53" t="s">
        <v>4353</v>
      </c>
      <c r="R53" t="s">
        <v>3429</v>
      </c>
    </row>
    <row r="54" spans="1:19" hidden="1" x14ac:dyDescent="0.25">
      <c r="A54" t="s">
        <v>4354</v>
      </c>
      <c r="B54" t="s">
        <v>3622</v>
      </c>
      <c r="C54" t="s">
        <v>3923</v>
      </c>
      <c r="D54" t="s">
        <v>3451</v>
      </c>
      <c r="E54" t="s">
        <v>1619</v>
      </c>
      <c r="F54" t="s">
        <v>985</v>
      </c>
      <c r="G54">
        <v>36</v>
      </c>
      <c r="H54">
        <v>453.02</v>
      </c>
      <c r="I54">
        <v>16308.72</v>
      </c>
      <c r="J54">
        <v>2.7</v>
      </c>
      <c r="K54">
        <v>2609.4</v>
      </c>
      <c r="L54">
        <v>18477.78</v>
      </c>
      <c r="M54" t="s">
        <v>4227</v>
      </c>
      <c r="N54" t="s">
        <v>4233</v>
      </c>
      <c r="O54" t="s">
        <v>2376</v>
      </c>
      <c r="P54" t="s">
        <v>2515</v>
      </c>
      <c r="Q54" t="s">
        <v>4355</v>
      </c>
      <c r="R54" t="s">
        <v>3425</v>
      </c>
      <c r="S54" t="s">
        <v>4292</v>
      </c>
    </row>
    <row r="55" spans="1:19" x14ac:dyDescent="0.25">
      <c r="A55" t="s">
        <v>4356</v>
      </c>
      <c r="B55" s="2" t="s">
        <v>4357</v>
      </c>
      <c r="C55" t="s">
        <v>4357</v>
      </c>
      <c r="D55" t="s">
        <v>2863</v>
      </c>
      <c r="E55" t="s">
        <v>2219</v>
      </c>
      <c r="F55" t="s">
        <v>865</v>
      </c>
      <c r="G55">
        <v>29</v>
      </c>
      <c r="H55">
        <v>814.48</v>
      </c>
      <c r="I55">
        <v>23619.919999999998</v>
      </c>
      <c r="J55">
        <v>1.9</v>
      </c>
      <c r="K55">
        <v>3779.19</v>
      </c>
      <c r="L55">
        <v>26950.33</v>
      </c>
      <c r="M55" t="s">
        <v>4238</v>
      </c>
      <c r="N55" t="s">
        <v>4248</v>
      </c>
      <c r="O55" t="s">
        <v>2456</v>
      </c>
      <c r="P55" t="s">
        <v>2544</v>
      </c>
      <c r="Q55" t="s">
        <v>4358</v>
      </c>
      <c r="R55" t="s">
        <v>4245</v>
      </c>
      <c r="S55" t="s">
        <v>4292</v>
      </c>
    </row>
    <row r="56" spans="1:19" hidden="1" x14ac:dyDescent="0.25">
      <c r="A56" t="s">
        <v>4359</v>
      </c>
      <c r="B56" t="s">
        <v>3939</v>
      </c>
      <c r="C56" t="s">
        <v>3885</v>
      </c>
      <c r="D56" t="s">
        <v>3505</v>
      </c>
      <c r="E56" t="s">
        <v>2111</v>
      </c>
      <c r="F56" t="s">
        <v>311</v>
      </c>
      <c r="G56">
        <v>43</v>
      </c>
      <c r="H56">
        <v>705.86</v>
      </c>
      <c r="I56">
        <v>30351.98</v>
      </c>
      <c r="J56">
        <v>14.6</v>
      </c>
      <c r="K56">
        <v>4856.32</v>
      </c>
      <c r="L56">
        <v>30776.91</v>
      </c>
      <c r="M56" t="s">
        <v>3428</v>
      </c>
      <c r="N56" t="s">
        <v>4248</v>
      </c>
      <c r="O56" t="s">
        <v>2388</v>
      </c>
      <c r="P56" t="s">
        <v>2486</v>
      </c>
      <c r="Q56" t="s">
        <v>4360</v>
      </c>
      <c r="R56" t="s">
        <v>3425</v>
      </c>
      <c r="S56" t="s">
        <v>4235</v>
      </c>
    </row>
    <row r="57" spans="1:19" hidden="1" x14ac:dyDescent="0.25">
      <c r="A57" t="s">
        <v>4361</v>
      </c>
      <c r="B57" t="s">
        <v>4039</v>
      </c>
      <c r="C57" t="s">
        <v>4039</v>
      </c>
      <c r="D57" t="s">
        <v>3546</v>
      </c>
      <c r="E57" t="s">
        <v>2278</v>
      </c>
      <c r="F57" t="s">
        <v>555</v>
      </c>
      <c r="G57">
        <v>23</v>
      </c>
      <c r="H57">
        <v>702.66</v>
      </c>
      <c r="I57">
        <v>16161.18</v>
      </c>
      <c r="J57">
        <v>11.1</v>
      </c>
      <c r="K57">
        <v>2585.79</v>
      </c>
      <c r="L57">
        <v>16953.080000000002</v>
      </c>
      <c r="M57" t="s">
        <v>4257</v>
      </c>
      <c r="N57" t="s">
        <v>4243</v>
      </c>
      <c r="O57" t="s">
        <v>2456</v>
      </c>
      <c r="P57" t="s">
        <v>2475</v>
      </c>
      <c r="Q57" t="s">
        <v>4362</v>
      </c>
      <c r="R57" t="s">
        <v>3425</v>
      </c>
    </row>
    <row r="58" spans="1:19" hidden="1" x14ac:dyDescent="0.25">
      <c r="A58" t="s">
        <v>4363</v>
      </c>
      <c r="B58" t="s">
        <v>3309</v>
      </c>
      <c r="C58" t="s">
        <v>2772</v>
      </c>
      <c r="D58" t="s">
        <v>2936</v>
      </c>
      <c r="E58" t="s">
        <v>1687</v>
      </c>
      <c r="F58" t="s">
        <v>400</v>
      </c>
      <c r="G58">
        <v>48</v>
      </c>
      <c r="H58">
        <v>136.16</v>
      </c>
      <c r="I58">
        <v>6535.68</v>
      </c>
      <c r="J58">
        <v>3.6</v>
      </c>
      <c r="K58">
        <v>1045.71</v>
      </c>
      <c r="L58">
        <v>7346.11</v>
      </c>
      <c r="M58" t="s">
        <v>4227</v>
      </c>
      <c r="N58" t="s">
        <v>1520</v>
      </c>
      <c r="O58" t="s">
        <v>2376</v>
      </c>
      <c r="P58" t="s">
        <v>2558</v>
      </c>
      <c r="Q58" t="s">
        <v>4364</v>
      </c>
      <c r="R58" t="s">
        <v>3425</v>
      </c>
    </row>
    <row r="59" spans="1:19" x14ac:dyDescent="0.25">
      <c r="A59" t="s">
        <v>4365</v>
      </c>
      <c r="B59" s="2" t="s">
        <v>3473</v>
      </c>
      <c r="C59" t="s">
        <v>4366</v>
      </c>
      <c r="D59" t="s">
        <v>3723</v>
      </c>
      <c r="E59" t="s">
        <v>1640</v>
      </c>
      <c r="F59" t="s">
        <v>1041</v>
      </c>
      <c r="G59">
        <v>47</v>
      </c>
      <c r="H59">
        <v>263.33</v>
      </c>
      <c r="I59">
        <v>12376.51</v>
      </c>
      <c r="J59">
        <v>12.5</v>
      </c>
      <c r="K59">
        <v>1980.24</v>
      </c>
      <c r="L59">
        <v>12809.69</v>
      </c>
      <c r="M59" t="s">
        <v>4247</v>
      </c>
      <c r="N59" t="s">
        <v>1520</v>
      </c>
      <c r="O59" t="s">
        <v>2398</v>
      </c>
      <c r="P59" t="s">
        <v>2561</v>
      </c>
      <c r="Q59" t="s">
        <v>4367</v>
      </c>
      <c r="R59" t="s">
        <v>4245</v>
      </c>
      <c r="S59" t="s">
        <v>4235</v>
      </c>
    </row>
    <row r="60" spans="1:19" hidden="1" x14ac:dyDescent="0.25">
      <c r="A60" t="s">
        <v>4368</v>
      </c>
      <c r="B60" t="s">
        <v>2134</v>
      </c>
      <c r="C60" t="s">
        <v>2134</v>
      </c>
      <c r="D60" t="s">
        <v>2733</v>
      </c>
      <c r="E60" t="s">
        <v>1475</v>
      </c>
      <c r="F60" t="s">
        <v>316</v>
      </c>
      <c r="G60">
        <v>24</v>
      </c>
      <c r="H60">
        <v>128.1</v>
      </c>
      <c r="I60">
        <v>3074.4</v>
      </c>
      <c r="J60">
        <v>3.5</v>
      </c>
      <c r="K60">
        <v>491.9</v>
      </c>
      <c r="L60">
        <v>3458.7</v>
      </c>
      <c r="M60" t="s">
        <v>4238</v>
      </c>
      <c r="N60" t="s">
        <v>1121</v>
      </c>
      <c r="O60" t="s">
        <v>2407</v>
      </c>
      <c r="P60" t="s">
        <v>2486</v>
      </c>
      <c r="Q60" t="s">
        <v>4369</v>
      </c>
      <c r="R60" t="s">
        <v>3425</v>
      </c>
      <c r="S60" t="s">
        <v>4235</v>
      </c>
    </row>
    <row r="61" spans="1:19" hidden="1" x14ac:dyDescent="0.25">
      <c r="A61" t="s">
        <v>4370</v>
      </c>
      <c r="B61" t="s">
        <v>3741</v>
      </c>
      <c r="C61" t="s">
        <v>4371</v>
      </c>
      <c r="D61" t="s">
        <v>4009</v>
      </c>
      <c r="E61" t="s">
        <v>1766</v>
      </c>
      <c r="F61" t="s">
        <v>1010</v>
      </c>
      <c r="G61">
        <v>11</v>
      </c>
      <c r="H61">
        <v>312.91000000000003</v>
      </c>
      <c r="I61">
        <v>3442.01</v>
      </c>
      <c r="J61">
        <v>10.4</v>
      </c>
      <c r="K61">
        <v>550.72</v>
      </c>
      <c r="L61">
        <v>3634.76</v>
      </c>
      <c r="M61" t="s">
        <v>3428</v>
      </c>
      <c r="N61" t="s">
        <v>1121</v>
      </c>
      <c r="O61" t="s">
        <v>2456</v>
      </c>
      <c r="P61" t="s">
        <v>2544</v>
      </c>
      <c r="Q61" t="s">
        <v>4372</v>
      </c>
      <c r="R61" t="s">
        <v>3425</v>
      </c>
      <c r="S61" t="s">
        <v>3466</v>
      </c>
    </row>
    <row r="62" spans="1:19" hidden="1" x14ac:dyDescent="0.25">
      <c r="A62" t="s">
        <v>4373</v>
      </c>
      <c r="B62" t="s">
        <v>3870</v>
      </c>
      <c r="C62" t="s">
        <v>3870</v>
      </c>
      <c r="D62" t="s">
        <v>3475</v>
      </c>
      <c r="E62" t="s">
        <v>1820</v>
      </c>
      <c r="F62" t="s">
        <v>510</v>
      </c>
      <c r="G62">
        <v>17</v>
      </c>
      <c r="H62">
        <v>585.03</v>
      </c>
      <c r="I62">
        <v>9945.51</v>
      </c>
      <c r="J62">
        <v>18.5</v>
      </c>
      <c r="K62">
        <v>1591.28</v>
      </c>
      <c r="L62">
        <v>9696.8700000000008</v>
      </c>
      <c r="M62" t="s">
        <v>3428</v>
      </c>
      <c r="N62" t="s">
        <v>4248</v>
      </c>
      <c r="O62" t="s">
        <v>2432</v>
      </c>
      <c r="P62" t="s">
        <v>2568</v>
      </c>
      <c r="Q62" t="s">
        <v>4374</v>
      </c>
      <c r="R62" t="s">
        <v>3425</v>
      </c>
    </row>
    <row r="63" spans="1:19" hidden="1" x14ac:dyDescent="0.25">
      <c r="A63" t="s">
        <v>4375</v>
      </c>
      <c r="B63" t="s">
        <v>2563</v>
      </c>
      <c r="C63" t="s">
        <v>4376</v>
      </c>
      <c r="D63" t="s">
        <v>3499</v>
      </c>
      <c r="E63" t="s">
        <v>2270</v>
      </c>
      <c r="F63" t="s">
        <v>258</v>
      </c>
      <c r="G63">
        <v>4</v>
      </c>
      <c r="H63">
        <v>283.79000000000002</v>
      </c>
      <c r="I63">
        <v>1135.1600000000001</v>
      </c>
      <c r="J63">
        <v>14</v>
      </c>
      <c r="K63">
        <v>181.63</v>
      </c>
      <c r="L63">
        <v>1157.8699999999999</v>
      </c>
      <c r="M63" t="s">
        <v>4247</v>
      </c>
      <c r="N63" t="s">
        <v>4228</v>
      </c>
      <c r="O63" t="s">
        <v>2398</v>
      </c>
      <c r="P63" t="s">
        <v>2481</v>
      </c>
      <c r="Q63" t="s">
        <v>4377</v>
      </c>
      <c r="R63" t="s">
        <v>3425</v>
      </c>
    </row>
    <row r="64" spans="1:19" hidden="1" x14ac:dyDescent="0.25">
      <c r="A64" t="s">
        <v>4378</v>
      </c>
      <c r="B64" t="s">
        <v>1552</v>
      </c>
      <c r="C64" t="s">
        <v>3244</v>
      </c>
      <c r="D64" t="s">
        <v>3959</v>
      </c>
      <c r="E64" t="s">
        <v>1775</v>
      </c>
      <c r="F64" t="s">
        <v>131</v>
      </c>
      <c r="G64">
        <v>33</v>
      </c>
      <c r="H64">
        <v>786.64</v>
      </c>
      <c r="I64">
        <v>25959.119999999999</v>
      </c>
      <c r="J64">
        <v>10.9</v>
      </c>
      <c r="K64">
        <v>4153.46</v>
      </c>
      <c r="L64">
        <v>27283.040000000001</v>
      </c>
      <c r="M64" t="s">
        <v>4232</v>
      </c>
      <c r="N64" t="s">
        <v>4233</v>
      </c>
      <c r="O64" t="s">
        <v>2425</v>
      </c>
      <c r="P64" t="s">
        <v>2541</v>
      </c>
      <c r="Q64" t="s">
        <v>4379</v>
      </c>
      <c r="R64" t="s">
        <v>3434</v>
      </c>
      <c r="S64" t="s">
        <v>4292</v>
      </c>
    </row>
    <row r="65" spans="1:19" hidden="1" x14ac:dyDescent="0.25">
      <c r="A65" t="s">
        <v>4380</v>
      </c>
      <c r="B65" t="s">
        <v>3885</v>
      </c>
      <c r="C65" t="s">
        <v>3794</v>
      </c>
      <c r="D65" t="s">
        <v>2102</v>
      </c>
      <c r="E65" t="s">
        <v>1881</v>
      </c>
      <c r="F65" t="s">
        <v>814</v>
      </c>
      <c r="G65">
        <v>9</v>
      </c>
      <c r="H65">
        <v>762.49</v>
      </c>
      <c r="I65">
        <v>6862.41</v>
      </c>
      <c r="J65">
        <v>0.9</v>
      </c>
      <c r="K65">
        <v>1097.99</v>
      </c>
      <c r="L65">
        <v>7898.64</v>
      </c>
      <c r="M65" t="s">
        <v>4238</v>
      </c>
      <c r="N65" t="s">
        <v>1121</v>
      </c>
      <c r="O65" t="s">
        <v>2388</v>
      </c>
      <c r="P65" t="s">
        <v>2541</v>
      </c>
      <c r="Q65" t="s">
        <v>4381</v>
      </c>
      <c r="R65" t="s">
        <v>3429</v>
      </c>
    </row>
    <row r="66" spans="1:19" hidden="1" x14ac:dyDescent="0.25">
      <c r="A66" t="s">
        <v>4382</v>
      </c>
      <c r="B66" t="s">
        <v>2668</v>
      </c>
      <c r="C66" t="s">
        <v>2668</v>
      </c>
      <c r="D66" t="s">
        <v>2824</v>
      </c>
      <c r="E66" t="s">
        <v>2320</v>
      </c>
      <c r="F66" t="s">
        <v>1086</v>
      </c>
      <c r="G66">
        <v>21</v>
      </c>
      <c r="H66">
        <v>468.72</v>
      </c>
      <c r="I66">
        <v>9843.1200000000008</v>
      </c>
      <c r="J66">
        <v>13.6</v>
      </c>
      <c r="K66">
        <v>1574.9</v>
      </c>
      <c r="L66">
        <v>10079.36</v>
      </c>
      <c r="M66" t="s">
        <v>4238</v>
      </c>
      <c r="N66" t="s">
        <v>4233</v>
      </c>
      <c r="O66" t="s">
        <v>2376</v>
      </c>
      <c r="P66" t="s">
        <v>2568</v>
      </c>
      <c r="Q66" t="s">
        <v>4383</v>
      </c>
      <c r="R66" t="s">
        <v>4275</v>
      </c>
    </row>
    <row r="67" spans="1:19" hidden="1" x14ac:dyDescent="0.25">
      <c r="A67" t="s">
        <v>4384</v>
      </c>
      <c r="B67" t="s">
        <v>3054</v>
      </c>
      <c r="C67" t="s">
        <v>3103</v>
      </c>
      <c r="D67" t="s">
        <v>3177</v>
      </c>
      <c r="E67" t="s">
        <v>2336</v>
      </c>
      <c r="F67" t="s">
        <v>1066</v>
      </c>
      <c r="G67">
        <v>41</v>
      </c>
      <c r="H67">
        <v>568.66999999999996</v>
      </c>
      <c r="I67">
        <v>23315.47</v>
      </c>
      <c r="J67">
        <v>1.7</v>
      </c>
      <c r="K67">
        <v>3730.48</v>
      </c>
      <c r="L67">
        <v>26649.59</v>
      </c>
      <c r="M67" t="s">
        <v>4257</v>
      </c>
      <c r="N67" t="s">
        <v>1520</v>
      </c>
      <c r="O67" t="s">
        <v>2449</v>
      </c>
      <c r="P67" t="s">
        <v>2554</v>
      </c>
      <c r="Q67" t="s">
        <v>4385</v>
      </c>
      <c r="R67" t="s">
        <v>3425</v>
      </c>
    </row>
    <row r="68" spans="1:19" hidden="1" x14ac:dyDescent="0.25">
      <c r="A68" t="s">
        <v>4386</v>
      </c>
      <c r="B68" t="s">
        <v>3816</v>
      </c>
      <c r="C68" t="s">
        <v>3572</v>
      </c>
      <c r="D68" t="s">
        <v>4387</v>
      </c>
      <c r="E68" t="s">
        <v>1907</v>
      </c>
      <c r="F68" t="s">
        <v>510</v>
      </c>
      <c r="G68">
        <v>25</v>
      </c>
      <c r="H68">
        <v>637.74</v>
      </c>
      <c r="I68">
        <v>15943.5</v>
      </c>
      <c r="J68">
        <v>15.9</v>
      </c>
      <c r="K68">
        <v>2550.96</v>
      </c>
      <c r="L68">
        <v>15959.44</v>
      </c>
      <c r="M68" t="s">
        <v>4227</v>
      </c>
      <c r="N68" t="s">
        <v>4248</v>
      </c>
      <c r="O68" t="s">
        <v>2398</v>
      </c>
      <c r="P68" t="s">
        <v>2486</v>
      </c>
      <c r="Q68" t="s">
        <v>4388</v>
      </c>
      <c r="R68" t="s">
        <v>3434</v>
      </c>
      <c r="S68" t="s">
        <v>3466</v>
      </c>
    </row>
    <row r="69" spans="1:19" hidden="1" x14ac:dyDescent="0.25">
      <c r="A69" t="s">
        <v>4389</v>
      </c>
      <c r="B69" t="s">
        <v>2961</v>
      </c>
      <c r="C69" t="s">
        <v>2961</v>
      </c>
      <c r="D69" t="s">
        <v>2712</v>
      </c>
      <c r="E69" t="s">
        <v>2085</v>
      </c>
      <c r="F69" t="s">
        <v>1096</v>
      </c>
      <c r="G69">
        <v>5</v>
      </c>
      <c r="H69">
        <v>220.46</v>
      </c>
      <c r="I69">
        <v>1102.3</v>
      </c>
      <c r="J69">
        <v>16.5</v>
      </c>
      <c r="K69">
        <v>176.37</v>
      </c>
      <c r="L69">
        <v>1096.79</v>
      </c>
      <c r="M69" t="s">
        <v>3428</v>
      </c>
      <c r="N69" t="s">
        <v>1520</v>
      </c>
      <c r="O69" t="s">
        <v>2376</v>
      </c>
      <c r="P69" t="s">
        <v>2541</v>
      </c>
      <c r="Q69" t="s">
        <v>4390</v>
      </c>
      <c r="R69" t="s">
        <v>3425</v>
      </c>
    </row>
    <row r="70" spans="1:19" hidden="1" x14ac:dyDescent="0.25">
      <c r="A70" t="s">
        <v>4391</v>
      </c>
      <c r="B70" t="s">
        <v>2655</v>
      </c>
      <c r="C70" t="s">
        <v>2218</v>
      </c>
      <c r="D70" t="s">
        <v>3235</v>
      </c>
      <c r="E70" t="s">
        <v>2169</v>
      </c>
      <c r="F70" t="s">
        <v>131</v>
      </c>
      <c r="G70">
        <v>1</v>
      </c>
      <c r="H70">
        <v>629.63</v>
      </c>
      <c r="I70">
        <v>629.63</v>
      </c>
      <c r="J70">
        <v>17.7</v>
      </c>
      <c r="K70">
        <v>100.74</v>
      </c>
      <c r="L70">
        <v>618.92999999999995</v>
      </c>
      <c r="M70" t="s">
        <v>4227</v>
      </c>
      <c r="N70" t="s">
        <v>4233</v>
      </c>
      <c r="O70" t="s">
        <v>2425</v>
      </c>
      <c r="P70" t="s">
        <v>2564</v>
      </c>
      <c r="Q70" t="s">
        <v>4392</v>
      </c>
      <c r="R70" t="s">
        <v>3425</v>
      </c>
      <c r="S70" t="s">
        <v>4235</v>
      </c>
    </row>
    <row r="71" spans="1:19" hidden="1" x14ac:dyDescent="0.25">
      <c r="A71" t="s">
        <v>4393</v>
      </c>
      <c r="B71" t="s">
        <v>2995</v>
      </c>
      <c r="C71" t="s">
        <v>4237</v>
      </c>
      <c r="D71" t="s">
        <v>2741</v>
      </c>
      <c r="E71" t="s">
        <v>1932</v>
      </c>
      <c r="F71" t="s">
        <v>834</v>
      </c>
      <c r="G71">
        <v>8</v>
      </c>
      <c r="H71">
        <v>288.64</v>
      </c>
      <c r="I71">
        <v>2309.12</v>
      </c>
      <c r="J71">
        <v>3</v>
      </c>
      <c r="K71">
        <v>369.46</v>
      </c>
      <c r="L71">
        <v>2609.31</v>
      </c>
      <c r="M71" t="s">
        <v>4227</v>
      </c>
      <c r="N71" t="s">
        <v>4243</v>
      </c>
      <c r="O71" t="s">
        <v>2376</v>
      </c>
      <c r="P71" t="s">
        <v>2525</v>
      </c>
      <c r="Q71" t="s">
        <v>4394</v>
      </c>
      <c r="R71" t="s">
        <v>3425</v>
      </c>
    </row>
    <row r="72" spans="1:19" hidden="1" x14ac:dyDescent="0.25">
      <c r="A72" t="s">
        <v>4395</v>
      </c>
      <c r="B72" t="s">
        <v>3727</v>
      </c>
      <c r="C72" t="s">
        <v>3765</v>
      </c>
      <c r="D72" t="s">
        <v>3901</v>
      </c>
      <c r="E72" t="s">
        <v>2202</v>
      </c>
      <c r="F72" t="s">
        <v>713</v>
      </c>
      <c r="G72">
        <v>4</v>
      </c>
      <c r="H72">
        <v>425.39</v>
      </c>
      <c r="I72">
        <v>1701.56</v>
      </c>
      <c r="J72">
        <v>4.8</v>
      </c>
      <c r="K72">
        <v>272.25</v>
      </c>
      <c r="L72">
        <v>1892.14</v>
      </c>
      <c r="M72" t="s">
        <v>4227</v>
      </c>
      <c r="N72" t="s">
        <v>4233</v>
      </c>
      <c r="O72" t="s">
        <v>2456</v>
      </c>
      <c r="P72" t="s">
        <v>2568</v>
      </c>
      <c r="Q72" t="s">
        <v>4396</v>
      </c>
      <c r="R72" t="s">
        <v>3425</v>
      </c>
    </row>
    <row r="73" spans="1:19" x14ac:dyDescent="0.25">
      <c r="A73" t="s">
        <v>4397</v>
      </c>
      <c r="B73" s="2" t="s">
        <v>4398</v>
      </c>
      <c r="C73" t="s">
        <v>4398</v>
      </c>
      <c r="D73" t="s">
        <v>3628</v>
      </c>
      <c r="E73" t="s">
        <v>1812</v>
      </c>
      <c r="F73" t="s">
        <v>131</v>
      </c>
      <c r="G73">
        <v>8</v>
      </c>
      <c r="H73">
        <v>792.2</v>
      </c>
      <c r="I73">
        <v>6337.6</v>
      </c>
      <c r="J73">
        <v>5.0999999999999996</v>
      </c>
      <c r="K73">
        <v>1014.02</v>
      </c>
      <c r="L73">
        <v>7028.4</v>
      </c>
      <c r="M73" t="s">
        <v>4232</v>
      </c>
      <c r="N73" t="s">
        <v>4228</v>
      </c>
      <c r="O73" t="s">
        <v>2376</v>
      </c>
      <c r="P73" t="s">
        <v>2515</v>
      </c>
      <c r="Q73" t="s">
        <v>4399</v>
      </c>
      <c r="R73" t="s">
        <v>4245</v>
      </c>
    </row>
    <row r="74" spans="1:19" hidden="1" x14ac:dyDescent="0.25">
      <c r="A74" t="s">
        <v>4400</v>
      </c>
      <c r="B74" t="s">
        <v>4174</v>
      </c>
      <c r="C74" t="s">
        <v>4174</v>
      </c>
      <c r="D74" t="s">
        <v>2505</v>
      </c>
      <c r="E74" t="s">
        <v>2085</v>
      </c>
      <c r="F74" t="s">
        <v>348</v>
      </c>
      <c r="G74">
        <v>25</v>
      </c>
      <c r="H74">
        <v>674.55</v>
      </c>
      <c r="I74">
        <v>16863.75</v>
      </c>
      <c r="J74">
        <v>3.8</v>
      </c>
      <c r="K74">
        <v>2698.2</v>
      </c>
      <c r="L74">
        <v>18921.13</v>
      </c>
      <c r="M74" t="s">
        <v>4227</v>
      </c>
      <c r="N74" t="s">
        <v>1121</v>
      </c>
      <c r="O74" t="s">
        <v>2398</v>
      </c>
      <c r="P74" t="s">
        <v>2558</v>
      </c>
      <c r="Q74" t="s">
        <v>4401</v>
      </c>
      <c r="R74" t="s">
        <v>3429</v>
      </c>
      <c r="S74" t="s">
        <v>4292</v>
      </c>
    </row>
    <row r="75" spans="1:19" hidden="1" x14ac:dyDescent="0.25">
      <c r="A75" t="s">
        <v>4402</v>
      </c>
      <c r="B75" t="s">
        <v>3621</v>
      </c>
      <c r="C75" t="s">
        <v>3677</v>
      </c>
      <c r="D75" t="s">
        <v>3622</v>
      </c>
      <c r="E75" t="s">
        <v>2304</v>
      </c>
      <c r="F75" t="s">
        <v>316</v>
      </c>
      <c r="G75">
        <v>34</v>
      </c>
      <c r="H75">
        <v>557.14</v>
      </c>
      <c r="I75">
        <v>18942.759999999998</v>
      </c>
      <c r="J75">
        <v>13.4</v>
      </c>
      <c r="K75">
        <v>3030.84</v>
      </c>
      <c r="L75">
        <v>19435.27</v>
      </c>
      <c r="M75" t="s">
        <v>4227</v>
      </c>
      <c r="N75" t="s">
        <v>1121</v>
      </c>
      <c r="O75" t="s">
        <v>2376</v>
      </c>
      <c r="P75" t="s">
        <v>2512</v>
      </c>
      <c r="Q75" t="s">
        <v>4403</v>
      </c>
      <c r="R75" t="s">
        <v>3425</v>
      </c>
      <c r="S75" t="s">
        <v>4230</v>
      </c>
    </row>
    <row r="76" spans="1:19" hidden="1" x14ac:dyDescent="0.25">
      <c r="A76" t="s">
        <v>4404</v>
      </c>
      <c r="B76" t="s">
        <v>3847</v>
      </c>
      <c r="C76" t="s">
        <v>3456</v>
      </c>
      <c r="D76" t="s">
        <v>3456</v>
      </c>
      <c r="E76" t="s">
        <v>2304</v>
      </c>
      <c r="F76" t="s">
        <v>1041</v>
      </c>
      <c r="G76">
        <v>34</v>
      </c>
      <c r="H76">
        <v>444.71</v>
      </c>
      <c r="I76">
        <v>15120.14</v>
      </c>
      <c r="J76">
        <v>2.1</v>
      </c>
      <c r="K76">
        <v>2419.2199999999998</v>
      </c>
      <c r="L76">
        <v>17221.84</v>
      </c>
      <c r="M76" t="s">
        <v>3428</v>
      </c>
      <c r="N76" t="s">
        <v>4233</v>
      </c>
      <c r="O76" t="s">
        <v>2432</v>
      </c>
      <c r="P76" t="s">
        <v>2519</v>
      </c>
      <c r="Q76" t="s">
        <v>4405</v>
      </c>
      <c r="R76" t="s">
        <v>3425</v>
      </c>
      <c r="S76" t="s">
        <v>4230</v>
      </c>
    </row>
    <row r="77" spans="1:19" hidden="1" x14ac:dyDescent="0.25">
      <c r="A77" t="s">
        <v>4406</v>
      </c>
      <c r="B77" t="s">
        <v>2946</v>
      </c>
      <c r="C77" t="s">
        <v>3054</v>
      </c>
      <c r="D77" t="s">
        <v>2677</v>
      </c>
      <c r="E77" t="s">
        <v>2336</v>
      </c>
      <c r="F77" t="s">
        <v>586</v>
      </c>
      <c r="G77">
        <v>49</v>
      </c>
      <c r="H77">
        <v>332.49</v>
      </c>
      <c r="I77">
        <v>16292.01</v>
      </c>
      <c r="J77">
        <v>17.5</v>
      </c>
      <c r="K77">
        <v>2606.7199999999998</v>
      </c>
      <c r="L77">
        <v>16047.63</v>
      </c>
      <c r="M77" t="s">
        <v>3442</v>
      </c>
      <c r="N77" t="s">
        <v>4243</v>
      </c>
      <c r="O77" t="s">
        <v>2425</v>
      </c>
      <c r="P77" t="s">
        <v>2522</v>
      </c>
      <c r="Q77" t="s">
        <v>4407</v>
      </c>
      <c r="R77" t="s">
        <v>3425</v>
      </c>
    </row>
    <row r="78" spans="1:19" hidden="1" x14ac:dyDescent="0.25">
      <c r="A78" t="s">
        <v>4408</v>
      </c>
      <c r="B78" t="s">
        <v>2808</v>
      </c>
      <c r="C78" t="s">
        <v>3980</v>
      </c>
      <c r="D78" t="s">
        <v>2961</v>
      </c>
      <c r="E78" t="s">
        <v>2245</v>
      </c>
      <c r="F78" t="s">
        <v>192</v>
      </c>
      <c r="G78">
        <v>31</v>
      </c>
      <c r="H78">
        <v>401.82</v>
      </c>
      <c r="I78">
        <v>12456.42</v>
      </c>
      <c r="J78">
        <v>8.1999999999999993</v>
      </c>
      <c r="K78">
        <v>1993.03</v>
      </c>
      <c r="L78">
        <v>13428.02</v>
      </c>
      <c r="M78" t="s">
        <v>4232</v>
      </c>
      <c r="N78" t="s">
        <v>4228</v>
      </c>
      <c r="O78" t="s">
        <v>2449</v>
      </c>
      <c r="P78" t="s">
        <v>2475</v>
      </c>
      <c r="Q78" t="s">
        <v>4409</v>
      </c>
      <c r="R78" t="s">
        <v>3425</v>
      </c>
      <c r="S78" t="s">
        <v>4230</v>
      </c>
    </row>
    <row r="79" spans="1:19" hidden="1" x14ac:dyDescent="0.25">
      <c r="A79" t="s">
        <v>4410</v>
      </c>
      <c r="B79" t="s">
        <v>3465</v>
      </c>
      <c r="C79" t="s">
        <v>3652</v>
      </c>
      <c r="D79" t="s">
        <v>3533</v>
      </c>
      <c r="E79" t="s">
        <v>1775</v>
      </c>
      <c r="F79" t="s">
        <v>824</v>
      </c>
      <c r="G79">
        <v>45</v>
      </c>
      <c r="H79">
        <v>500.78</v>
      </c>
      <c r="I79">
        <v>22535.1</v>
      </c>
      <c r="J79">
        <v>3.6</v>
      </c>
      <c r="K79">
        <v>3605.62</v>
      </c>
      <c r="L79">
        <v>25329.46</v>
      </c>
      <c r="M79" t="s">
        <v>3442</v>
      </c>
      <c r="N79" t="s">
        <v>1520</v>
      </c>
      <c r="O79" t="s">
        <v>2456</v>
      </c>
      <c r="P79" t="s">
        <v>2561</v>
      </c>
      <c r="Q79" t="s">
        <v>4411</v>
      </c>
      <c r="R79" t="s">
        <v>4275</v>
      </c>
    </row>
    <row r="80" spans="1:19" hidden="1" x14ac:dyDescent="0.25">
      <c r="A80" t="s">
        <v>4412</v>
      </c>
      <c r="B80" t="s">
        <v>2863</v>
      </c>
      <c r="C80" t="s">
        <v>3877</v>
      </c>
      <c r="D80" t="s">
        <v>3580</v>
      </c>
      <c r="E80" t="s">
        <v>1838</v>
      </c>
      <c r="F80" t="s">
        <v>990</v>
      </c>
      <c r="G80">
        <v>41</v>
      </c>
      <c r="H80">
        <v>146.02000000000001</v>
      </c>
      <c r="I80">
        <v>5986.82</v>
      </c>
      <c r="J80">
        <v>17.100000000000001</v>
      </c>
      <c r="K80">
        <v>957.89</v>
      </c>
      <c r="L80">
        <v>5920.96</v>
      </c>
      <c r="M80" t="s">
        <v>3442</v>
      </c>
      <c r="N80" t="s">
        <v>1121</v>
      </c>
      <c r="O80" t="s">
        <v>2425</v>
      </c>
      <c r="P80" t="s">
        <v>2506</v>
      </c>
      <c r="Q80" t="s">
        <v>4413</v>
      </c>
      <c r="R80" t="s">
        <v>3429</v>
      </c>
    </row>
    <row r="81" spans="1:19" hidden="1" x14ac:dyDescent="0.25">
      <c r="A81" t="s">
        <v>4414</v>
      </c>
      <c r="B81" t="s">
        <v>4415</v>
      </c>
      <c r="C81" t="s">
        <v>4398</v>
      </c>
      <c r="D81" t="s">
        <v>3633</v>
      </c>
      <c r="E81" t="s">
        <v>1668</v>
      </c>
      <c r="F81" t="s">
        <v>221</v>
      </c>
      <c r="G81">
        <v>6</v>
      </c>
      <c r="H81">
        <v>175.66</v>
      </c>
      <c r="I81">
        <v>1053.96</v>
      </c>
      <c r="J81">
        <v>12</v>
      </c>
      <c r="K81">
        <v>168.63</v>
      </c>
      <c r="L81">
        <v>1096.1099999999999</v>
      </c>
      <c r="M81" t="s">
        <v>4238</v>
      </c>
      <c r="N81" t="s">
        <v>4233</v>
      </c>
      <c r="O81" t="s">
        <v>2449</v>
      </c>
      <c r="P81" t="s">
        <v>2481</v>
      </c>
      <c r="Q81" t="s">
        <v>4416</v>
      </c>
      <c r="R81" t="s">
        <v>3425</v>
      </c>
    </row>
    <row r="82" spans="1:19" hidden="1" x14ac:dyDescent="0.25">
      <c r="A82" t="s">
        <v>4417</v>
      </c>
      <c r="B82" t="s">
        <v>3507</v>
      </c>
      <c r="C82" t="s">
        <v>3507</v>
      </c>
      <c r="D82" t="s">
        <v>3152</v>
      </c>
      <c r="E82" t="s">
        <v>2060</v>
      </c>
      <c r="F82" t="s">
        <v>379</v>
      </c>
      <c r="G82">
        <v>9</v>
      </c>
      <c r="H82">
        <v>424</v>
      </c>
      <c r="I82">
        <v>3816</v>
      </c>
      <c r="J82">
        <v>6.5</v>
      </c>
      <c r="K82">
        <v>610.55999999999995</v>
      </c>
      <c r="L82">
        <v>4178.5200000000004</v>
      </c>
      <c r="M82" t="s">
        <v>3428</v>
      </c>
      <c r="N82" t="s">
        <v>4233</v>
      </c>
      <c r="O82" t="s">
        <v>2388</v>
      </c>
      <c r="P82" t="s">
        <v>2486</v>
      </c>
      <c r="Q82" t="s">
        <v>4418</v>
      </c>
      <c r="R82" t="s">
        <v>4275</v>
      </c>
      <c r="S82" t="s">
        <v>4235</v>
      </c>
    </row>
    <row r="83" spans="1:19" hidden="1" x14ac:dyDescent="0.25">
      <c r="A83" t="s">
        <v>4419</v>
      </c>
      <c r="B83" t="s">
        <v>4001</v>
      </c>
      <c r="C83" t="s">
        <v>4001</v>
      </c>
      <c r="D83" t="s">
        <v>3678</v>
      </c>
      <c r="E83" t="s">
        <v>1608</v>
      </c>
      <c r="F83" t="s">
        <v>703</v>
      </c>
      <c r="G83">
        <v>33</v>
      </c>
      <c r="H83">
        <v>786.7</v>
      </c>
      <c r="I83">
        <v>25961.1</v>
      </c>
      <c r="J83">
        <v>15.6</v>
      </c>
      <c r="K83">
        <v>4153.78</v>
      </c>
      <c r="L83">
        <v>26064.95</v>
      </c>
      <c r="M83" t="s">
        <v>3442</v>
      </c>
      <c r="N83" t="s">
        <v>1121</v>
      </c>
      <c r="O83" t="s">
        <v>2376</v>
      </c>
      <c r="P83" t="s">
        <v>2475</v>
      </c>
      <c r="Q83" t="s">
        <v>4420</v>
      </c>
      <c r="R83" t="s">
        <v>4275</v>
      </c>
      <c r="S83" t="s">
        <v>4235</v>
      </c>
    </row>
    <row r="84" spans="1:19" hidden="1" x14ac:dyDescent="0.25">
      <c r="A84" t="s">
        <v>4421</v>
      </c>
      <c r="B84" t="s">
        <v>2968</v>
      </c>
      <c r="C84" t="s">
        <v>3219</v>
      </c>
      <c r="D84" t="s">
        <v>4422</v>
      </c>
      <c r="E84" t="s">
        <v>1629</v>
      </c>
      <c r="F84" t="s">
        <v>814</v>
      </c>
      <c r="G84">
        <v>9</v>
      </c>
      <c r="H84">
        <v>770.08</v>
      </c>
      <c r="I84">
        <v>6930.72</v>
      </c>
      <c r="J84">
        <v>10.5</v>
      </c>
      <c r="K84">
        <v>1108.92</v>
      </c>
      <c r="L84">
        <v>7311.91</v>
      </c>
      <c r="M84" t="s">
        <v>3428</v>
      </c>
      <c r="N84" t="s">
        <v>4248</v>
      </c>
      <c r="O84" t="s">
        <v>2440</v>
      </c>
      <c r="P84" t="s">
        <v>2554</v>
      </c>
      <c r="Q84" t="s">
        <v>4423</v>
      </c>
      <c r="R84" t="s">
        <v>3434</v>
      </c>
      <c r="S84" t="s">
        <v>4292</v>
      </c>
    </row>
    <row r="85" spans="1:19" hidden="1" x14ac:dyDescent="0.25">
      <c r="A85" t="s">
        <v>4424</v>
      </c>
      <c r="B85" t="s">
        <v>3522</v>
      </c>
      <c r="C85" t="s">
        <v>3658</v>
      </c>
      <c r="D85" t="s">
        <v>3738</v>
      </c>
      <c r="E85" t="s">
        <v>2169</v>
      </c>
      <c r="F85" t="s">
        <v>248</v>
      </c>
      <c r="G85">
        <v>47</v>
      </c>
      <c r="H85">
        <v>826.35</v>
      </c>
      <c r="I85">
        <v>38838.449999999997</v>
      </c>
      <c r="J85">
        <v>18.3</v>
      </c>
      <c r="K85">
        <v>6214.15</v>
      </c>
      <c r="L85">
        <v>37945.160000000003</v>
      </c>
      <c r="M85" t="s">
        <v>4227</v>
      </c>
      <c r="N85" t="s">
        <v>4228</v>
      </c>
      <c r="O85" t="s">
        <v>2425</v>
      </c>
      <c r="P85" t="s">
        <v>2495</v>
      </c>
      <c r="Q85" t="s">
        <v>4425</v>
      </c>
      <c r="R85" t="s">
        <v>3425</v>
      </c>
      <c r="S85" t="s">
        <v>4292</v>
      </c>
    </row>
    <row r="86" spans="1:19" hidden="1" x14ac:dyDescent="0.25">
      <c r="A86" t="s">
        <v>4426</v>
      </c>
      <c r="B86" t="s">
        <v>3688</v>
      </c>
      <c r="C86" t="s">
        <v>3725</v>
      </c>
      <c r="D86" t="s">
        <v>3725</v>
      </c>
      <c r="E86" t="s">
        <v>2177</v>
      </c>
      <c r="F86" t="s">
        <v>174</v>
      </c>
      <c r="G86">
        <v>8</v>
      </c>
      <c r="H86">
        <v>796.67</v>
      </c>
      <c r="I86">
        <v>6373.36</v>
      </c>
      <c r="J86">
        <v>12.8</v>
      </c>
      <c r="K86">
        <v>1019.74</v>
      </c>
      <c r="L86">
        <v>6577.31</v>
      </c>
      <c r="M86" t="s">
        <v>4232</v>
      </c>
      <c r="N86" t="s">
        <v>4248</v>
      </c>
      <c r="O86" t="s">
        <v>2407</v>
      </c>
      <c r="P86" t="s">
        <v>2512</v>
      </c>
      <c r="Q86" t="s">
        <v>4427</v>
      </c>
      <c r="R86" t="s">
        <v>3425</v>
      </c>
    </row>
    <row r="87" spans="1:19" hidden="1" x14ac:dyDescent="0.25">
      <c r="A87" t="s">
        <v>4428</v>
      </c>
      <c r="B87" t="s">
        <v>2696</v>
      </c>
      <c r="C87" t="s">
        <v>2725</v>
      </c>
      <c r="D87" t="s">
        <v>3295</v>
      </c>
      <c r="E87" t="s">
        <v>2336</v>
      </c>
      <c r="F87" t="s">
        <v>631</v>
      </c>
      <c r="G87">
        <v>13</v>
      </c>
      <c r="H87">
        <v>236.48</v>
      </c>
      <c r="I87">
        <v>3074.24</v>
      </c>
      <c r="J87">
        <v>14.5</v>
      </c>
      <c r="K87">
        <v>491.88</v>
      </c>
      <c r="L87">
        <v>3120.36</v>
      </c>
      <c r="M87" t="s">
        <v>3442</v>
      </c>
      <c r="N87" t="s">
        <v>1520</v>
      </c>
      <c r="O87" t="s">
        <v>2416</v>
      </c>
      <c r="P87" t="s">
        <v>2522</v>
      </c>
      <c r="Q87" t="s">
        <v>4429</v>
      </c>
      <c r="R87" t="s">
        <v>3425</v>
      </c>
    </row>
    <row r="88" spans="1:19" hidden="1" x14ac:dyDescent="0.25">
      <c r="A88" t="s">
        <v>4430</v>
      </c>
      <c r="B88" t="s">
        <v>2277</v>
      </c>
      <c r="C88" t="s">
        <v>3298</v>
      </c>
      <c r="D88" t="s">
        <v>3051</v>
      </c>
      <c r="E88" t="s">
        <v>1795</v>
      </c>
      <c r="F88" t="s">
        <v>109</v>
      </c>
      <c r="G88">
        <v>45</v>
      </c>
      <c r="H88">
        <v>696.81</v>
      </c>
      <c r="I88">
        <v>31356.45</v>
      </c>
      <c r="J88">
        <v>14.6</v>
      </c>
      <c r="K88">
        <v>5017.03</v>
      </c>
      <c r="L88">
        <v>31795.439999999999</v>
      </c>
      <c r="M88" t="s">
        <v>4257</v>
      </c>
      <c r="N88" t="s">
        <v>4248</v>
      </c>
      <c r="O88" t="s">
        <v>2376</v>
      </c>
      <c r="P88" t="s">
        <v>2568</v>
      </c>
      <c r="Q88" t="s">
        <v>4431</v>
      </c>
      <c r="R88" t="s">
        <v>3425</v>
      </c>
      <c r="S88" t="s">
        <v>3466</v>
      </c>
    </row>
    <row r="89" spans="1:19" hidden="1" x14ac:dyDescent="0.25">
      <c r="A89" t="s">
        <v>4432</v>
      </c>
      <c r="B89" t="s">
        <v>4433</v>
      </c>
      <c r="C89" t="s">
        <v>4433</v>
      </c>
      <c r="D89" t="s">
        <v>3632</v>
      </c>
      <c r="E89" t="s">
        <v>1949</v>
      </c>
      <c r="F89" t="s">
        <v>657</v>
      </c>
      <c r="G89">
        <v>28</v>
      </c>
      <c r="H89">
        <v>873.03</v>
      </c>
      <c r="I89">
        <v>24444.84</v>
      </c>
      <c r="J89">
        <v>14.9</v>
      </c>
      <c r="K89">
        <v>3911.17</v>
      </c>
      <c r="L89">
        <v>24713.73</v>
      </c>
      <c r="M89" t="s">
        <v>4247</v>
      </c>
      <c r="N89" t="s">
        <v>1121</v>
      </c>
      <c r="O89" t="s">
        <v>2432</v>
      </c>
      <c r="P89" t="s">
        <v>2568</v>
      </c>
      <c r="Q89" t="s">
        <v>4434</v>
      </c>
      <c r="R89" t="s">
        <v>3425</v>
      </c>
    </row>
    <row r="90" spans="1:19" hidden="1" x14ac:dyDescent="0.25">
      <c r="A90" t="s">
        <v>4435</v>
      </c>
      <c r="B90" t="s">
        <v>3432</v>
      </c>
      <c r="C90" t="s">
        <v>3432</v>
      </c>
      <c r="D90" t="s">
        <v>3658</v>
      </c>
      <c r="E90" t="s">
        <v>1554</v>
      </c>
      <c r="F90" t="s">
        <v>779</v>
      </c>
      <c r="G90">
        <v>14</v>
      </c>
      <c r="H90">
        <v>389.06</v>
      </c>
      <c r="I90">
        <v>5446.84</v>
      </c>
      <c r="J90">
        <v>8</v>
      </c>
      <c r="K90">
        <v>871.49</v>
      </c>
      <c r="L90">
        <v>5882.58</v>
      </c>
      <c r="M90" t="s">
        <v>4238</v>
      </c>
      <c r="N90" t="s">
        <v>4233</v>
      </c>
      <c r="O90" t="s">
        <v>2432</v>
      </c>
      <c r="P90" t="s">
        <v>2495</v>
      </c>
      <c r="Q90" t="s">
        <v>4436</v>
      </c>
      <c r="R90" t="s">
        <v>3425</v>
      </c>
      <c r="S90" t="s">
        <v>4230</v>
      </c>
    </row>
    <row r="91" spans="1:19" hidden="1" x14ac:dyDescent="0.25">
      <c r="A91" t="s">
        <v>4437</v>
      </c>
      <c r="B91" t="s">
        <v>2972</v>
      </c>
      <c r="C91" t="s">
        <v>4006</v>
      </c>
      <c r="D91" t="s">
        <v>2244</v>
      </c>
      <c r="E91" t="s">
        <v>2328</v>
      </c>
      <c r="F91" t="s">
        <v>373</v>
      </c>
      <c r="G91">
        <v>7</v>
      </c>
      <c r="H91">
        <v>862.23</v>
      </c>
      <c r="I91">
        <v>6035.61</v>
      </c>
      <c r="J91">
        <v>15.4</v>
      </c>
      <c r="K91">
        <v>965.7</v>
      </c>
      <c r="L91">
        <v>6071.83</v>
      </c>
      <c r="M91" t="s">
        <v>4257</v>
      </c>
      <c r="N91" t="s">
        <v>1520</v>
      </c>
      <c r="O91" t="s">
        <v>2449</v>
      </c>
      <c r="P91" t="s">
        <v>2544</v>
      </c>
      <c r="Q91" t="s">
        <v>4438</v>
      </c>
      <c r="R91" t="s">
        <v>3425</v>
      </c>
      <c r="S91" t="s">
        <v>3466</v>
      </c>
    </row>
    <row r="92" spans="1:19" hidden="1" x14ac:dyDescent="0.25">
      <c r="A92" t="s">
        <v>4439</v>
      </c>
      <c r="B92" t="s">
        <v>2286</v>
      </c>
      <c r="C92" t="s">
        <v>2593</v>
      </c>
      <c r="D92" t="s">
        <v>3323</v>
      </c>
      <c r="E92" t="s">
        <v>2202</v>
      </c>
      <c r="F92" t="s">
        <v>734</v>
      </c>
      <c r="G92">
        <v>28</v>
      </c>
      <c r="H92">
        <v>710.44</v>
      </c>
      <c r="I92">
        <v>19892.32</v>
      </c>
      <c r="J92">
        <v>12.9</v>
      </c>
      <c r="K92">
        <v>3182.77</v>
      </c>
      <c r="L92">
        <v>20508.98</v>
      </c>
      <c r="M92" t="s">
        <v>4238</v>
      </c>
      <c r="N92" t="s">
        <v>4248</v>
      </c>
      <c r="O92" t="s">
        <v>2416</v>
      </c>
      <c r="P92" t="s">
        <v>2564</v>
      </c>
      <c r="Q92" t="s">
        <v>4440</v>
      </c>
      <c r="R92" t="s">
        <v>3425</v>
      </c>
    </row>
    <row r="93" spans="1:19" hidden="1" x14ac:dyDescent="0.25">
      <c r="A93" t="s">
        <v>4441</v>
      </c>
      <c r="B93" t="s">
        <v>3456</v>
      </c>
      <c r="C93" t="s">
        <v>3905</v>
      </c>
      <c r="D93" t="s">
        <v>4442</v>
      </c>
      <c r="E93" t="s">
        <v>1846</v>
      </c>
      <c r="F93" t="s">
        <v>819</v>
      </c>
      <c r="G93">
        <v>1</v>
      </c>
      <c r="H93">
        <v>735.05</v>
      </c>
      <c r="I93">
        <v>735.05</v>
      </c>
      <c r="J93">
        <v>19.7</v>
      </c>
      <c r="K93">
        <v>117.61</v>
      </c>
      <c r="L93">
        <v>707.86</v>
      </c>
      <c r="M93" t="s">
        <v>4227</v>
      </c>
      <c r="N93" t="s">
        <v>1121</v>
      </c>
      <c r="O93" t="s">
        <v>2440</v>
      </c>
      <c r="P93" t="s">
        <v>2558</v>
      </c>
      <c r="Q93" t="s">
        <v>4443</v>
      </c>
      <c r="R93" t="s">
        <v>3429</v>
      </c>
    </row>
    <row r="94" spans="1:19" hidden="1" x14ac:dyDescent="0.25">
      <c r="A94" t="s">
        <v>4444</v>
      </c>
      <c r="B94" t="s">
        <v>4063</v>
      </c>
      <c r="C94" t="s">
        <v>4063</v>
      </c>
      <c r="D94" t="s">
        <v>2811</v>
      </c>
      <c r="E94" t="s">
        <v>1748</v>
      </c>
      <c r="F94" t="s">
        <v>400</v>
      </c>
      <c r="G94">
        <v>42</v>
      </c>
      <c r="H94">
        <v>399.44</v>
      </c>
      <c r="I94">
        <v>16776.48</v>
      </c>
      <c r="J94">
        <v>14.5</v>
      </c>
      <c r="K94">
        <v>2684.24</v>
      </c>
      <c r="L94">
        <v>17028.13</v>
      </c>
      <c r="M94" t="s">
        <v>4227</v>
      </c>
      <c r="N94" t="s">
        <v>1520</v>
      </c>
      <c r="O94" t="s">
        <v>2376</v>
      </c>
      <c r="P94" t="s">
        <v>2551</v>
      </c>
      <c r="Q94" t="s">
        <v>4445</v>
      </c>
      <c r="R94" t="s">
        <v>4275</v>
      </c>
    </row>
    <row r="95" spans="1:19" hidden="1" x14ac:dyDescent="0.25">
      <c r="A95" t="s">
        <v>4446</v>
      </c>
      <c r="B95" t="s">
        <v>4447</v>
      </c>
      <c r="C95" t="s">
        <v>4448</v>
      </c>
      <c r="D95" t="s">
        <v>3348</v>
      </c>
      <c r="E95" t="s">
        <v>1838</v>
      </c>
      <c r="F95" t="s">
        <v>473</v>
      </c>
      <c r="G95">
        <v>37</v>
      </c>
      <c r="H95">
        <v>245.42</v>
      </c>
      <c r="I95">
        <v>9080.5400000000009</v>
      </c>
      <c r="J95">
        <v>0.3</v>
      </c>
      <c r="K95">
        <v>1452.89</v>
      </c>
      <c r="L95">
        <v>10506.19</v>
      </c>
      <c r="M95" t="s">
        <v>4238</v>
      </c>
      <c r="N95" t="s">
        <v>1121</v>
      </c>
      <c r="O95" t="s">
        <v>2432</v>
      </c>
      <c r="P95" t="s">
        <v>2568</v>
      </c>
      <c r="Q95" t="s">
        <v>4449</v>
      </c>
      <c r="R95" t="s">
        <v>3434</v>
      </c>
      <c r="S95" t="s">
        <v>3466</v>
      </c>
    </row>
    <row r="96" spans="1:19" hidden="1" x14ac:dyDescent="0.25">
      <c r="A96" t="s">
        <v>4450</v>
      </c>
      <c r="B96" t="s">
        <v>4131</v>
      </c>
      <c r="C96" t="s">
        <v>4049</v>
      </c>
      <c r="D96" t="s">
        <v>2550</v>
      </c>
      <c r="E96" t="s">
        <v>1599</v>
      </c>
      <c r="F96" t="s">
        <v>779</v>
      </c>
      <c r="G96">
        <v>19</v>
      </c>
      <c r="H96">
        <v>216.14</v>
      </c>
      <c r="I96">
        <v>4106.66</v>
      </c>
      <c r="J96">
        <v>15.7</v>
      </c>
      <c r="K96">
        <v>657.07</v>
      </c>
      <c r="L96">
        <v>4118.9799999999996</v>
      </c>
      <c r="M96" t="s">
        <v>4232</v>
      </c>
      <c r="N96" t="s">
        <v>1121</v>
      </c>
      <c r="O96" t="s">
        <v>2398</v>
      </c>
      <c r="P96" t="s">
        <v>2522</v>
      </c>
      <c r="Q96" t="s">
        <v>4451</v>
      </c>
      <c r="R96" t="s">
        <v>3434</v>
      </c>
    </row>
    <row r="97" spans="1:19" hidden="1" x14ac:dyDescent="0.25">
      <c r="A97" t="s">
        <v>4452</v>
      </c>
      <c r="B97" t="s">
        <v>2924</v>
      </c>
      <c r="C97" t="s">
        <v>2700</v>
      </c>
      <c r="D97" t="s">
        <v>3309</v>
      </c>
      <c r="E97" t="s">
        <v>2353</v>
      </c>
      <c r="F97" t="s">
        <v>754</v>
      </c>
      <c r="G97">
        <v>20</v>
      </c>
      <c r="H97">
        <v>555.59</v>
      </c>
      <c r="I97">
        <v>11111.8</v>
      </c>
      <c r="J97">
        <v>15.8</v>
      </c>
      <c r="K97">
        <v>1777.89</v>
      </c>
      <c r="L97">
        <v>11134.03</v>
      </c>
      <c r="M97" t="s">
        <v>3442</v>
      </c>
      <c r="N97" t="s">
        <v>4233</v>
      </c>
      <c r="O97" t="s">
        <v>2398</v>
      </c>
      <c r="P97" t="s">
        <v>2568</v>
      </c>
      <c r="Q97" t="s">
        <v>4453</v>
      </c>
      <c r="R97" t="s">
        <v>3425</v>
      </c>
      <c r="S97" t="s">
        <v>4235</v>
      </c>
    </row>
    <row r="98" spans="1:19" hidden="1" x14ac:dyDescent="0.25">
      <c r="A98" t="s">
        <v>4454</v>
      </c>
      <c r="B98" t="s">
        <v>4169</v>
      </c>
      <c r="C98" t="s">
        <v>4169</v>
      </c>
      <c r="D98" t="s">
        <v>3603</v>
      </c>
      <c r="E98" t="s">
        <v>1956</v>
      </c>
      <c r="F98" t="s">
        <v>834</v>
      </c>
      <c r="G98">
        <v>36</v>
      </c>
      <c r="H98">
        <v>868.5</v>
      </c>
      <c r="I98">
        <v>31266</v>
      </c>
      <c r="J98">
        <v>1.1000000000000001</v>
      </c>
      <c r="K98">
        <v>5002.5600000000004</v>
      </c>
      <c r="L98">
        <v>35924.629999999997</v>
      </c>
      <c r="M98" t="s">
        <v>3428</v>
      </c>
      <c r="N98" t="s">
        <v>1121</v>
      </c>
      <c r="O98" t="s">
        <v>2432</v>
      </c>
      <c r="P98" t="s">
        <v>2554</v>
      </c>
      <c r="Q98" t="s">
        <v>4455</v>
      </c>
      <c r="R98" t="s">
        <v>3429</v>
      </c>
    </row>
    <row r="99" spans="1:19" hidden="1" x14ac:dyDescent="0.25">
      <c r="A99" t="s">
        <v>4456</v>
      </c>
      <c r="B99" t="s">
        <v>3789</v>
      </c>
      <c r="C99" t="s">
        <v>3863</v>
      </c>
      <c r="D99" t="s">
        <v>3677</v>
      </c>
      <c r="E99" t="s">
        <v>2219</v>
      </c>
      <c r="F99" t="s">
        <v>677</v>
      </c>
      <c r="G99">
        <v>12</v>
      </c>
      <c r="H99">
        <v>699.42</v>
      </c>
      <c r="I99">
        <v>8393.0400000000009</v>
      </c>
      <c r="J99">
        <v>6.2</v>
      </c>
      <c r="K99">
        <v>1342.89</v>
      </c>
      <c r="L99">
        <v>9215.56</v>
      </c>
      <c r="M99" t="s">
        <v>4232</v>
      </c>
      <c r="N99" t="s">
        <v>1121</v>
      </c>
      <c r="O99" t="s">
        <v>2425</v>
      </c>
      <c r="P99" t="s">
        <v>2558</v>
      </c>
      <c r="Q99" t="s">
        <v>4457</v>
      </c>
      <c r="R99" t="s">
        <v>3425</v>
      </c>
    </row>
    <row r="100" spans="1:19" hidden="1" x14ac:dyDescent="0.25">
      <c r="A100" t="s">
        <v>4458</v>
      </c>
      <c r="B100" t="s">
        <v>2848</v>
      </c>
      <c r="C100" t="s">
        <v>2848</v>
      </c>
      <c r="D100" t="s">
        <v>2622</v>
      </c>
      <c r="E100" t="s">
        <v>2237</v>
      </c>
      <c r="F100" t="s">
        <v>829</v>
      </c>
      <c r="G100">
        <v>49</v>
      </c>
      <c r="H100">
        <v>114</v>
      </c>
      <c r="I100">
        <v>5586</v>
      </c>
      <c r="J100">
        <v>16.399999999999999</v>
      </c>
      <c r="K100">
        <v>893.76</v>
      </c>
      <c r="L100">
        <v>5563.66</v>
      </c>
      <c r="M100" t="s">
        <v>4227</v>
      </c>
      <c r="N100" t="s">
        <v>1520</v>
      </c>
      <c r="O100" t="s">
        <v>2388</v>
      </c>
      <c r="P100" t="s">
        <v>2495</v>
      </c>
      <c r="Q100" t="s">
        <v>4459</v>
      </c>
      <c r="R100" t="s">
        <v>3425</v>
      </c>
    </row>
    <row r="101" spans="1:19" hidden="1" x14ac:dyDescent="0.25">
      <c r="A101" t="s">
        <v>4460</v>
      </c>
      <c r="B101" t="s">
        <v>2879</v>
      </c>
      <c r="C101" t="s">
        <v>3582</v>
      </c>
      <c r="D101" t="s">
        <v>3582</v>
      </c>
      <c r="E101" t="s">
        <v>1956</v>
      </c>
      <c r="F101" t="s">
        <v>870</v>
      </c>
      <c r="G101">
        <v>49</v>
      </c>
      <c r="H101">
        <v>386.98</v>
      </c>
      <c r="I101">
        <v>18962.02</v>
      </c>
      <c r="J101">
        <v>13.5</v>
      </c>
      <c r="K101">
        <v>3033.92</v>
      </c>
      <c r="L101">
        <v>19436.07</v>
      </c>
      <c r="M101" t="s">
        <v>4238</v>
      </c>
      <c r="N101" t="s">
        <v>4228</v>
      </c>
      <c r="O101" t="s">
        <v>2432</v>
      </c>
      <c r="P101" t="s">
        <v>2548</v>
      </c>
      <c r="Q101" t="s">
        <v>4461</v>
      </c>
      <c r="R101" t="s">
        <v>3429</v>
      </c>
    </row>
    <row r="102" spans="1:19" hidden="1" x14ac:dyDescent="0.25">
      <c r="A102" t="s">
        <v>4462</v>
      </c>
      <c r="B102" t="s">
        <v>3895</v>
      </c>
      <c r="C102" t="s">
        <v>3598</v>
      </c>
      <c r="D102" t="s">
        <v>3551</v>
      </c>
      <c r="E102" t="s">
        <v>1748</v>
      </c>
      <c r="F102" t="s">
        <v>62</v>
      </c>
      <c r="G102">
        <v>36</v>
      </c>
      <c r="H102">
        <v>485.54</v>
      </c>
      <c r="I102">
        <v>17479.439999999999</v>
      </c>
      <c r="J102">
        <v>8.5</v>
      </c>
      <c r="K102">
        <v>2796.71</v>
      </c>
      <c r="L102">
        <v>18790.400000000001</v>
      </c>
      <c r="M102" t="s">
        <v>3442</v>
      </c>
      <c r="N102" t="s">
        <v>4228</v>
      </c>
      <c r="O102" t="s">
        <v>2425</v>
      </c>
      <c r="P102" t="s">
        <v>2548</v>
      </c>
      <c r="Q102" t="s">
        <v>4463</v>
      </c>
      <c r="R102" t="s">
        <v>3425</v>
      </c>
      <c r="S102" t="s">
        <v>4292</v>
      </c>
    </row>
    <row r="103" spans="1:19" hidden="1" x14ac:dyDescent="0.25">
      <c r="A103" t="s">
        <v>4464</v>
      </c>
      <c r="B103" t="s">
        <v>4465</v>
      </c>
      <c r="C103" t="s">
        <v>3018</v>
      </c>
      <c r="D103" t="s">
        <v>3078</v>
      </c>
      <c r="E103" t="s">
        <v>1956</v>
      </c>
      <c r="F103" t="s">
        <v>804</v>
      </c>
      <c r="G103">
        <v>10</v>
      </c>
      <c r="H103">
        <v>292.48</v>
      </c>
      <c r="I103">
        <v>2924.8</v>
      </c>
      <c r="J103">
        <v>15.9</v>
      </c>
      <c r="K103">
        <v>467.97</v>
      </c>
      <c r="L103">
        <v>2927.73</v>
      </c>
      <c r="M103" t="s">
        <v>4257</v>
      </c>
      <c r="N103" t="s">
        <v>4233</v>
      </c>
      <c r="O103" t="s">
        <v>2398</v>
      </c>
      <c r="P103" t="s">
        <v>2538</v>
      </c>
      <c r="Q103" t="s">
        <v>4466</v>
      </c>
      <c r="R103" t="s">
        <v>3425</v>
      </c>
    </row>
    <row r="104" spans="1:19" hidden="1" x14ac:dyDescent="0.25">
      <c r="A104" t="s">
        <v>4467</v>
      </c>
      <c r="B104" t="s">
        <v>2627</v>
      </c>
      <c r="C104" t="s">
        <v>2627</v>
      </c>
      <c r="D104" t="s">
        <v>3321</v>
      </c>
      <c r="E104" t="s">
        <v>2245</v>
      </c>
      <c r="F104" t="s">
        <v>769</v>
      </c>
      <c r="G104">
        <v>28</v>
      </c>
      <c r="H104">
        <v>580.30999999999995</v>
      </c>
      <c r="I104">
        <v>16248.68</v>
      </c>
      <c r="J104">
        <v>18.100000000000001</v>
      </c>
      <c r="K104">
        <v>2599.79</v>
      </c>
      <c r="L104">
        <v>15907.46</v>
      </c>
      <c r="M104" t="s">
        <v>4257</v>
      </c>
      <c r="N104" t="s">
        <v>1520</v>
      </c>
      <c r="O104" t="s">
        <v>2449</v>
      </c>
      <c r="P104" t="s">
        <v>2506</v>
      </c>
      <c r="Q104" t="s">
        <v>4468</v>
      </c>
      <c r="R104" t="s">
        <v>3425</v>
      </c>
      <c r="S104" t="s">
        <v>4230</v>
      </c>
    </row>
    <row r="105" spans="1:19" x14ac:dyDescent="0.25">
      <c r="A105" t="s">
        <v>4469</v>
      </c>
      <c r="B105" s="2" t="s">
        <v>4174</v>
      </c>
      <c r="C105" t="s">
        <v>4470</v>
      </c>
      <c r="D105" t="s">
        <v>4470</v>
      </c>
      <c r="E105" t="s">
        <v>1511</v>
      </c>
      <c r="F105" t="s">
        <v>131</v>
      </c>
      <c r="G105">
        <v>5</v>
      </c>
      <c r="H105">
        <v>400.15</v>
      </c>
      <c r="I105">
        <v>2000.75</v>
      </c>
      <c r="J105">
        <v>1.1000000000000001</v>
      </c>
      <c r="K105">
        <v>320.12</v>
      </c>
      <c r="L105">
        <v>2298.86</v>
      </c>
      <c r="M105" t="s">
        <v>4227</v>
      </c>
      <c r="N105" t="s">
        <v>4243</v>
      </c>
      <c r="O105" t="s">
        <v>2456</v>
      </c>
      <c r="P105" t="s">
        <v>2486</v>
      </c>
      <c r="Q105" t="s">
        <v>4471</v>
      </c>
      <c r="R105" t="s">
        <v>4245</v>
      </c>
      <c r="S105" t="s">
        <v>4235</v>
      </c>
    </row>
    <row r="106" spans="1:19" hidden="1" x14ac:dyDescent="0.25">
      <c r="A106" t="s">
        <v>4472</v>
      </c>
      <c r="B106" t="s">
        <v>3189</v>
      </c>
      <c r="C106" t="s">
        <v>2703</v>
      </c>
      <c r="D106" t="s">
        <v>3682</v>
      </c>
      <c r="E106" t="s">
        <v>2361</v>
      </c>
      <c r="F106" t="s">
        <v>327</v>
      </c>
      <c r="G106">
        <v>41</v>
      </c>
      <c r="H106">
        <v>517.45000000000005</v>
      </c>
      <c r="I106">
        <v>21215.45</v>
      </c>
      <c r="J106">
        <v>17.399999999999999</v>
      </c>
      <c r="K106">
        <v>3394.47</v>
      </c>
      <c r="L106">
        <v>20918.43</v>
      </c>
      <c r="M106" t="s">
        <v>3442</v>
      </c>
      <c r="N106" t="s">
        <v>4233</v>
      </c>
      <c r="O106" t="s">
        <v>2425</v>
      </c>
      <c r="P106" t="s">
        <v>2512</v>
      </c>
      <c r="Q106" t="s">
        <v>4473</v>
      </c>
      <c r="R106" t="s">
        <v>3434</v>
      </c>
    </row>
    <row r="107" spans="1:19" hidden="1" x14ac:dyDescent="0.25">
      <c r="A107" t="s">
        <v>4474</v>
      </c>
      <c r="B107" t="s">
        <v>2664</v>
      </c>
      <c r="C107" t="s">
        <v>2750</v>
      </c>
      <c r="D107" t="s">
        <v>4215</v>
      </c>
      <c r="E107" t="s">
        <v>2060</v>
      </c>
      <c r="F107" t="s">
        <v>672</v>
      </c>
      <c r="G107">
        <v>29</v>
      </c>
      <c r="H107">
        <v>579.07000000000005</v>
      </c>
      <c r="I107">
        <v>16793.03</v>
      </c>
      <c r="J107">
        <v>7.8</v>
      </c>
      <c r="K107">
        <v>2686.88</v>
      </c>
      <c r="L107">
        <v>18170.05</v>
      </c>
      <c r="M107" t="s">
        <v>3442</v>
      </c>
      <c r="N107" t="s">
        <v>4243</v>
      </c>
      <c r="O107" t="s">
        <v>2432</v>
      </c>
      <c r="P107" t="s">
        <v>2568</v>
      </c>
      <c r="Q107" t="s">
        <v>4475</v>
      </c>
      <c r="R107" t="s">
        <v>3425</v>
      </c>
    </row>
    <row r="108" spans="1:19" hidden="1" x14ac:dyDescent="0.25">
      <c r="A108" t="s">
        <v>4476</v>
      </c>
      <c r="B108" t="s">
        <v>3794</v>
      </c>
      <c r="C108" t="s">
        <v>3519</v>
      </c>
      <c r="D108" t="s">
        <v>3572</v>
      </c>
      <c r="E108" t="s">
        <v>1899</v>
      </c>
      <c r="F108" t="s">
        <v>69</v>
      </c>
      <c r="G108">
        <v>36</v>
      </c>
      <c r="H108">
        <v>738.93</v>
      </c>
      <c r="I108">
        <v>26601.48</v>
      </c>
      <c r="J108">
        <v>14.9</v>
      </c>
      <c r="K108">
        <v>4256.24</v>
      </c>
      <c r="L108">
        <v>26894.1</v>
      </c>
      <c r="M108" t="s">
        <v>3428</v>
      </c>
      <c r="N108" t="s">
        <v>4233</v>
      </c>
      <c r="O108" t="s">
        <v>2398</v>
      </c>
      <c r="P108" t="s">
        <v>2548</v>
      </c>
      <c r="Q108" t="s">
        <v>4477</v>
      </c>
      <c r="R108" t="s">
        <v>3434</v>
      </c>
    </row>
    <row r="109" spans="1:19" hidden="1" x14ac:dyDescent="0.25">
      <c r="A109" t="s">
        <v>4478</v>
      </c>
      <c r="B109" t="s">
        <v>2924</v>
      </c>
      <c r="C109" t="s">
        <v>2700</v>
      </c>
      <c r="D109" t="s">
        <v>2746</v>
      </c>
      <c r="E109" t="s">
        <v>1949</v>
      </c>
      <c r="F109" t="s">
        <v>784</v>
      </c>
      <c r="G109">
        <v>44</v>
      </c>
      <c r="H109">
        <v>526.83000000000004</v>
      </c>
      <c r="I109">
        <v>23180.52</v>
      </c>
      <c r="J109">
        <v>1.3</v>
      </c>
      <c r="K109">
        <v>3708.88</v>
      </c>
      <c r="L109">
        <v>26588.05</v>
      </c>
      <c r="M109" t="s">
        <v>3428</v>
      </c>
      <c r="N109" t="s">
        <v>1121</v>
      </c>
      <c r="O109" t="s">
        <v>2388</v>
      </c>
      <c r="P109" t="s">
        <v>2495</v>
      </c>
      <c r="Q109" t="s">
        <v>4479</v>
      </c>
      <c r="R109" t="s">
        <v>3425</v>
      </c>
    </row>
    <row r="110" spans="1:19" hidden="1" x14ac:dyDescent="0.25">
      <c r="A110" t="s">
        <v>4480</v>
      </c>
      <c r="B110" t="s">
        <v>3376</v>
      </c>
      <c r="C110" t="s">
        <v>3376</v>
      </c>
      <c r="D110" t="s">
        <v>3518</v>
      </c>
      <c r="E110" t="s">
        <v>1899</v>
      </c>
      <c r="F110" t="s">
        <v>621</v>
      </c>
      <c r="G110">
        <v>7</v>
      </c>
      <c r="H110">
        <v>473.75</v>
      </c>
      <c r="I110">
        <v>3316.25</v>
      </c>
      <c r="J110">
        <v>18.5</v>
      </c>
      <c r="K110">
        <v>530.6</v>
      </c>
      <c r="L110">
        <v>3233.34</v>
      </c>
      <c r="M110" t="s">
        <v>4238</v>
      </c>
      <c r="N110" t="s">
        <v>1121</v>
      </c>
      <c r="O110" t="s">
        <v>2388</v>
      </c>
      <c r="P110" t="s">
        <v>2486</v>
      </c>
      <c r="Q110" t="s">
        <v>4481</v>
      </c>
      <c r="R110" t="s">
        <v>3425</v>
      </c>
      <c r="S110" t="s">
        <v>4235</v>
      </c>
    </row>
    <row r="111" spans="1:19" hidden="1" x14ac:dyDescent="0.25">
      <c r="A111" t="s">
        <v>4482</v>
      </c>
      <c r="B111" t="s">
        <v>4327</v>
      </c>
      <c r="C111" t="s">
        <v>3495</v>
      </c>
      <c r="D111" t="s">
        <v>3895</v>
      </c>
      <c r="E111" t="s">
        <v>1629</v>
      </c>
      <c r="F111" t="s">
        <v>384</v>
      </c>
      <c r="G111">
        <v>49</v>
      </c>
      <c r="H111">
        <v>437.52</v>
      </c>
      <c r="I111">
        <v>21438.48</v>
      </c>
      <c r="J111">
        <v>16.5</v>
      </c>
      <c r="K111">
        <v>3430.16</v>
      </c>
      <c r="L111">
        <v>21331.29</v>
      </c>
      <c r="M111" t="s">
        <v>3428</v>
      </c>
      <c r="N111" t="s">
        <v>1520</v>
      </c>
      <c r="O111" t="s">
        <v>2449</v>
      </c>
      <c r="P111" t="s">
        <v>2548</v>
      </c>
      <c r="Q111" t="s">
        <v>4483</v>
      </c>
      <c r="R111" t="s">
        <v>3429</v>
      </c>
    </row>
    <row r="112" spans="1:19" hidden="1" x14ac:dyDescent="0.25">
      <c r="A112" t="s">
        <v>4484</v>
      </c>
      <c r="B112" t="s">
        <v>3032</v>
      </c>
      <c r="C112" t="s">
        <v>4007</v>
      </c>
      <c r="D112" t="s">
        <v>2773</v>
      </c>
      <c r="E112" t="s">
        <v>1722</v>
      </c>
      <c r="F112" t="s">
        <v>379</v>
      </c>
      <c r="G112">
        <v>29</v>
      </c>
      <c r="H112">
        <v>159.47</v>
      </c>
      <c r="I112">
        <v>4624.63</v>
      </c>
      <c r="J112">
        <v>13.4</v>
      </c>
      <c r="K112">
        <v>739.94</v>
      </c>
      <c r="L112">
        <v>4744.87</v>
      </c>
      <c r="M112" t="s">
        <v>4232</v>
      </c>
      <c r="N112" t="s">
        <v>4233</v>
      </c>
      <c r="O112" t="s">
        <v>2398</v>
      </c>
      <c r="P112" t="s">
        <v>2548</v>
      </c>
      <c r="Q112" t="s">
        <v>4485</v>
      </c>
      <c r="R112" t="s">
        <v>3425</v>
      </c>
      <c r="S112" t="s">
        <v>4235</v>
      </c>
    </row>
    <row r="113" spans="1:19" x14ac:dyDescent="0.25">
      <c r="A113" t="s">
        <v>4486</v>
      </c>
      <c r="B113" s="2" t="s">
        <v>3465</v>
      </c>
      <c r="C113" t="s">
        <v>3652</v>
      </c>
      <c r="D113" t="s">
        <v>4487</v>
      </c>
      <c r="E113" t="s">
        <v>1838</v>
      </c>
      <c r="F113" t="s">
        <v>764</v>
      </c>
      <c r="G113">
        <v>3</v>
      </c>
      <c r="H113">
        <v>878.46</v>
      </c>
      <c r="I113">
        <v>2635.38</v>
      </c>
      <c r="J113">
        <v>1.9</v>
      </c>
      <c r="K113">
        <v>421.66</v>
      </c>
      <c r="L113">
        <v>3006.97</v>
      </c>
      <c r="M113" t="s">
        <v>3442</v>
      </c>
      <c r="N113" t="s">
        <v>1520</v>
      </c>
      <c r="O113" t="s">
        <v>2407</v>
      </c>
      <c r="P113" t="s">
        <v>2558</v>
      </c>
      <c r="Q113" t="s">
        <v>4488</v>
      </c>
      <c r="R113" t="s">
        <v>4245</v>
      </c>
    </row>
    <row r="114" spans="1:19" hidden="1" x14ac:dyDescent="0.25">
      <c r="A114" t="s">
        <v>4489</v>
      </c>
      <c r="B114" t="s">
        <v>4076</v>
      </c>
      <c r="C114" t="s">
        <v>2637</v>
      </c>
      <c r="D114" t="s">
        <v>2303</v>
      </c>
      <c r="E114" t="s">
        <v>1668</v>
      </c>
      <c r="F114" t="s">
        <v>703</v>
      </c>
      <c r="G114">
        <v>48</v>
      </c>
      <c r="H114">
        <v>732.75</v>
      </c>
      <c r="I114">
        <v>35172</v>
      </c>
      <c r="J114">
        <v>13.3</v>
      </c>
      <c r="K114">
        <v>5627.52</v>
      </c>
      <c r="L114">
        <v>36121.64</v>
      </c>
      <c r="M114" t="s">
        <v>4257</v>
      </c>
      <c r="N114" t="s">
        <v>1121</v>
      </c>
      <c r="O114" t="s">
        <v>2388</v>
      </c>
      <c r="P114" t="s">
        <v>2538</v>
      </c>
      <c r="Q114" t="s">
        <v>4490</v>
      </c>
      <c r="R114" t="s">
        <v>3425</v>
      </c>
    </row>
    <row r="115" spans="1:19" hidden="1" x14ac:dyDescent="0.25">
      <c r="A115" t="s">
        <v>4491</v>
      </c>
      <c r="B115" t="s">
        <v>4030</v>
      </c>
      <c r="C115" t="s">
        <v>3622</v>
      </c>
      <c r="D115" t="s">
        <v>3769</v>
      </c>
      <c r="E115" t="s">
        <v>1803</v>
      </c>
      <c r="F115" t="s">
        <v>774</v>
      </c>
      <c r="G115">
        <v>27</v>
      </c>
      <c r="H115">
        <v>237.3</v>
      </c>
      <c r="I115">
        <v>6407.1</v>
      </c>
      <c r="J115">
        <v>10.9</v>
      </c>
      <c r="K115">
        <v>1025.1400000000001</v>
      </c>
      <c r="L115">
        <v>6733.87</v>
      </c>
      <c r="M115" t="s">
        <v>4247</v>
      </c>
      <c r="N115" t="s">
        <v>4243</v>
      </c>
      <c r="O115" t="s">
        <v>2456</v>
      </c>
      <c r="P115" t="s">
        <v>2535</v>
      </c>
      <c r="Q115" t="s">
        <v>4492</v>
      </c>
      <c r="R115" t="s">
        <v>3425</v>
      </c>
    </row>
    <row r="116" spans="1:19" hidden="1" x14ac:dyDescent="0.25">
      <c r="A116" t="s">
        <v>4493</v>
      </c>
      <c r="B116" t="s">
        <v>3275</v>
      </c>
      <c r="C116" t="s">
        <v>4226</v>
      </c>
      <c r="D116" t="s">
        <v>2646</v>
      </c>
      <c r="E116" t="s">
        <v>2076</v>
      </c>
      <c r="F116" t="s">
        <v>327</v>
      </c>
      <c r="G116">
        <v>35</v>
      </c>
      <c r="H116">
        <v>645.23</v>
      </c>
      <c r="I116">
        <v>22583.05</v>
      </c>
      <c r="J116">
        <v>6.4</v>
      </c>
      <c r="K116">
        <v>3613.29</v>
      </c>
      <c r="L116">
        <v>24751.02</v>
      </c>
      <c r="M116" t="s">
        <v>4232</v>
      </c>
      <c r="N116" t="s">
        <v>1520</v>
      </c>
      <c r="O116" t="s">
        <v>2376</v>
      </c>
      <c r="P116" t="s">
        <v>2538</v>
      </c>
      <c r="Q116" t="s">
        <v>4494</v>
      </c>
      <c r="R116" t="s">
        <v>3425</v>
      </c>
      <c r="S116" t="s">
        <v>3466</v>
      </c>
    </row>
    <row r="117" spans="1:19" hidden="1" x14ac:dyDescent="0.25">
      <c r="A117" t="s">
        <v>4495</v>
      </c>
      <c r="B117" t="s">
        <v>3468</v>
      </c>
      <c r="C117" t="s">
        <v>2863</v>
      </c>
      <c r="D117" t="s">
        <v>3605</v>
      </c>
      <c r="E117" t="s">
        <v>2042</v>
      </c>
      <c r="F117" t="s">
        <v>1010</v>
      </c>
      <c r="G117">
        <v>4</v>
      </c>
      <c r="H117">
        <v>422.13</v>
      </c>
      <c r="I117">
        <v>1688.52</v>
      </c>
      <c r="J117">
        <v>18.8</v>
      </c>
      <c r="K117">
        <v>270.16000000000003</v>
      </c>
      <c r="L117">
        <v>1641.24</v>
      </c>
      <c r="M117" t="s">
        <v>4238</v>
      </c>
      <c r="N117" t="s">
        <v>1121</v>
      </c>
      <c r="O117" t="s">
        <v>2376</v>
      </c>
      <c r="P117" t="s">
        <v>2525</v>
      </c>
      <c r="Q117" t="s">
        <v>4496</v>
      </c>
      <c r="R117" t="s">
        <v>3429</v>
      </c>
    </row>
    <row r="118" spans="1:19" x14ac:dyDescent="0.25">
      <c r="A118" t="s">
        <v>4497</v>
      </c>
      <c r="B118" s="2" t="s">
        <v>3239</v>
      </c>
      <c r="C118" t="s">
        <v>3039</v>
      </c>
      <c r="D118" t="s">
        <v>3007</v>
      </c>
      <c r="E118" t="s">
        <v>1590</v>
      </c>
      <c r="F118" t="s">
        <v>955</v>
      </c>
      <c r="G118">
        <v>11</v>
      </c>
      <c r="H118">
        <v>244.36</v>
      </c>
      <c r="I118">
        <v>2687.96</v>
      </c>
      <c r="J118">
        <v>12.6</v>
      </c>
      <c r="K118">
        <v>430.07</v>
      </c>
      <c r="L118">
        <v>2779.35</v>
      </c>
      <c r="M118" t="s">
        <v>3428</v>
      </c>
      <c r="N118" t="s">
        <v>4243</v>
      </c>
      <c r="O118" t="s">
        <v>2425</v>
      </c>
      <c r="P118" t="s">
        <v>2475</v>
      </c>
      <c r="Q118" t="s">
        <v>4498</v>
      </c>
      <c r="R118" t="s">
        <v>4245</v>
      </c>
    </row>
    <row r="119" spans="1:19" hidden="1" x14ac:dyDescent="0.25">
      <c r="A119" t="s">
        <v>4499</v>
      </c>
      <c r="B119" t="s">
        <v>4500</v>
      </c>
      <c r="C119" t="s">
        <v>3729</v>
      </c>
      <c r="D119" t="s">
        <v>3540</v>
      </c>
      <c r="E119" t="s">
        <v>2262</v>
      </c>
      <c r="F119" t="s">
        <v>443</v>
      </c>
      <c r="G119">
        <v>26</v>
      </c>
      <c r="H119">
        <v>555.54999999999995</v>
      </c>
      <c r="I119">
        <v>14444.3</v>
      </c>
      <c r="J119">
        <v>14.6</v>
      </c>
      <c r="K119">
        <v>2311.09</v>
      </c>
      <c r="L119">
        <v>14646.52</v>
      </c>
      <c r="M119" t="s">
        <v>4232</v>
      </c>
      <c r="N119" t="s">
        <v>1121</v>
      </c>
      <c r="O119" t="s">
        <v>2425</v>
      </c>
      <c r="P119" t="s">
        <v>2548</v>
      </c>
      <c r="Q119" t="s">
        <v>4501</v>
      </c>
      <c r="R119" t="s">
        <v>3434</v>
      </c>
    </row>
    <row r="120" spans="1:19" hidden="1" x14ac:dyDescent="0.25">
      <c r="A120" t="s">
        <v>4502</v>
      </c>
      <c r="B120" t="s">
        <v>3917</v>
      </c>
      <c r="C120" t="s">
        <v>2768</v>
      </c>
      <c r="D120" t="s">
        <v>4503</v>
      </c>
      <c r="E120" t="s">
        <v>1990</v>
      </c>
      <c r="F120" t="s">
        <v>910</v>
      </c>
      <c r="G120">
        <v>39</v>
      </c>
      <c r="H120">
        <v>533.49</v>
      </c>
      <c r="I120">
        <v>20806.11</v>
      </c>
      <c r="J120">
        <v>15.7</v>
      </c>
      <c r="K120">
        <v>3328.98</v>
      </c>
      <c r="L120">
        <v>20868.53</v>
      </c>
      <c r="M120" t="s">
        <v>4257</v>
      </c>
      <c r="N120" t="s">
        <v>4248</v>
      </c>
      <c r="O120" t="s">
        <v>2376</v>
      </c>
      <c r="P120" t="s">
        <v>2551</v>
      </c>
      <c r="Q120" t="s">
        <v>4504</v>
      </c>
      <c r="R120" t="s">
        <v>3425</v>
      </c>
      <c r="S120" t="s">
        <v>4292</v>
      </c>
    </row>
    <row r="121" spans="1:19" x14ac:dyDescent="0.25">
      <c r="A121" t="s">
        <v>4505</v>
      </c>
      <c r="B121" s="2" t="s">
        <v>3626</v>
      </c>
      <c r="C121" t="s">
        <v>3626</v>
      </c>
      <c r="D121" t="s">
        <v>3382</v>
      </c>
      <c r="E121" t="s">
        <v>2177</v>
      </c>
      <c r="F121" t="s">
        <v>540</v>
      </c>
      <c r="G121">
        <v>48</v>
      </c>
      <c r="H121">
        <v>587.78</v>
      </c>
      <c r="I121">
        <v>28213.439999999999</v>
      </c>
      <c r="J121">
        <v>11.1</v>
      </c>
      <c r="K121">
        <v>4514.1499999999996</v>
      </c>
      <c r="L121">
        <v>29595.9</v>
      </c>
      <c r="M121" t="s">
        <v>4227</v>
      </c>
      <c r="N121" t="s">
        <v>1520</v>
      </c>
      <c r="O121" t="s">
        <v>2449</v>
      </c>
      <c r="P121" t="s">
        <v>2541</v>
      </c>
      <c r="Q121" t="s">
        <v>4506</v>
      </c>
      <c r="R121" t="s">
        <v>4245</v>
      </c>
    </row>
    <row r="122" spans="1:19" hidden="1" x14ac:dyDescent="0.25">
      <c r="A122" t="s">
        <v>4507</v>
      </c>
      <c r="B122" t="s">
        <v>3321</v>
      </c>
      <c r="C122" t="s">
        <v>4508</v>
      </c>
      <c r="D122" t="s">
        <v>3925</v>
      </c>
      <c r="E122" t="s">
        <v>1907</v>
      </c>
      <c r="F122" t="s">
        <v>327</v>
      </c>
      <c r="G122">
        <v>16</v>
      </c>
      <c r="H122">
        <v>816.16</v>
      </c>
      <c r="I122">
        <v>13058.56</v>
      </c>
      <c r="J122">
        <v>8</v>
      </c>
      <c r="K122">
        <v>2089.37</v>
      </c>
      <c r="L122">
        <v>14103.25</v>
      </c>
      <c r="M122" t="s">
        <v>4232</v>
      </c>
      <c r="N122" t="s">
        <v>4243</v>
      </c>
      <c r="O122" t="s">
        <v>2398</v>
      </c>
      <c r="P122" t="s">
        <v>2475</v>
      </c>
      <c r="Q122" t="s">
        <v>4509</v>
      </c>
      <c r="R122" t="s">
        <v>3429</v>
      </c>
    </row>
    <row r="123" spans="1:19" x14ac:dyDescent="0.25">
      <c r="A123" t="s">
        <v>4510</v>
      </c>
      <c r="B123" s="2" t="s">
        <v>3519</v>
      </c>
      <c r="C123" t="s">
        <v>3565</v>
      </c>
      <c r="D123" t="s">
        <v>3815</v>
      </c>
      <c r="E123" t="s">
        <v>2185</v>
      </c>
      <c r="F123" t="s">
        <v>159</v>
      </c>
      <c r="G123">
        <v>47</v>
      </c>
      <c r="H123">
        <v>602.26</v>
      </c>
      <c r="I123">
        <v>28306.22</v>
      </c>
      <c r="J123">
        <v>19.5</v>
      </c>
      <c r="K123">
        <v>4529</v>
      </c>
      <c r="L123">
        <v>27315.51</v>
      </c>
      <c r="M123" t="s">
        <v>4232</v>
      </c>
      <c r="N123" t="s">
        <v>1121</v>
      </c>
      <c r="O123" t="s">
        <v>2456</v>
      </c>
      <c r="P123" t="s">
        <v>2548</v>
      </c>
      <c r="Q123" t="s">
        <v>4511</v>
      </c>
      <c r="R123" t="s">
        <v>4245</v>
      </c>
    </row>
    <row r="124" spans="1:19" hidden="1" x14ac:dyDescent="0.25">
      <c r="A124" t="s">
        <v>4512</v>
      </c>
      <c r="B124" t="s">
        <v>3777</v>
      </c>
      <c r="C124" t="s">
        <v>3777</v>
      </c>
      <c r="D124" t="s">
        <v>3454</v>
      </c>
      <c r="E124" t="s">
        <v>1650</v>
      </c>
      <c r="F124" t="s">
        <v>515</v>
      </c>
      <c r="G124">
        <v>34</v>
      </c>
      <c r="H124">
        <v>561.44000000000005</v>
      </c>
      <c r="I124">
        <v>19088.96</v>
      </c>
      <c r="J124">
        <v>9.9</v>
      </c>
      <c r="K124">
        <v>3054.23</v>
      </c>
      <c r="L124">
        <v>20253.38</v>
      </c>
      <c r="M124" t="s">
        <v>4247</v>
      </c>
      <c r="N124" t="s">
        <v>4228</v>
      </c>
      <c r="O124" t="s">
        <v>2425</v>
      </c>
      <c r="P124" t="s">
        <v>2558</v>
      </c>
      <c r="Q124" t="s">
        <v>4513</v>
      </c>
      <c r="R124" t="s">
        <v>3429</v>
      </c>
    </row>
    <row r="125" spans="1:19" hidden="1" x14ac:dyDescent="0.25">
      <c r="A125" t="s">
        <v>4514</v>
      </c>
      <c r="B125" t="s">
        <v>2805</v>
      </c>
      <c r="C125" t="s">
        <v>2084</v>
      </c>
      <c r="D125" t="s">
        <v>2781</v>
      </c>
      <c r="E125" t="s">
        <v>2262</v>
      </c>
      <c r="F125" t="s">
        <v>915</v>
      </c>
      <c r="G125">
        <v>16</v>
      </c>
      <c r="H125">
        <v>394.94</v>
      </c>
      <c r="I125">
        <v>6319.04</v>
      </c>
      <c r="J125">
        <v>13.9</v>
      </c>
      <c r="K125">
        <v>1011.05</v>
      </c>
      <c r="L125">
        <v>6451.74</v>
      </c>
      <c r="M125" t="s">
        <v>3428</v>
      </c>
      <c r="N125" t="s">
        <v>1520</v>
      </c>
      <c r="O125" t="s">
        <v>2456</v>
      </c>
      <c r="P125" t="s">
        <v>2522</v>
      </c>
      <c r="Q125" t="s">
        <v>4515</v>
      </c>
      <c r="R125" t="s">
        <v>3425</v>
      </c>
    </row>
    <row r="126" spans="1:19" hidden="1" x14ac:dyDescent="0.25">
      <c r="A126" t="s">
        <v>4516</v>
      </c>
      <c r="B126" t="s">
        <v>3975</v>
      </c>
      <c r="C126" t="s">
        <v>3905</v>
      </c>
      <c r="D126" t="s">
        <v>4517</v>
      </c>
      <c r="E126" t="s">
        <v>2253</v>
      </c>
      <c r="F126" t="s">
        <v>253</v>
      </c>
      <c r="G126">
        <v>11</v>
      </c>
      <c r="H126">
        <v>323.68</v>
      </c>
      <c r="I126">
        <v>3560.48</v>
      </c>
      <c r="J126">
        <v>10.8</v>
      </c>
      <c r="K126">
        <v>569.67999999999995</v>
      </c>
      <c r="L126">
        <v>3745.63</v>
      </c>
      <c r="M126" t="s">
        <v>4227</v>
      </c>
      <c r="N126" t="s">
        <v>4248</v>
      </c>
      <c r="O126" t="s">
        <v>2416</v>
      </c>
      <c r="P126" t="s">
        <v>2501</v>
      </c>
      <c r="Q126" t="s">
        <v>4518</v>
      </c>
      <c r="R126" t="s">
        <v>3429</v>
      </c>
    </row>
    <row r="127" spans="1:19" hidden="1" x14ac:dyDescent="0.25">
      <c r="A127" t="s">
        <v>4519</v>
      </c>
      <c r="B127" t="s">
        <v>4097</v>
      </c>
      <c r="C127" t="s">
        <v>3784</v>
      </c>
      <c r="D127" t="s">
        <v>4003</v>
      </c>
      <c r="E127" t="s">
        <v>1659</v>
      </c>
      <c r="F127" t="s">
        <v>561</v>
      </c>
      <c r="G127">
        <v>40</v>
      </c>
      <c r="H127">
        <v>335.33</v>
      </c>
      <c r="I127">
        <v>13413.2</v>
      </c>
      <c r="J127">
        <v>12.8</v>
      </c>
      <c r="K127">
        <v>2146.11</v>
      </c>
      <c r="L127">
        <v>13842.42</v>
      </c>
      <c r="M127" t="s">
        <v>4232</v>
      </c>
      <c r="N127" t="s">
        <v>4243</v>
      </c>
      <c r="O127" t="s">
        <v>2456</v>
      </c>
      <c r="P127" t="s">
        <v>2515</v>
      </c>
      <c r="Q127" t="s">
        <v>4520</v>
      </c>
      <c r="R127" t="s">
        <v>3425</v>
      </c>
    </row>
    <row r="128" spans="1:19" hidden="1" x14ac:dyDescent="0.25">
      <c r="A128" t="s">
        <v>4521</v>
      </c>
      <c r="B128" t="s">
        <v>3782</v>
      </c>
      <c r="C128" t="s">
        <v>2594</v>
      </c>
      <c r="D128" t="s">
        <v>3959</v>
      </c>
      <c r="E128" t="s">
        <v>2111</v>
      </c>
      <c r="F128" t="s">
        <v>844</v>
      </c>
      <c r="G128">
        <v>7</v>
      </c>
      <c r="H128">
        <v>372.15</v>
      </c>
      <c r="I128">
        <v>2605.0500000000002</v>
      </c>
      <c r="J128">
        <v>3.3</v>
      </c>
      <c r="K128">
        <v>416.81</v>
      </c>
      <c r="L128">
        <v>2935.89</v>
      </c>
      <c r="M128" t="s">
        <v>4232</v>
      </c>
      <c r="N128" t="s">
        <v>4248</v>
      </c>
      <c r="O128" t="s">
        <v>2440</v>
      </c>
      <c r="P128" t="s">
        <v>2501</v>
      </c>
      <c r="Q128" t="s">
        <v>4522</v>
      </c>
      <c r="R128" t="s">
        <v>3425</v>
      </c>
    </row>
    <row r="129" spans="1:19" hidden="1" x14ac:dyDescent="0.25">
      <c r="A129" t="s">
        <v>4523</v>
      </c>
      <c r="B129" t="s">
        <v>3489</v>
      </c>
      <c r="C129" t="s">
        <v>4524</v>
      </c>
      <c r="D129" t="s">
        <v>4524</v>
      </c>
      <c r="E129" t="s">
        <v>1956</v>
      </c>
      <c r="F129" t="s">
        <v>865</v>
      </c>
      <c r="G129">
        <v>15</v>
      </c>
      <c r="H129">
        <v>794.67</v>
      </c>
      <c r="I129">
        <v>11920.05</v>
      </c>
      <c r="J129">
        <v>4.4000000000000004</v>
      </c>
      <c r="K129">
        <v>1907.21</v>
      </c>
      <c r="L129">
        <v>13302.78</v>
      </c>
      <c r="M129" t="s">
        <v>3442</v>
      </c>
      <c r="N129" t="s">
        <v>4228</v>
      </c>
      <c r="O129" t="s">
        <v>2388</v>
      </c>
      <c r="P129" t="s">
        <v>2544</v>
      </c>
      <c r="Q129" t="s">
        <v>4525</v>
      </c>
      <c r="R129" t="s">
        <v>4275</v>
      </c>
      <c r="S129" t="s">
        <v>4230</v>
      </c>
    </row>
    <row r="130" spans="1:19" hidden="1" x14ac:dyDescent="0.25">
      <c r="A130" t="s">
        <v>4526</v>
      </c>
      <c r="B130" t="s">
        <v>3541</v>
      </c>
      <c r="C130" t="s">
        <v>3617</v>
      </c>
      <c r="D130" t="s">
        <v>3441</v>
      </c>
      <c r="E130" t="s">
        <v>1511</v>
      </c>
      <c r="F130" t="s">
        <v>940</v>
      </c>
      <c r="G130">
        <v>32</v>
      </c>
      <c r="H130">
        <v>515.15</v>
      </c>
      <c r="I130">
        <v>16484.8</v>
      </c>
      <c r="J130">
        <v>19.100000000000001</v>
      </c>
      <c r="K130">
        <v>2637.57</v>
      </c>
      <c r="L130">
        <v>15973.77</v>
      </c>
      <c r="M130" t="s">
        <v>4232</v>
      </c>
      <c r="N130" t="s">
        <v>4248</v>
      </c>
      <c r="O130" t="s">
        <v>2440</v>
      </c>
      <c r="P130" t="s">
        <v>2568</v>
      </c>
      <c r="Q130" t="s">
        <v>4527</v>
      </c>
      <c r="R130" t="s">
        <v>3434</v>
      </c>
    </row>
    <row r="131" spans="1:19" hidden="1" x14ac:dyDescent="0.25">
      <c r="A131" t="s">
        <v>4528</v>
      </c>
      <c r="B131" t="s">
        <v>3597</v>
      </c>
      <c r="C131" t="s">
        <v>3597</v>
      </c>
      <c r="D131" t="s">
        <v>4124</v>
      </c>
      <c r="E131" t="s">
        <v>1475</v>
      </c>
      <c r="F131" t="s">
        <v>348</v>
      </c>
      <c r="G131">
        <v>20</v>
      </c>
      <c r="H131">
        <v>602.5</v>
      </c>
      <c r="I131">
        <v>12050</v>
      </c>
      <c r="J131">
        <v>2.4</v>
      </c>
      <c r="K131">
        <v>1928</v>
      </c>
      <c r="L131">
        <v>13688.8</v>
      </c>
      <c r="M131" t="s">
        <v>4238</v>
      </c>
      <c r="N131" t="s">
        <v>4233</v>
      </c>
      <c r="O131" t="s">
        <v>2440</v>
      </c>
      <c r="P131" t="s">
        <v>2551</v>
      </c>
      <c r="Q131" t="s">
        <v>4529</v>
      </c>
      <c r="R131" t="s">
        <v>3425</v>
      </c>
    </row>
    <row r="132" spans="1:19" hidden="1" x14ac:dyDescent="0.25">
      <c r="A132" t="s">
        <v>4530</v>
      </c>
      <c r="B132" t="s">
        <v>4531</v>
      </c>
      <c r="C132" t="s">
        <v>4531</v>
      </c>
      <c r="D132" t="s">
        <v>2905</v>
      </c>
      <c r="E132" t="s">
        <v>2085</v>
      </c>
      <c r="F132" t="s">
        <v>1015</v>
      </c>
      <c r="G132">
        <v>22</v>
      </c>
      <c r="H132">
        <v>565.58000000000004</v>
      </c>
      <c r="I132">
        <v>12442.76</v>
      </c>
      <c r="J132">
        <v>5.4</v>
      </c>
      <c r="K132">
        <v>1990.84</v>
      </c>
      <c r="L132">
        <v>13761.69</v>
      </c>
      <c r="M132" t="s">
        <v>4227</v>
      </c>
      <c r="N132" t="s">
        <v>1121</v>
      </c>
      <c r="O132" t="s">
        <v>2432</v>
      </c>
      <c r="P132" t="s">
        <v>2519</v>
      </c>
      <c r="Q132" t="s">
        <v>4532</v>
      </c>
      <c r="R132" t="s">
        <v>3434</v>
      </c>
      <c r="S132" t="s">
        <v>3466</v>
      </c>
    </row>
    <row r="133" spans="1:19" hidden="1" x14ac:dyDescent="0.25">
      <c r="A133" t="s">
        <v>4533</v>
      </c>
      <c r="B133" t="s">
        <v>3995</v>
      </c>
      <c r="C133" t="s">
        <v>4158</v>
      </c>
      <c r="D133" t="s">
        <v>3701</v>
      </c>
      <c r="E133" t="s">
        <v>1619</v>
      </c>
      <c r="F133" t="s">
        <v>525</v>
      </c>
      <c r="G133">
        <v>21</v>
      </c>
      <c r="H133">
        <v>261.83999999999997</v>
      </c>
      <c r="I133">
        <v>5498.64</v>
      </c>
      <c r="J133">
        <v>4.3</v>
      </c>
      <c r="K133">
        <v>879.78</v>
      </c>
      <c r="L133">
        <v>6141.98</v>
      </c>
      <c r="M133" t="s">
        <v>3442</v>
      </c>
      <c r="N133" t="s">
        <v>1520</v>
      </c>
      <c r="O133" t="s">
        <v>2440</v>
      </c>
      <c r="P133" t="s">
        <v>2564</v>
      </c>
      <c r="Q133" t="s">
        <v>4534</v>
      </c>
      <c r="R133" t="s">
        <v>3425</v>
      </c>
      <c r="S133" t="s">
        <v>4235</v>
      </c>
    </row>
    <row r="134" spans="1:19" x14ac:dyDescent="0.25">
      <c r="A134" t="s">
        <v>4535</v>
      </c>
      <c r="B134" s="2" t="s">
        <v>1756</v>
      </c>
      <c r="C134" t="s">
        <v>1756</v>
      </c>
      <c r="D134" t="s">
        <v>3108</v>
      </c>
      <c r="E134" t="s">
        <v>2007</v>
      </c>
      <c r="F134" t="s">
        <v>515</v>
      </c>
      <c r="G134">
        <v>3</v>
      </c>
      <c r="H134">
        <v>112.85</v>
      </c>
      <c r="I134">
        <v>338.55</v>
      </c>
      <c r="J134">
        <v>12.4</v>
      </c>
      <c r="K134">
        <v>54.17</v>
      </c>
      <c r="L134">
        <v>350.74</v>
      </c>
      <c r="M134" t="s">
        <v>4238</v>
      </c>
      <c r="N134" t="s">
        <v>4233</v>
      </c>
      <c r="O134" t="s">
        <v>2376</v>
      </c>
      <c r="P134" t="s">
        <v>2568</v>
      </c>
      <c r="Q134" t="s">
        <v>4536</v>
      </c>
      <c r="R134" t="s">
        <v>4245</v>
      </c>
      <c r="S134" t="s">
        <v>4235</v>
      </c>
    </row>
    <row r="135" spans="1:19" hidden="1" x14ac:dyDescent="0.25">
      <c r="A135" t="s">
        <v>4537</v>
      </c>
      <c r="B135" t="s">
        <v>3617</v>
      </c>
      <c r="C135" t="s">
        <v>3617</v>
      </c>
      <c r="D135" t="s">
        <v>3563</v>
      </c>
      <c r="E135" t="s">
        <v>2185</v>
      </c>
      <c r="F135" t="s">
        <v>789</v>
      </c>
      <c r="G135">
        <v>8</v>
      </c>
      <c r="H135">
        <v>656.86</v>
      </c>
      <c r="I135">
        <v>5254.88</v>
      </c>
      <c r="J135">
        <v>10.5</v>
      </c>
      <c r="K135">
        <v>840.78</v>
      </c>
      <c r="L135">
        <v>5543.9</v>
      </c>
      <c r="M135" t="s">
        <v>4247</v>
      </c>
      <c r="N135" t="s">
        <v>1121</v>
      </c>
      <c r="O135" t="s">
        <v>2440</v>
      </c>
      <c r="P135" t="s">
        <v>2475</v>
      </c>
      <c r="Q135" t="s">
        <v>4538</v>
      </c>
      <c r="R135" t="s">
        <v>3425</v>
      </c>
    </row>
    <row r="136" spans="1:19" x14ac:dyDescent="0.25">
      <c r="A136" t="s">
        <v>4539</v>
      </c>
      <c r="B136" s="2" t="s">
        <v>4540</v>
      </c>
      <c r="C136" t="s">
        <v>3127</v>
      </c>
      <c r="D136" t="s">
        <v>3852</v>
      </c>
      <c r="E136" t="s">
        <v>2076</v>
      </c>
      <c r="F136" t="s">
        <v>784</v>
      </c>
      <c r="G136">
        <v>36</v>
      </c>
      <c r="H136">
        <v>785.16</v>
      </c>
      <c r="I136">
        <v>28265.759999999998</v>
      </c>
      <c r="J136">
        <v>7</v>
      </c>
      <c r="K136">
        <v>4522.5200000000004</v>
      </c>
      <c r="L136">
        <v>30809.68</v>
      </c>
      <c r="M136" t="s">
        <v>4227</v>
      </c>
      <c r="N136" t="s">
        <v>4228</v>
      </c>
      <c r="O136" t="s">
        <v>2432</v>
      </c>
      <c r="P136" t="s">
        <v>2531</v>
      </c>
      <c r="Q136" t="s">
        <v>4541</v>
      </c>
      <c r="R136" t="s">
        <v>4245</v>
      </c>
      <c r="S136" t="s">
        <v>3466</v>
      </c>
    </row>
    <row r="137" spans="1:19" hidden="1" x14ac:dyDescent="0.25">
      <c r="A137" t="s">
        <v>4542</v>
      </c>
      <c r="B137" t="s">
        <v>4543</v>
      </c>
      <c r="C137" t="s">
        <v>3775</v>
      </c>
      <c r="D137" t="s">
        <v>4103</v>
      </c>
      <c r="E137" t="s">
        <v>1820</v>
      </c>
      <c r="F137" t="s">
        <v>490</v>
      </c>
      <c r="G137">
        <v>11</v>
      </c>
      <c r="H137">
        <v>210.58</v>
      </c>
      <c r="I137">
        <v>2316.38</v>
      </c>
      <c r="J137">
        <v>14.1</v>
      </c>
      <c r="K137">
        <v>370.62</v>
      </c>
      <c r="L137">
        <v>2360.39</v>
      </c>
      <c r="M137" t="s">
        <v>4247</v>
      </c>
      <c r="N137" t="s">
        <v>4248</v>
      </c>
      <c r="O137" t="s">
        <v>2449</v>
      </c>
      <c r="P137" t="s">
        <v>2554</v>
      </c>
      <c r="Q137" t="s">
        <v>4544</v>
      </c>
      <c r="R137" t="s">
        <v>4275</v>
      </c>
      <c r="S137" t="s">
        <v>4230</v>
      </c>
    </row>
    <row r="138" spans="1:19" hidden="1" x14ac:dyDescent="0.25">
      <c r="A138" t="s">
        <v>4545</v>
      </c>
      <c r="B138" t="s">
        <v>3827</v>
      </c>
      <c r="C138" t="s">
        <v>3827</v>
      </c>
      <c r="D138" t="s">
        <v>3766</v>
      </c>
      <c r="E138" t="s">
        <v>2295</v>
      </c>
      <c r="F138" t="s">
        <v>900</v>
      </c>
      <c r="G138">
        <v>19</v>
      </c>
      <c r="H138">
        <v>242.22</v>
      </c>
      <c r="I138">
        <v>4602.18</v>
      </c>
      <c r="J138">
        <v>2.6</v>
      </c>
      <c r="K138">
        <v>736.35</v>
      </c>
      <c r="L138">
        <v>5218.87</v>
      </c>
      <c r="M138" t="s">
        <v>4238</v>
      </c>
      <c r="N138" t="s">
        <v>4243</v>
      </c>
      <c r="O138" t="s">
        <v>2432</v>
      </c>
      <c r="P138" t="s">
        <v>2522</v>
      </c>
      <c r="Q138" t="s">
        <v>4546</v>
      </c>
      <c r="R138" t="s">
        <v>3425</v>
      </c>
    </row>
    <row r="139" spans="1:19" hidden="1" x14ac:dyDescent="0.25">
      <c r="A139" t="s">
        <v>4547</v>
      </c>
      <c r="B139" t="s">
        <v>3834</v>
      </c>
      <c r="C139" t="s">
        <v>4174</v>
      </c>
      <c r="D139" t="s">
        <v>4548</v>
      </c>
      <c r="E139" t="s">
        <v>1534</v>
      </c>
      <c r="F139" t="s">
        <v>295</v>
      </c>
      <c r="G139">
        <v>20</v>
      </c>
      <c r="H139">
        <v>398</v>
      </c>
      <c r="I139">
        <v>7960</v>
      </c>
      <c r="J139">
        <v>4.5999999999999996</v>
      </c>
      <c r="K139">
        <v>1273.5999999999999</v>
      </c>
      <c r="L139">
        <v>8867.44</v>
      </c>
      <c r="M139" t="s">
        <v>3442</v>
      </c>
      <c r="N139" t="s">
        <v>1121</v>
      </c>
      <c r="O139" t="s">
        <v>2388</v>
      </c>
      <c r="P139" t="s">
        <v>2522</v>
      </c>
      <c r="Q139" t="s">
        <v>4549</v>
      </c>
      <c r="R139" t="s">
        <v>3425</v>
      </c>
    </row>
    <row r="140" spans="1:19" hidden="1" x14ac:dyDescent="0.25">
      <c r="A140" t="s">
        <v>4550</v>
      </c>
      <c r="B140" t="s">
        <v>3659</v>
      </c>
      <c r="C140" t="s">
        <v>3780</v>
      </c>
      <c r="D140" t="s">
        <v>3957</v>
      </c>
      <c r="E140" t="s">
        <v>1475</v>
      </c>
      <c r="F140" t="s">
        <v>520</v>
      </c>
      <c r="G140">
        <v>22</v>
      </c>
      <c r="H140">
        <v>484.42</v>
      </c>
      <c r="I140">
        <v>10657.24</v>
      </c>
      <c r="J140">
        <v>10.4</v>
      </c>
      <c r="K140">
        <v>1705.16</v>
      </c>
      <c r="L140">
        <v>11254.05</v>
      </c>
      <c r="M140" t="s">
        <v>4247</v>
      </c>
      <c r="N140" t="s">
        <v>1121</v>
      </c>
      <c r="O140" t="s">
        <v>2388</v>
      </c>
      <c r="P140" t="s">
        <v>2519</v>
      </c>
      <c r="Q140" t="s">
        <v>4551</v>
      </c>
      <c r="R140" t="s">
        <v>3429</v>
      </c>
      <c r="S140" t="s">
        <v>4235</v>
      </c>
    </row>
    <row r="141" spans="1:19" hidden="1" x14ac:dyDescent="0.25">
      <c r="A141" t="s">
        <v>4552</v>
      </c>
      <c r="B141" t="s">
        <v>4124</v>
      </c>
      <c r="C141" t="s">
        <v>4553</v>
      </c>
      <c r="D141" t="s">
        <v>3552</v>
      </c>
      <c r="E141" t="s">
        <v>2160</v>
      </c>
      <c r="F141" t="s">
        <v>905</v>
      </c>
      <c r="G141">
        <v>46</v>
      </c>
      <c r="H141">
        <v>492.5</v>
      </c>
      <c r="I141">
        <v>22655</v>
      </c>
      <c r="J141">
        <v>10</v>
      </c>
      <c r="K141">
        <v>3624.8</v>
      </c>
      <c r="L141">
        <v>24014.3</v>
      </c>
      <c r="M141" t="s">
        <v>3428</v>
      </c>
      <c r="N141" t="s">
        <v>4243</v>
      </c>
      <c r="O141" t="s">
        <v>2440</v>
      </c>
      <c r="P141" t="s">
        <v>2564</v>
      </c>
      <c r="Q141" t="s">
        <v>4554</v>
      </c>
      <c r="R141" t="s">
        <v>3429</v>
      </c>
    </row>
    <row r="142" spans="1:19" hidden="1" x14ac:dyDescent="0.25">
      <c r="A142" t="s">
        <v>4555</v>
      </c>
      <c r="B142" t="s">
        <v>3923</v>
      </c>
      <c r="C142" t="s">
        <v>3750</v>
      </c>
      <c r="D142" t="s">
        <v>4556</v>
      </c>
      <c r="E142" t="s">
        <v>2328</v>
      </c>
      <c r="F142" t="s">
        <v>38</v>
      </c>
      <c r="G142">
        <v>9</v>
      </c>
      <c r="H142">
        <v>393.04</v>
      </c>
      <c r="I142">
        <v>3537.36</v>
      </c>
      <c r="J142">
        <v>10.3</v>
      </c>
      <c r="K142">
        <v>565.98</v>
      </c>
      <c r="L142">
        <v>3738.99</v>
      </c>
      <c r="M142" t="s">
        <v>4227</v>
      </c>
      <c r="N142" t="s">
        <v>4248</v>
      </c>
      <c r="O142" t="s">
        <v>2407</v>
      </c>
      <c r="P142" t="s">
        <v>2486</v>
      </c>
      <c r="Q142" t="s">
        <v>4557</v>
      </c>
      <c r="R142" t="s">
        <v>3425</v>
      </c>
    </row>
    <row r="143" spans="1:19" hidden="1" x14ac:dyDescent="0.25">
      <c r="A143" t="s">
        <v>4558</v>
      </c>
      <c r="B143" t="s">
        <v>4194</v>
      </c>
      <c r="C143" t="s">
        <v>3432</v>
      </c>
      <c r="D143" t="s">
        <v>3658</v>
      </c>
      <c r="E143" t="s">
        <v>2320</v>
      </c>
      <c r="F143" t="s">
        <v>269</v>
      </c>
      <c r="G143">
        <v>13</v>
      </c>
      <c r="H143">
        <v>769.07</v>
      </c>
      <c r="I143">
        <v>9997.91</v>
      </c>
      <c r="J143">
        <v>2.5</v>
      </c>
      <c r="K143">
        <v>1599.67</v>
      </c>
      <c r="L143">
        <v>11347.63</v>
      </c>
      <c r="M143" t="s">
        <v>4238</v>
      </c>
      <c r="N143" t="s">
        <v>4243</v>
      </c>
      <c r="O143" t="s">
        <v>2376</v>
      </c>
      <c r="P143" t="s">
        <v>2554</v>
      </c>
      <c r="Q143" t="s">
        <v>4559</v>
      </c>
      <c r="R143" t="s">
        <v>3429</v>
      </c>
    </row>
    <row r="144" spans="1:19" hidden="1" x14ac:dyDescent="0.25">
      <c r="A144" t="s">
        <v>4560</v>
      </c>
      <c r="B144" t="s">
        <v>2659</v>
      </c>
      <c r="C144" t="s">
        <v>3422</v>
      </c>
      <c r="D144" t="s">
        <v>3309</v>
      </c>
      <c r="E144" t="s">
        <v>1599</v>
      </c>
      <c r="F144" t="s">
        <v>779</v>
      </c>
      <c r="G144">
        <v>16</v>
      </c>
      <c r="H144">
        <v>432.29</v>
      </c>
      <c r="I144">
        <v>6916.64</v>
      </c>
      <c r="J144">
        <v>9.8000000000000007</v>
      </c>
      <c r="K144">
        <v>1106.6600000000001</v>
      </c>
      <c r="L144">
        <v>7345.47</v>
      </c>
      <c r="M144" t="s">
        <v>4257</v>
      </c>
      <c r="N144" t="s">
        <v>4228</v>
      </c>
      <c r="O144" t="s">
        <v>2398</v>
      </c>
      <c r="P144" t="s">
        <v>2568</v>
      </c>
      <c r="Q144" t="s">
        <v>4561</v>
      </c>
      <c r="R144" t="s">
        <v>3425</v>
      </c>
      <c r="S144" t="s">
        <v>3466</v>
      </c>
    </row>
    <row r="145" spans="1:19" hidden="1" x14ac:dyDescent="0.25">
      <c r="A145" t="s">
        <v>4562</v>
      </c>
      <c r="B145" t="s">
        <v>4164</v>
      </c>
      <c r="C145" t="s">
        <v>3751</v>
      </c>
      <c r="D145" t="s">
        <v>3811</v>
      </c>
      <c r="E145" t="s">
        <v>1705</v>
      </c>
      <c r="F145" t="s">
        <v>332</v>
      </c>
      <c r="G145">
        <v>23</v>
      </c>
      <c r="H145">
        <v>484.06</v>
      </c>
      <c r="I145">
        <v>11133.38</v>
      </c>
      <c r="J145">
        <v>6.4</v>
      </c>
      <c r="K145">
        <v>1781.34</v>
      </c>
      <c r="L145">
        <v>12202.18</v>
      </c>
      <c r="M145" t="s">
        <v>4247</v>
      </c>
      <c r="N145" t="s">
        <v>4248</v>
      </c>
      <c r="O145" t="s">
        <v>2440</v>
      </c>
      <c r="P145" t="s">
        <v>2495</v>
      </c>
      <c r="Q145" t="s">
        <v>4563</v>
      </c>
      <c r="R145" t="s">
        <v>3425</v>
      </c>
      <c r="S145" t="s">
        <v>4230</v>
      </c>
    </row>
    <row r="146" spans="1:19" hidden="1" x14ac:dyDescent="0.25">
      <c r="A146" t="s">
        <v>4564</v>
      </c>
      <c r="B146" t="s">
        <v>4327</v>
      </c>
      <c r="C146" t="s">
        <v>3895</v>
      </c>
      <c r="D146" t="s">
        <v>3745</v>
      </c>
      <c r="E146" t="s">
        <v>1668</v>
      </c>
      <c r="F146" t="s">
        <v>905</v>
      </c>
      <c r="G146">
        <v>6</v>
      </c>
      <c r="H146">
        <v>508.74</v>
      </c>
      <c r="I146">
        <v>3052.44</v>
      </c>
      <c r="J146">
        <v>15.5</v>
      </c>
      <c r="K146">
        <v>488.39</v>
      </c>
      <c r="L146">
        <v>3067.7</v>
      </c>
      <c r="M146" t="s">
        <v>4247</v>
      </c>
      <c r="N146" t="s">
        <v>4228</v>
      </c>
      <c r="O146" t="s">
        <v>2407</v>
      </c>
      <c r="P146" t="s">
        <v>2564</v>
      </c>
      <c r="Q146" t="s">
        <v>4565</v>
      </c>
      <c r="R146" t="s">
        <v>3425</v>
      </c>
    </row>
    <row r="147" spans="1:19" hidden="1" x14ac:dyDescent="0.25">
      <c r="A147" t="s">
        <v>4566</v>
      </c>
      <c r="B147" t="s">
        <v>2692</v>
      </c>
      <c r="C147" t="s">
        <v>3119</v>
      </c>
      <c r="D147" t="s">
        <v>2918</v>
      </c>
      <c r="E147" t="s">
        <v>2295</v>
      </c>
      <c r="F147" t="s">
        <v>672</v>
      </c>
      <c r="G147">
        <v>8</v>
      </c>
      <c r="H147">
        <v>616.34</v>
      </c>
      <c r="I147">
        <v>4930.72</v>
      </c>
      <c r="J147">
        <v>3.5</v>
      </c>
      <c r="K147">
        <v>788.92</v>
      </c>
      <c r="L147">
        <v>5547.06</v>
      </c>
      <c r="M147" t="s">
        <v>3428</v>
      </c>
      <c r="N147" t="s">
        <v>4243</v>
      </c>
      <c r="O147" t="s">
        <v>2407</v>
      </c>
      <c r="P147" t="s">
        <v>2548</v>
      </c>
      <c r="Q147" t="s">
        <v>4567</v>
      </c>
      <c r="R147" t="s">
        <v>3425</v>
      </c>
      <c r="S147" t="s">
        <v>4230</v>
      </c>
    </row>
    <row r="148" spans="1:19" hidden="1" x14ac:dyDescent="0.25">
      <c r="A148" t="s">
        <v>4568</v>
      </c>
      <c r="B148" t="s">
        <v>3827</v>
      </c>
      <c r="C148" t="s">
        <v>3689</v>
      </c>
      <c r="D148" t="s">
        <v>4569</v>
      </c>
      <c r="E148" t="s">
        <v>1713</v>
      </c>
      <c r="F148" t="s">
        <v>321</v>
      </c>
      <c r="G148">
        <v>10</v>
      </c>
      <c r="H148">
        <v>561.32000000000005</v>
      </c>
      <c r="I148">
        <v>5613.2</v>
      </c>
      <c r="J148">
        <v>11.3</v>
      </c>
      <c r="K148">
        <v>898.11</v>
      </c>
      <c r="L148">
        <v>5877.02</v>
      </c>
      <c r="M148" t="s">
        <v>3428</v>
      </c>
      <c r="N148" t="s">
        <v>1121</v>
      </c>
      <c r="O148" t="s">
        <v>2388</v>
      </c>
      <c r="P148" t="s">
        <v>2564</v>
      </c>
      <c r="Q148" t="s">
        <v>4570</v>
      </c>
      <c r="R148" t="s">
        <v>3434</v>
      </c>
    </row>
    <row r="149" spans="1:19" hidden="1" x14ac:dyDescent="0.25">
      <c r="A149" t="s">
        <v>4571</v>
      </c>
      <c r="B149" t="s">
        <v>4099</v>
      </c>
      <c r="C149" t="s">
        <v>2505</v>
      </c>
      <c r="D149" t="s">
        <v>3732</v>
      </c>
      <c r="E149" t="s">
        <v>2119</v>
      </c>
      <c r="F149" t="s">
        <v>814</v>
      </c>
      <c r="G149">
        <v>10</v>
      </c>
      <c r="H149">
        <v>289.16000000000003</v>
      </c>
      <c r="I149">
        <v>2891.6</v>
      </c>
      <c r="J149">
        <v>3.3</v>
      </c>
      <c r="K149">
        <v>462.66</v>
      </c>
      <c r="L149">
        <v>3258.84</v>
      </c>
      <c r="M149" t="s">
        <v>3442</v>
      </c>
      <c r="N149" t="s">
        <v>4228</v>
      </c>
      <c r="O149" t="s">
        <v>2449</v>
      </c>
      <c r="P149" t="s">
        <v>2506</v>
      </c>
      <c r="Q149" t="s">
        <v>4572</v>
      </c>
      <c r="R149" t="s">
        <v>3434</v>
      </c>
      <c r="S149" t="s">
        <v>4235</v>
      </c>
    </row>
    <row r="150" spans="1:19" hidden="1" x14ac:dyDescent="0.25">
      <c r="A150" t="s">
        <v>4573</v>
      </c>
      <c r="B150" t="s">
        <v>4574</v>
      </c>
      <c r="C150" t="s">
        <v>2102</v>
      </c>
      <c r="D150" t="s">
        <v>3571</v>
      </c>
      <c r="E150" t="s">
        <v>1640</v>
      </c>
      <c r="F150" t="s">
        <v>739</v>
      </c>
      <c r="G150">
        <v>47</v>
      </c>
      <c r="H150">
        <v>615.69000000000005</v>
      </c>
      <c r="I150">
        <v>28937.43</v>
      </c>
      <c r="J150">
        <v>14.7</v>
      </c>
      <c r="K150">
        <v>4629.99</v>
      </c>
      <c r="L150">
        <v>29313.62</v>
      </c>
      <c r="M150" t="s">
        <v>4238</v>
      </c>
      <c r="N150" t="s">
        <v>1520</v>
      </c>
      <c r="O150" t="s">
        <v>2416</v>
      </c>
      <c r="P150" t="s">
        <v>2512</v>
      </c>
      <c r="Q150" t="s">
        <v>4575</v>
      </c>
      <c r="R150" t="s">
        <v>4275</v>
      </c>
      <c r="S150" t="s">
        <v>4292</v>
      </c>
    </row>
    <row r="151" spans="1:19" hidden="1" x14ac:dyDescent="0.25">
      <c r="A151" t="s">
        <v>4576</v>
      </c>
      <c r="B151" t="s">
        <v>3960</v>
      </c>
      <c r="C151" t="s">
        <v>3636</v>
      </c>
      <c r="D151" t="s">
        <v>2786</v>
      </c>
      <c r="E151" t="s">
        <v>1795</v>
      </c>
      <c r="F151" t="s">
        <v>850</v>
      </c>
      <c r="G151">
        <v>50</v>
      </c>
      <c r="H151">
        <v>498.49</v>
      </c>
      <c r="I151">
        <v>24924.5</v>
      </c>
      <c r="J151">
        <v>14.3</v>
      </c>
      <c r="K151">
        <v>3987.92</v>
      </c>
      <c r="L151">
        <v>25348.22</v>
      </c>
      <c r="M151" t="s">
        <v>3428</v>
      </c>
      <c r="N151" t="s">
        <v>4228</v>
      </c>
      <c r="O151" t="s">
        <v>2456</v>
      </c>
      <c r="P151" t="s">
        <v>2535</v>
      </c>
      <c r="Q151" t="s">
        <v>4577</v>
      </c>
      <c r="R151" t="s">
        <v>3425</v>
      </c>
      <c r="S151" t="s">
        <v>3466</v>
      </c>
    </row>
    <row r="152" spans="1:19" hidden="1" x14ac:dyDescent="0.25">
      <c r="A152" t="s">
        <v>4578</v>
      </c>
      <c r="B152" t="s">
        <v>3690</v>
      </c>
      <c r="C152" t="s">
        <v>3737</v>
      </c>
      <c r="D152" t="s">
        <v>3726</v>
      </c>
      <c r="E152" t="s">
        <v>1566</v>
      </c>
      <c r="F152" t="s">
        <v>306</v>
      </c>
      <c r="G152">
        <v>4</v>
      </c>
      <c r="H152">
        <v>364.89</v>
      </c>
      <c r="I152">
        <v>1459.56</v>
      </c>
      <c r="J152">
        <v>13.3</v>
      </c>
      <c r="K152">
        <v>233.53</v>
      </c>
      <c r="L152">
        <v>1498.97</v>
      </c>
      <c r="M152" t="s">
        <v>4232</v>
      </c>
      <c r="N152" t="s">
        <v>1520</v>
      </c>
      <c r="O152" t="s">
        <v>2388</v>
      </c>
      <c r="P152" t="s">
        <v>2506</v>
      </c>
      <c r="Q152" t="s">
        <v>4579</v>
      </c>
      <c r="R152" t="s">
        <v>3425</v>
      </c>
    </row>
    <row r="153" spans="1:19" hidden="1" x14ac:dyDescent="0.25">
      <c r="A153" t="s">
        <v>4580</v>
      </c>
      <c r="B153" t="s">
        <v>1721</v>
      </c>
      <c r="C153" t="s">
        <v>2957</v>
      </c>
      <c r="D153" t="s">
        <v>2560</v>
      </c>
      <c r="E153" t="s">
        <v>1678</v>
      </c>
      <c r="F153" t="s">
        <v>95</v>
      </c>
      <c r="G153">
        <v>44</v>
      </c>
      <c r="H153">
        <v>702.2</v>
      </c>
      <c r="I153">
        <v>30896.799999999999</v>
      </c>
      <c r="J153">
        <v>2</v>
      </c>
      <c r="K153">
        <v>4943.49</v>
      </c>
      <c r="L153">
        <v>35222.35</v>
      </c>
      <c r="M153" t="s">
        <v>4238</v>
      </c>
      <c r="N153" t="s">
        <v>4243</v>
      </c>
      <c r="O153" t="s">
        <v>2376</v>
      </c>
      <c r="P153" t="s">
        <v>2544</v>
      </c>
      <c r="Q153" t="s">
        <v>4581</v>
      </c>
      <c r="R153" t="s">
        <v>3425</v>
      </c>
    </row>
    <row r="154" spans="1:19" hidden="1" x14ac:dyDescent="0.25">
      <c r="A154" t="s">
        <v>4582</v>
      </c>
      <c r="B154" t="s">
        <v>4583</v>
      </c>
      <c r="C154" t="s">
        <v>4584</v>
      </c>
      <c r="D154" t="s">
        <v>3790</v>
      </c>
      <c r="E154" t="s">
        <v>1803</v>
      </c>
      <c r="F154" t="s">
        <v>1086</v>
      </c>
      <c r="G154">
        <v>36</v>
      </c>
      <c r="H154">
        <v>491.16</v>
      </c>
      <c r="I154">
        <v>17681.759999999998</v>
      </c>
      <c r="J154">
        <v>16.2</v>
      </c>
      <c r="K154">
        <v>2829.08</v>
      </c>
      <c r="L154">
        <v>17646.39</v>
      </c>
      <c r="M154" t="s">
        <v>4232</v>
      </c>
      <c r="N154" t="s">
        <v>4228</v>
      </c>
      <c r="O154" t="s">
        <v>2456</v>
      </c>
      <c r="P154" t="s">
        <v>2535</v>
      </c>
      <c r="Q154" t="s">
        <v>4585</v>
      </c>
      <c r="R154" t="s">
        <v>3425</v>
      </c>
    </row>
    <row r="155" spans="1:19" hidden="1" x14ac:dyDescent="0.25">
      <c r="A155" t="s">
        <v>4586</v>
      </c>
      <c r="B155" t="s">
        <v>3770</v>
      </c>
      <c r="C155" t="s">
        <v>3770</v>
      </c>
      <c r="D155" t="s">
        <v>3452</v>
      </c>
      <c r="E155" t="s">
        <v>2211</v>
      </c>
      <c r="F155" t="s">
        <v>794</v>
      </c>
      <c r="G155">
        <v>26</v>
      </c>
      <c r="H155">
        <v>839.44</v>
      </c>
      <c r="I155">
        <v>21825.439999999999</v>
      </c>
      <c r="J155">
        <v>16</v>
      </c>
      <c r="K155">
        <v>3492.07</v>
      </c>
      <c r="L155">
        <v>21825.439999999999</v>
      </c>
      <c r="M155" t="s">
        <v>4257</v>
      </c>
      <c r="N155" t="s">
        <v>4248</v>
      </c>
      <c r="O155" t="s">
        <v>2416</v>
      </c>
      <c r="P155" t="s">
        <v>2512</v>
      </c>
      <c r="Q155" t="s">
        <v>4587</v>
      </c>
      <c r="R155" t="s">
        <v>3425</v>
      </c>
      <c r="S155" t="s">
        <v>4230</v>
      </c>
    </row>
    <row r="156" spans="1:19" hidden="1" x14ac:dyDescent="0.25">
      <c r="A156" t="s">
        <v>4588</v>
      </c>
      <c r="B156" t="s">
        <v>2772</v>
      </c>
      <c r="C156" t="s">
        <v>2772</v>
      </c>
      <c r="D156" t="s">
        <v>2839</v>
      </c>
      <c r="E156" t="s">
        <v>1629</v>
      </c>
      <c r="F156" t="s">
        <v>698</v>
      </c>
      <c r="G156">
        <v>5</v>
      </c>
      <c r="H156">
        <v>377.51</v>
      </c>
      <c r="I156">
        <v>1887.55</v>
      </c>
      <c r="J156">
        <v>17.399999999999999</v>
      </c>
      <c r="K156">
        <v>302.01</v>
      </c>
      <c r="L156">
        <v>1861.13</v>
      </c>
      <c r="M156" t="s">
        <v>4238</v>
      </c>
      <c r="N156" t="s">
        <v>1121</v>
      </c>
      <c r="O156" t="s">
        <v>2456</v>
      </c>
      <c r="P156" t="s">
        <v>2501</v>
      </c>
      <c r="Q156" t="s">
        <v>4589</v>
      </c>
      <c r="R156" t="s">
        <v>3434</v>
      </c>
    </row>
    <row r="157" spans="1:19" x14ac:dyDescent="0.25">
      <c r="A157" t="s">
        <v>4590</v>
      </c>
      <c r="B157" s="2" t="s">
        <v>2854</v>
      </c>
      <c r="C157" t="s">
        <v>2664</v>
      </c>
      <c r="D157" t="s">
        <v>3058</v>
      </c>
      <c r="E157" t="s">
        <v>2042</v>
      </c>
      <c r="F157" t="s">
        <v>458</v>
      </c>
      <c r="G157">
        <v>42</v>
      </c>
      <c r="H157">
        <v>794.29</v>
      </c>
      <c r="I157">
        <v>33360.18</v>
      </c>
      <c r="J157">
        <v>10.199999999999999</v>
      </c>
      <c r="K157">
        <v>5337.63</v>
      </c>
      <c r="L157">
        <v>35295.07</v>
      </c>
      <c r="M157" t="s">
        <v>4257</v>
      </c>
      <c r="N157" t="s">
        <v>4228</v>
      </c>
      <c r="O157" t="s">
        <v>2432</v>
      </c>
      <c r="P157" t="s">
        <v>2538</v>
      </c>
      <c r="Q157" t="s">
        <v>4591</v>
      </c>
      <c r="R157" t="s">
        <v>4245</v>
      </c>
    </row>
    <row r="158" spans="1:19" hidden="1" x14ac:dyDescent="0.25">
      <c r="A158" t="s">
        <v>4592</v>
      </c>
      <c r="B158" t="s">
        <v>4593</v>
      </c>
      <c r="C158" t="s">
        <v>3677</v>
      </c>
      <c r="D158" t="s">
        <v>3612</v>
      </c>
      <c r="E158" t="s">
        <v>2177</v>
      </c>
      <c r="F158" t="s">
        <v>240</v>
      </c>
      <c r="G158">
        <v>10</v>
      </c>
      <c r="H158">
        <v>418.26</v>
      </c>
      <c r="I158">
        <v>4182.6000000000004</v>
      </c>
      <c r="J158">
        <v>12.7</v>
      </c>
      <c r="K158">
        <v>669.22</v>
      </c>
      <c r="L158">
        <v>4320.63</v>
      </c>
      <c r="M158" t="s">
        <v>3442</v>
      </c>
      <c r="N158" t="s">
        <v>1121</v>
      </c>
      <c r="O158" t="s">
        <v>2388</v>
      </c>
      <c r="P158" t="s">
        <v>2558</v>
      </c>
      <c r="Q158" t="s">
        <v>4594</v>
      </c>
      <c r="R158" t="s">
        <v>3429</v>
      </c>
      <c r="S158" t="s">
        <v>3466</v>
      </c>
    </row>
    <row r="159" spans="1:19" hidden="1" x14ac:dyDescent="0.25">
      <c r="A159" t="s">
        <v>4595</v>
      </c>
      <c r="B159" t="s">
        <v>3778</v>
      </c>
      <c r="C159" t="s">
        <v>3778</v>
      </c>
      <c r="D159" t="s">
        <v>3769</v>
      </c>
      <c r="E159" t="s">
        <v>2336</v>
      </c>
      <c r="F159" t="s">
        <v>960</v>
      </c>
      <c r="G159">
        <v>9</v>
      </c>
      <c r="H159">
        <v>142.80000000000001</v>
      </c>
      <c r="I159">
        <v>1285.2</v>
      </c>
      <c r="J159">
        <v>12.1</v>
      </c>
      <c r="K159">
        <v>205.63</v>
      </c>
      <c r="L159">
        <v>1335.32</v>
      </c>
      <c r="M159" t="s">
        <v>4257</v>
      </c>
      <c r="N159" t="s">
        <v>1520</v>
      </c>
      <c r="O159" t="s">
        <v>2432</v>
      </c>
      <c r="P159" t="s">
        <v>2491</v>
      </c>
      <c r="Q159" t="s">
        <v>4596</v>
      </c>
      <c r="R159" t="s">
        <v>3425</v>
      </c>
    </row>
    <row r="160" spans="1:19" hidden="1" x14ac:dyDescent="0.25">
      <c r="A160" t="s">
        <v>4597</v>
      </c>
      <c r="B160" t="s">
        <v>4398</v>
      </c>
      <c r="C160" t="s">
        <v>4524</v>
      </c>
      <c r="D160" t="s">
        <v>3628</v>
      </c>
      <c r="E160" t="s">
        <v>2007</v>
      </c>
      <c r="F160" t="s">
        <v>269</v>
      </c>
      <c r="G160">
        <v>47</v>
      </c>
      <c r="H160">
        <v>374.35</v>
      </c>
      <c r="I160">
        <v>17594.45</v>
      </c>
      <c r="J160">
        <v>14.9</v>
      </c>
      <c r="K160">
        <v>2815.11</v>
      </c>
      <c r="L160">
        <v>17787.990000000002</v>
      </c>
      <c r="M160" t="s">
        <v>3442</v>
      </c>
      <c r="N160" t="s">
        <v>1121</v>
      </c>
      <c r="O160" t="s">
        <v>2456</v>
      </c>
      <c r="P160" t="s">
        <v>2564</v>
      </c>
      <c r="Q160" t="s">
        <v>4598</v>
      </c>
      <c r="R160" t="s">
        <v>3425</v>
      </c>
      <c r="S160" t="s">
        <v>4292</v>
      </c>
    </row>
    <row r="161" spans="1:19" hidden="1" x14ac:dyDescent="0.25">
      <c r="A161" t="s">
        <v>4599</v>
      </c>
      <c r="B161" t="s">
        <v>2968</v>
      </c>
      <c r="C161" t="s">
        <v>3219</v>
      </c>
      <c r="D161" t="s">
        <v>2604</v>
      </c>
      <c r="E161" t="s">
        <v>2144</v>
      </c>
      <c r="F161" t="s">
        <v>348</v>
      </c>
      <c r="G161">
        <v>28</v>
      </c>
      <c r="H161">
        <v>404.23</v>
      </c>
      <c r="I161">
        <v>11318.44</v>
      </c>
      <c r="J161">
        <v>4.2</v>
      </c>
      <c r="K161">
        <v>1810.95</v>
      </c>
      <c r="L161">
        <v>12654.02</v>
      </c>
      <c r="M161" t="s">
        <v>4247</v>
      </c>
      <c r="N161" t="s">
        <v>4243</v>
      </c>
      <c r="O161" t="s">
        <v>2416</v>
      </c>
      <c r="P161" t="s">
        <v>2568</v>
      </c>
      <c r="Q161" t="s">
        <v>4600</v>
      </c>
      <c r="R161" t="s">
        <v>3425</v>
      </c>
      <c r="S161" t="s">
        <v>4292</v>
      </c>
    </row>
    <row r="162" spans="1:19" hidden="1" x14ac:dyDescent="0.25">
      <c r="A162" t="s">
        <v>4601</v>
      </c>
      <c r="B162" t="s">
        <v>4602</v>
      </c>
      <c r="C162" t="s">
        <v>4583</v>
      </c>
      <c r="D162" t="s">
        <v>3897</v>
      </c>
      <c r="E162" t="s">
        <v>1705</v>
      </c>
      <c r="F162" t="s">
        <v>215</v>
      </c>
      <c r="G162">
        <v>6</v>
      </c>
      <c r="H162">
        <v>327.56</v>
      </c>
      <c r="I162">
        <v>1965.36</v>
      </c>
      <c r="J162">
        <v>15.8</v>
      </c>
      <c r="K162">
        <v>314.45999999999998</v>
      </c>
      <c r="L162">
        <v>1969.29</v>
      </c>
      <c r="M162" t="s">
        <v>4232</v>
      </c>
      <c r="N162" t="s">
        <v>1121</v>
      </c>
      <c r="O162" t="s">
        <v>2425</v>
      </c>
      <c r="P162" t="s">
        <v>2475</v>
      </c>
      <c r="Q162" t="s">
        <v>4603</v>
      </c>
      <c r="R162" t="s">
        <v>3434</v>
      </c>
      <c r="S162" t="s">
        <v>4235</v>
      </c>
    </row>
    <row r="163" spans="1:19" x14ac:dyDescent="0.25">
      <c r="A163" t="s">
        <v>4604</v>
      </c>
      <c r="B163" s="2" t="s">
        <v>3955</v>
      </c>
      <c r="C163" t="s">
        <v>3184</v>
      </c>
      <c r="D163" t="s">
        <v>3337</v>
      </c>
      <c r="E163" t="s">
        <v>1650</v>
      </c>
      <c r="F163" t="s">
        <v>69</v>
      </c>
      <c r="G163">
        <v>38</v>
      </c>
      <c r="H163">
        <v>254.92</v>
      </c>
      <c r="I163">
        <v>9686.9599999999991</v>
      </c>
      <c r="J163">
        <v>16.899999999999999</v>
      </c>
      <c r="K163">
        <v>1549.91</v>
      </c>
      <c r="L163">
        <v>9599.77</v>
      </c>
      <c r="M163" t="s">
        <v>4238</v>
      </c>
      <c r="N163" t="s">
        <v>4233</v>
      </c>
      <c r="O163" t="s">
        <v>2376</v>
      </c>
      <c r="P163" t="s">
        <v>2506</v>
      </c>
      <c r="Q163" t="s">
        <v>4605</v>
      </c>
      <c r="R163" t="s">
        <v>4245</v>
      </c>
    </row>
    <row r="164" spans="1:19" hidden="1" x14ac:dyDescent="0.25">
      <c r="A164" t="s">
        <v>4606</v>
      </c>
      <c r="B164" t="s">
        <v>3465</v>
      </c>
      <c r="C164" t="s">
        <v>4487</v>
      </c>
      <c r="D164" t="s">
        <v>4607</v>
      </c>
      <c r="E164" t="s">
        <v>2361</v>
      </c>
      <c r="F164" t="s">
        <v>209</v>
      </c>
      <c r="G164">
        <v>15</v>
      </c>
      <c r="H164">
        <v>875.11</v>
      </c>
      <c r="I164">
        <v>13126.65</v>
      </c>
      <c r="J164">
        <v>2.4</v>
      </c>
      <c r="K164">
        <v>2100.2600000000002</v>
      </c>
      <c r="L164">
        <v>14911.87</v>
      </c>
      <c r="M164" t="s">
        <v>4227</v>
      </c>
      <c r="N164" t="s">
        <v>4228</v>
      </c>
      <c r="O164" t="s">
        <v>2425</v>
      </c>
      <c r="P164" t="s">
        <v>2544</v>
      </c>
      <c r="Q164" t="s">
        <v>4608</v>
      </c>
      <c r="R164" t="s">
        <v>3434</v>
      </c>
    </row>
    <row r="165" spans="1:19" hidden="1" x14ac:dyDescent="0.25">
      <c r="A165" t="s">
        <v>4609</v>
      </c>
      <c r="B165" t="s">
        <v>3975</v>
      </c>
      <c r="C165" t="s">
        <v>3456</v>
      </c>
      <c r="D165" t="s">
        <v>3456</v>
      </c>
      <c r="E165" t="s">
        <v>1748</v>
      </c>
      <c r="F165" t="s">
        <v>87</v>
      </c>
      <c r="G165">
        <v>17</v>
      </c>
      <c r="H165">
        <v>853.21</v>
      </c>
      <c r="I165">
        <v>14504.57</v>
      </c>
      <c r="J165">
        <v>17.8</v>
      </c>
      <c r="K165">
        <v>2320.73</v>
      </c>
      <c r="L165">
        <v>14243.49</v>
      </c>
      <c r="M165" t="s">
        <v>3442</v>
      </c>
      <c r="N165" t="s">
        <v>1520</v>
      </c>
      <c r="O165" t="s">
        <v>2376</v>
      </c>
      <c r="P165" t="s">
        <v>2531</v>
      </c>
      <c r="Q165" t="s">
        <v>4610</v>
      </c>
      <c r="R165" t="s">
        <v>3425</v>
      </c>
      <c r="S165" t="s">
        <v>3466</v>
      </c>
    </row>
    <row r="166" spans="1:19" hidden="1" x14ac:dyDescent="0.25">
      <c r="A166" t="s">
        <v>4611</v>
      </c>
      <c r="B166" t="s">
        <v>4612</v>
      </c>
      <c r="C166" t="s">
        <v>4612</v>
      </c>
      <c r="D166" t="s">
        <v>3738</v>
      </c>
      <c r="E166" t="s">
        <v>1766</v>
      </c>
      <c r="F166" t="s">
        <v>824</v>
      </c>
      <c r="G166">
        <v>32</v>
      </c>
      <c r="H166">
        <v>322.33999999999997</v>
      </c>
      <c r="I166">
        <v>10314.879999999999</v>
      </c>
      <c r="J166">
        <v>3.3</v>
      </c>
      <c r="K166">
        <v>1650.38</v>
      </c>
      <c r="L166">
        <v>11624.87</v>
      </c>
      <c r="M166" t="s">
        <v>4247</v>
      </c>
      <c r="N166" t="s">
        <v>4243</v>
      </c>
      <c r="O166" t="s">
        <v>2388</v>
      </c>
      <c r="P166" t="s">
        <v>2531</v>
      </c>
      <c r="Q166" t="s">
        <v>4613</v>
      </c>
      <c r="R166" t="s">
        <v>3429</v>
      </c>
    </row>
    <row r="167" spans="1:19" hidden="1" x14ac:dyDescent="0.25">
      <c r="A167" t="s">
        <v>4614</v>
      </c>
      <c r="B167" t="s">
        <v>2728</v>
      </c>
      <c r="C167" t="s">
        <v>3836</v>
      </c>
      <c r="D167" t="s">
        <v>2563</v>
      </c>
      <c r="E167" t="s">
        <v>1650</v>
      </c>
      <c r="F167" t="s">
        <v>258</v>
      </c>
      <c r="G167">
        <v>19</v>
      </c>
      <c r="H167">
        <v>524.84</v>
      </c>
      <c r="I167">
        <v>9971.9599999999991</v>
      </c>
      <c r="J167">
        <v>18.899999999999999</v>
      </c>
      <c r="K167">
        <v>1595.51</v>
      </c>
      <c r="L167">
        <v>9682.77</v>
      </c>
      <c r="M167" t="s">
        <v>4227</v>
      </c>
      <c r="N167" t="s">
        <v>1121</v>
      </c>
      <c r="O167" t="s">
        <v>2376</v>
      </c>
      <c r="P167" t="s">
        <v>2512</v>
      </c>
      <c r="Q167" t="s">
        <v>4615</v>
      </c>
      <c r="R167" t="s">
        <v>3425</v>
      </c>
    </row>
    <row r="168" spans="1:19" hidden="1" x14ac:dyDescent="0.25">
      <c r="A168" t="s">
        <v>4616</v>
      </c>
      <c r="B168" t="s">
        <v>3998</v>
      </c>
      <c r="C168" t="s">
        <v>2878</v>
      </c>
      <c r="D168" t="s">
        <v>2988</v>
      </c>
      <c r="E168" t="s">
        <v>1554</v>
      </c>
      <c r="F168" t="s">
        <v>253</v>
      </c>
      <c r="G168">
        <v>2</v>
      </c>
      <c r="H168">
        <v>592.91</v>
      </c>
      <c r="I168">
        <v>1185.82</v>
      </c>
      <c r="J168">
        <v>18.2</v>
      </c>
      <c r="K168">
        <v>189.73</v>
      </c>
      <c r="L168">
        <v>1159.73</v>
      </c>
      <c r="M168" t="s">
        <v>4238</v>
      </c>
      <c r="N168" t="s">
        <v>4243</v>
      </c>
      <c r="O168" t="s">
        <v>2440</v>
      </c>
      <c r="P168" t="s">
        <v>2525</v>
      </c>
      <c r="Q168" t="s">
        <v>4617</v>
      </c>
      <c r="R168" t="s">
        <v>3425</v>
      </c>
      <c r="S168" t="s">
        <v>4230</v>
      </c>
    </row>
    <row r="169" spans="1:19" hidden="1" x14ac:dyDescent="0.25">
      <c r="A169" t="s">
        <v>4618</v>
      </c>
      <c r="B169" t="s">
        <v>2848</v>
      </c>
      <c r="C169" t="s">
        <v>3533</v>
      </c>
      <c r="D169" t="s">
        <v>4007</v>
      </c>
      <c r="E169" t="s">
        <v>1999</v>
      </c>
      <c r="F169" t="s">
        <v>870</v>
      </c>
      <c r="G169">
        <v>44</v>
      </c>
      <c r="H169">
        <v>722.7</v>
      </c>
      <c r="I169">
        <v>31798.799999999999</v>
      </c>
      <c r="J169">
        <v>7</v>
      </c>
      <c r="K169">
        <v>5087.8100000000004</v>
      </c>
      <c r="L169">
        <v>34660.69</v>
      </c>
      <c r="M169" t="s">
        <v>3442</v>
      </c>
      <c r="N169" t="s">
        <v>1121</v>
      </c>
      <c r="O169" t="s">
        <v>2416</v>
      </c>
      <c r="P169" t="s">
        <v>2538</v>
      </c>
      <c r="Q169" t="s">
        <v>4619</v>
      </c>
      <c r="R169" t="s">
        <v>3425</v>
      </c>
      <c r="S169" t="s">
        <v>4292</v>
      </c>
    </row>
    <row r="170" spans="1:19" hidden="1" x14ac:dyDescent="0.25">
      <c r="A170" t="s">
        <v>4620</v>
      </c>
      <c r="B170" t="s">
        <v>4116</v>
      </c>
      <c r="C170" t="s">
        <v>4116</v>
      </c>
      <c r="D170" t="s">
        <v>4621</v>
      </c>
      <c r="E170" t="s">
        <v>2025</v>
      </c>
      <c r="F170" t="s">
        <v>667</v>
      </c>
      <c r="G170">
        <v>1</v>
      </c>
      <c r="H170">
        <v>188.45</v>
      </c>
      <c r="I170">
        <v>188.45</v>
      </c>
      <c r="J170">
        <v>11.1</v>
      </c>
      <c r="K170">
        <v>30.15</v>
      </c>
      <c r="L170">
        <v>197.68</v>
      </c>
      <c r="M170" t="s">
        <v>4238</v>
      </c>
      <c r="N170" t="s">
        <v>4228</v>
      </c>
      <c r="O170" t="s">
        <v>2388</v>
      </c>
      <c r="P170" t="s">
        <v>2481</v>
      </c>
      <c r="Q170" t="s">
        <v>4622</v>
      </c>
      <c r="R170" t="s">
        <v>3429</v>
      </c>
    </row>
    <row r="171" spans="1:19" hidden="1" x14ac:dyDescent="0.25">
      <c r="A171" t="s">
        <v>4623</v>
      </c>
      <c r="B171" t="s">
        <v>3479</v>
      </c>
      <c r="C171" t="s">
        <v>3939</v>
      </c>
      <c r="D171" t="s">
        <v>3571</v>
      </c>
      <c r="E171" t="s">
        <v>1608</v>
      </c>
      <c r="F171" t="s">
        <v>687</v>
      </c>
      <c r="G171">
        <v>26</v>
      </c>
      <c r="H171">
        <v>320.94</v>
      </c>
      <c r="I171">
        <v>8344.44</v>
      </c>
      <c r="J171">
        <v>18.899999999999999</v>
      </c>
      <c r="K171">
        <v>1335.11</v>
      </c>
      <c r="L171">
        <v>8102.45</v>
      </c>
      <c r="M171" t="s">
        <v>4232</v>
      </c>
      <c r="N171" t="s">
        <v>4233</v>
      </c>
      <c r="O171" t="s">
        <v>2449</v>
      </c>
      <c r="P171" t="s">
        <v>2475</v>
      </c>
      <c r="Q171" t="s">
        <v>4624</v>
      </c>
      <c r="R171" t="s">
        <v>4275</v>
      </c>
      <c r="S171" t="s">
        <v>3466</v>
      </c>
    </row>
    <row r="172" spans="1:19" hidden="1" x14ac:dyDescent="0.25">
      <c r="A172" t="s">
        <v>4625</v>
      </c>
      <c r="B172" t="s">
        <v>2800</v>
      </c>
      <c r="C172" t="s">
        <v>2800</v>
      </c>
      <c r="D172" t="s">
        <v>3955</v>
      </c>
      <c r="E172" t="s">
        <v>1619</v>
      </c>
      <c r="F172" t="s">
        <v>284</v>
      </c>
      <c r="G172">
        <v>38</v>
      </c>
      <c r="H172">
        <v>124.39</v>
      </c>
      <c r="I172">
        <v>4726.82</v>
      </c>
      <c r="J172">
        <v>14.4</v>
      </c>
      <c r="K172">
        <v>756.29</v>
      </c>
      <c r="L172">
        <v>4802.45</v>
      </c>
      <c r="M172" t="s">
        <v>4257</v>
      </c>
      <c r="N172" t="s">
        <v>1121</v>
      </c>
      <c r="O172" t="s">
        <v>2449</v>
      </c>
      <c r="P172" t="s">
        <v>2481</v>
      </c>
      <c r="Q172" t="s">
        <v>4626</v>
      </c>
      <c r="R172" t="s">
        <v>3425</v>
      </c>
    </row>
    <row r="173" spans="1:19" hidden="1" x14ac:dyDescent="0.25">
      <c r="A173" t="s">
        <v>4627</v>
      </c>
      <c r="B173" t="s">
        <v>2825</v>
      </c>
      <c r="C173" t="s">
        <v>2682</v>
      </c>
      <c r="D173" t="s">
        <v>4063</v>
      </c>
      <c r="E173" t="s">
        <v>1544</v>
      </c>
      <c r="F173" t="s">
        <v>703</v>
      </c>
      <c r="G173">
        <v>46</v>
      </c>
      <c r="H173">
        <v>283.35000000000002</v>
      </c>
      <c r="I173">
        <v>13034.1</v>
      </c>
      <c r="J173">
        <v>1.6</v>
      </c>
      <c r="K173">
        <v>2085.46</v>
      </c>
      <c r="L173">
        <v>14911.01</v>
      </c>
      <c r="M173" t="s">
        <v>4232</v>
      </c>
      <c r="N173" t="s">
        <v>4248</v>
      </c>
      <c r="O173" t="s">
        <v>2440</v>
      </c>
      <c r="P173" t="s">
        <v>2519</v>
      </c>
      <c r="Q173" t="s">
        <v>4628</v>
      </c>
      <c r="R173" t="s">
        <v>3425</v>
      </c>
    </row>
    <row r="174" spans="1:19" hidden="1" x14ac:dyDescent="0.25">
      <c r="A174" t="s">
        <v>4629</v>
      </c>
      <c r="B174" t="s">
        <v>4630</v>
      </c>
      <c r="C174" t="s">
        <v>3489</v>
      </c>
      <c r="D174" t="s">
        <v>3875</v>
      </c>
      <c r="E174" t="s">
        <v>1511</v>
      </c>
      <c r="F174" t="s">
        <v>69</v>
      </c>
      <c r="G174">
        <v>37</v>
      </c>
      <c r="H174">
        <v>448.08</v>
      </c>
      <c r="I174">
        <v>16578.96</v>
      </c>
      <c r="J174">
        <v>7</v>
      </c>
      <c r="K174">
        <v>2652.63</v>
      </c>
      <c r="L174">
        <v>18071.060000000001</v>
      </c>
      <c r="M174" t="s">
        <v>3428</v>
      </c>
      <c r="N174" t="s">
        <v>4243</v>
      </c>
      <c r="O174" t="s">
        <v>2432</v>
      </c>
      <c r="P174" t="s">
        <v>2551</v>
      </c>
      <c r="Q174" t="s">
        <v>4631</v>
      </c>
      <c r="R174" t="s">
        <v>3425</v>
      </c>
    </row>
    <row r="175" spans="1:19" hidden="1" x14ac:dyDescent="0.25">
      <c r="A175" t="s">
        <v>4632</v>
      </c>
      <c r="B175" t="s">
        <v>4156</v>
      </c>
      <c r="C175" t="s">
        <v>3847</v>
      </c>
      <c r="D175" t="s">
        <v>4633</v>
      </c>
      <c r="E175" t="s">
        <v>1640</v>
      </c>
      <c r="F175" t="s">
        <v>829</v>
      </c>
      <c r="G175">
        <v>1</v>
      </c>
      <c r="H175">
        <v>367.01</v>
      </c>
      <c r="I175">
        <v>367.01</v>
      </c>
      <c r="J175">
        <v>20</v>
      </c>
      <c r="K175">
        <v>58.72</v>
      </c>
      <c r="L175">
        <v>352.33</v>
      </c>
      <c r="M175" t="s">
        <v>3428</v>
      </c>
      <c r="N175" t="s">
        <v>1121</v>
      </c>
      <c r="O175" t="s">
        <v>2440</v>
      </c>
      <c r="P175" t="s">
        <v>2515</v>
      </c>
      <c r="Q175" t="s">
        <v>4634</v>
      </c>
      <c r="R175" t="s">
        <v>3429</v>
      </c>
      <c r="S175" t="s">
        <v>4235</v>
      </c>
    </row>
    <row r="176" spans="1:19" hidden="1" x14ac:dyDescent="0.25">
      <c r="A176" t="s">
        <v>4635</v>
      </c>
      <c r="B176" t="s">
        <v>4636</v>
      </c>
      <c r="C176" t="s">
        <v>2796</v>
      </c>
      <c r="D176" t="s">
        <v>2958</v>
      </c>
      <c r="E176" t="s">
        <v>1678</v>
      </c>
      <c r="F176" t="s">
        <v>186</v>
      </c>
      <c r="G176">
        <v>23</v>
      </c>
      <c r="H176">
        <v>568.12</v>
      </c>
      <c r="I176">
        <v>13066.76</v>
      </c>
      <c r="J176">
        <v>10.5</v>
      </c>
      <c r="K176">
        <v>2090.6799999999998</v>
      </c>
      <c r="L176">
        <v>13785.43</v>
      </c>
      <c r="M176" t="s">
        <v>4257</v>
      </c>
      <c r="N176" t="s">
        <v>4233</v>
      </c>
      <c r="O176" t="s">
        <v>2416</v>
      </c>
      <c r="P176" t="s">
        <v>2527</v>
      </c>
      <c r="Q176" t="s">
        <v>4637</v>
      </c>
      <c r="R176" t="s">
        <v>3425</v>
      </c>
      <c r="S176" t="s">
        <v>4292</v>
      </c>
    </row>
    <row r="177" spans="1:19" hidden="1" x14ac:dyDescent="0.25">
      <c r="A177" t="s">
        <v>4638</v>
      </c>
      <c r="B177" t="s">
        <v>3960</v>
      </c>
      <c r="C177" t="s">
        <v>3960</v>
      </c>
      <c r="D177" t="s">
        <v>3113</v>
      </c>
      <c r="E177" t="s">
        <v>1881</v>
      </c>
      <c r="F177" t="s">
        <v>915</v>
      </c>
      <c r="G177">
        <v>38</v>
      </c>
      <c r="H177">
        <v>119.95</v>
      </c>
      <c r="I177">
        <v>4558.1000000000004</v>
      </c>
      <c r="J177">
        <v>1.4</v>
      </c>
      <c r="K177">
        <v>729.3</v>
      </c>
      <c r="L177">
        <v>5223.59</v>
      </c>
      <c r="M177" t="s">
        <v>4232</v>
      </c>
      <c r="N177" t="s">
        <v>1520</v>
      </c>
      <c r="O177" t="s">
        <v>2440</v>
      </c>
      <c r="P177" t="s">
        <v>2491</v>
      </c>
      <c r="Q177" t="s">
        <v>4639</v>
      </c>
      <c r="R177" t="s">
        <v>3425</v>
      </c>
    </row>
    <row r="178" spans="1:19" hidden="1" x14ac:dyDescent="0.25">
      <c r="A178" t="s">
        <v>4640</v>
      </c>
      <c r="B178" t="s">
        <v>4183</v>
      </c>
      <c r="C178" t="s">
        <v>4183</v>
      </c>
      <c r="D178" t="s">
        <v>3567</v>
      </c>
      <c r="E178" t="s">
        <v>2328</v>
      </c>
      <c r="F178" t="s">
        <v>950</v>
      </c>
      <c r="G178">
        <v>17</v>
      </c>
      <c r="H178">
        <v>568.45000000000005</v>
      </c>
      <c r="I178">
        <v>9663.65</v>
      </c>
      <c r="J178">
        <v>10.9</v>
      </c>
      <c r="K178">
        <v>1546.18</v>
      </c>
      <c r="L178">
        <v>10156.49</v>
      </c>
      <c r="M178" t="s">
        <v>4247</v>
      </c>
      <c r="N178" t="s">
        <v>4228</v>
      </c>
      <c r="O178" t="s">
        <v>2416</v>
      </c>
      <c r="P178" t="s">
        <v>2548</v>
      </c>
      <c r="Q178" t="s">
        <v>4641</v>
      </c>
      <c r="R178" t="s">
        <v>3425</v>
      </c>
    </row>
    <row r="179" spans="1:19" x14ac:dyDescent="0.25">
      <c r="A179" t="s">
        <v>4642</v>
      </c>
      <c r="B179" s="2" t="s">
        <v>4531</v>
      </c>
      <c r="C179" t="s">
        <v>3079</v>
      </c>
      <c r="D179" t="s">
        <v>4027</v>
      </c>
      <c r="E179" t="s">
        <v>1864</v>
      </c>
      <c r="F179" t="s">
        <v>321</v>
      </c>
      <c r="G179">
        <v>3</v>
      </c>
      <c r="H179">
        <v>304.42</v>
      </c>
      <c r="I179">
        <v>913.26</v>
      </c>
      <c r="J179">
        <v>12.2</v>
      </c>
      <c r="K179">
        <v>146.12</v>
      </c>
      <c r="L179">
        <v>947.96</v>
      </c>
      <c r="M179" t="s">
        <v>4238</v>
      </c>
      <c r="N179" t="s">
        <v>4228</v>
      </c>
      <c r="O179" t="s">
        <v>2440</v>
      </c>
      <c r="P179" t="s">
        <v>2527</v>
      </c>
      <c r="Q179" t="s">
        <v>4643</v>
      </c>
      <c r="R179" t="s">
        <v>4245</v>
      </c>
      <c r="S179" t="s">
        <v>3466</v>
      </c>
    </row>
    <row r="180" spans="1:19" hidden="1" x14ac:dyDescent="0.25">
      <c r="A180" t="s">
        <v>4644</v>
      </c>
      <c r="B180" t="s">
        <v>4645</v>
      </c>
      <c r="C180" t="s">
        <v>4645</v>
      </c>
      <c r="D180" t="s">
        <v>2622</v>
      </c>
      <c r="E180" t="s">
        <v>2262</v>
      </c>
      <c r="F180" t="s">
        <v>248</v>
      </c>
      <c r="G180">
        <v>27</v>
      </c>
      <c r="H180">
        <v>405.78</v>
      </c>
      <c r="I180">
        <v>10956.06</v>
      </c>
      <c r="J180">
        <v>11.1</v>
      </c>
      <c r="K180">
        <v>1752.97</v>
      </c>
      <c r="L180">
        <v>11492.91</v>
      </c>
      <c r="M180" t="s">
        <v>3428</v>
      </c>
      <c r="N180" t="s">
        <v>4233</v>
      </c>
      <c r="O180" t="s">
        <v>2398</v>
      </c>
      <c r="P180" t="s">
        <v>2506</v>
      </c>
      <c r="Q180" t="s">
        <v>4646</v>
      </c>
      <c r="R180" t="s">
        <v>3425</v>
      </c>
      <c r="S180" t="s">
        <v>3466</v>
      </c>
    </row>
    <row r="181" spans="1:19" hidden="1" x14ac:dyDescent="0.25">
      <c r="A181" t="s">
        <v>4647</v>
      </c>
      <c r="B181" t="s">
        <v>3454</v>
      </c>
      <c r="C181" t="s">
        <v>3705</v>
      </c>
      <c r="D181" t="s">
        <v>4116</v>
      </c>
      <c r="E181" t="s">
        <v>2042</v>
      </c>
      <c r="F181" t="s">
        <v>844</v>
      </c>
      <c r="G181">
        <v>18</v>
      </c>
      <c r="H181">
        <v>298.58999999999997</v>
      </c>
      <c r="I181">
        <v>5374.62</v>
      </c>
      <c r="J181">
        <v>16.600000000000001</v>
      </c>
      <c r="K181">
        <v>859.94</v>
      </c>
      <c r="L181">
        <v>5342.37</v>
      </c>
      <c r="M181" t="s">
        <v>3442</v>
      </c>
      <c r="N181" t="s">
        <v>1121</v>
      </c>
      <c r="O181" t="s">
        <v>2449</v>
      </c>
      <c r="P181" t="s">
        <v>2558</v>
      </c>
      <c r="Q181" t="s">
        <v>4648</v>
      </c>
      <c r="R181" t="s">
        <v>3425</v>
      </c>
    </row>
    <row r="182" spans="1:19" hidden="1" x14ac:dyDescent="0.25">
      <c r="A182" t="s">
        <v>4649</v>
      </c>
      <c r="B182" t="s">
        <v>3680</v>
      </c>
      <c r="C182" t="s">
        <v>4109</v>
      </c>
      <c r="D182" t="s">
        <v>4109</v>
      </c>
      <c r="E182" t="s">
        <v>2295</v>
      </c>
      <c r="F182" t="s">
        <v>443</v>
      </c>
      <c r="G182">
        <v>11</v>
      </c>
      <c r="H182">
        <v>806.74</v>
      </c>
      <c r="I182">
        <v>8874.14</v>
      </c>
      <c r="J182">
        <v>17</v>
      </c>
      <c r="K182">
        <v>1419.86</v>
      </c>
      <c r="L182">
        <v>8785.4</v>
      </c>
      <c r="M182" t="s">
        <v>3442</v>
      </c>
      <c r="N182" t="s">
        <v>1520</v>
      </c>
      <c r="O182" t="s">
        <v>2376</v>
      </c>
      <c r="P182" t="s">
        <v>2541</v>
      </c>
      <c r="Q182" t="s">
        <v>4650</v>
      </c>
      <c r="R182" t="s">
        <v>3425</v>
      </c>
    </row>
    <row r="183" spans="1:19" hidden="1" x14ac:dyDescent="0.25">
      <c r="A183" t="s">
        <v>4651</v>
      </c>
      <c r="B183" t="s">
        <v>3433</v>
      </c>
      <c r="C183" t="s">
        <v>4652</v>
      </c>
      <c r="D183" t="s">
        <v>4652</v>
      </c>
      <c r="E183" t="s">
        <v>1965</v>
      </c>
      <c r="F183" t="s">
        <v>146</v>
      </c>
      <c r="G183">
        <v>11</v>
      </c>
      <c r="H183">
        <v>628.6</v>
      </c>
      <c r="I183">
        <v>6914.6</v>
      </c>
      <c r="J183">
        <v>13.2</v>
      </c>
      <c r="K183">
        <v>1106.3399999999999</v>
      </c>
      <c r="L183">
        <v>7108.21</v>
      </c>
      <c r="M183" t="s">
        <v>4238</v>
      </c>
      <c r="N183" t="s">
        <v>4228</v>
      </c>
      <c r="O183" t="s">
        <v>2388</v>
      </c>
      <c r="P183" t="s">
        <v>2512</v>
      </c>
      <c r="Q183" t="s">
        <v>4653</v>
      </c>
      <c r="R183" t="s">
        <v>3425</v>
      </c>
    </row>
    <row r="184" spans="1:19" hidden="1" x14ac:dyDescent="0.25">
      <c r="A184" t="s">
        <v>4654</v>
      </c>
      <c r="B184" t="s">
        <v>3538</v>
      </c>
      <c r="C184" t="s">
        <v>3738</v>
      </c>
      <c r="D184" t="s">
        <v>4083</v>
      </c>
      <c r="E184" t="s">
        <v>1590</v>
      </c>
      <c r="F184" t="s">
        <v>677</v>
      </c>
      <c r="G184">
        <v>2</v>
      </c>
      <c r="H184">
        <v>684.77</v>
      </c>
      <c r="I184">
        <v>1369.54</v>
      </c>
      <c r="J184">
        <v>10.8</v>
      </c>
      <c r="K184">
        <v>219.13</v>
      </c>
      <c r="L184">
        <v>1440.76</v>
      </c>
      <c r="M184" t="s">
        <v>4247</v>
      </c>
      <c r="N184" t="s">
        <v>4228</v>
      </c>
      <c r="O184" t="s">
        <v>2376</v>
      </c>
      <c r="P184" t="s">
        <v>2486</v>
      </c>
      <c r="Q184" t="s">
        <v>4655</v>
      </c>
      <c r="R184" t="s">
        <v>3434</v>
      </c>
      <c r="S184" t="s">
        <v>4292</v>
      </c>
    </row>
    <row r="185" spans="1:19" hidden="1" x14ac:dyDescent="0.25">
      <c r="A185" t="s">
        <v>4656</v>
      </c>
      <c r="B185" t="s">
        <v>3148</v>
      </c>
      <c r="C185" t="s">
        <v>2874</v>
      </c>
      <c r="D185" t="s">
        <v>4657</v>
      </c>
      <c r="E185" t="s">
        <v>2103</v>
      </c>
      <c r="F185" t="s">
        <v>274</v>
      </c>
      <c r="G185">
        <v>11</v>
      </c>
      <c r="H185">
        <v>706.27</v>
      </c>
      <c r="I185">
        <v>7768.97</v>
      </c>
      <c r="J185">
        <v>9</v>
      </c>
      <c r="K185">
        <v>1243.04</v>
      </c>
      <c r="L185">
        <v>8312.7999999999993</v>
      </c>
      <c r="M185" t="s">
        <v>3428</v>
      </c>
      <c r="N185" t="s">
        <v>4228</v>
      </c>
      <c r="O185" t="s">
        <v>2425</v>
      </c>
      <c r="P185" t="s">
        <v>2535</v>
      </c>
      <c r="Q185" t="s">
        <v>4658</v>
      </c>
      <c r="R185" t="s">
        <v>3425</v>
      </c>
    </row>
    <row r="186" spans="1:19" hidden="1" x14ac:dyDescent="0.25">
      <c r="A186" t="s">
        <v>4659</v>
      </c>
      <c r="B186" t="s">
        <v>3268</v>
      </c>
      <c r="C186" t="s">
        <v>3268</v>
      </c>
      <c r="D186" t="s">
        <v>3352</v>
      </c>
      <c r="E186" t="s">
        <v>1511</v>
      </c>
      <c r="F186" t="s">
        <v>438</v>
      </c>
      <c r="G186">
        <v>35</v>
      </c>
      <c r="H186">
        <v>137.46</v>
      </c>
      <c r="I186">
        <v>4811.1000000000004</v>
      </c>
      <c r="J186">
        <v>9.5</v>
      </c>
      <c r="K186">
        <v>769.78</v>
      </c>
      <c r="L186">
        <v>5123.83</v>
      </c>
      <c r="M186" t="s">
        <v>4238</v>
      </c>
      <c r="N186" t="s">
        <v>1121</v>
      </c>
      <c r="O186" t="s">
        <v>2407</v>
      </c>
      <c r="P186" t="s">
        <v>2527</v>
      </c>
      <c r="Q186" t="s">
        <v>4660</v>
      </c>
      <c r="R186" t="s">
        <v>3434</v>
      </c>
      <c r="S186" t="s">
        <v>4235</v>
      </c>
    </row>
    <row r="187" spans="1:19" hidden="1" x14ac:dyDescent="0.25">
      <c r="A187" t="s">
        <v>4661</v>
      </c>
      <c r="B187" t="s">
        <v>3488</v>
      </c>
      <c r="C187" t="s">
        <v>4271</v>
      </c>
      <c r="D187" t="s">
        <v>4103</v>
      </c>
      <c r="E187" t="s">
        <v>1599</v>
      </c>
      <c r="F187" t="s">
        <v>1091</v>
      </c>
      <c r="G187">
        <v>42</v>
      </c>
      <c r="H187">
        <v>634.39</v>
      </c>
      <c r="I187">
        <v>26644.38</v>
      </c>
      <c r="J187">
        <v>18.7</v>
      </c>
      <c r="K187">
        <v>4263.1000000000004</v>
      </c>
      <c r="L187">
        <v>25924.98</v>
      </c>
      <c r="M187" t="s">
        <v>4238</v>
      </c>
      <c r="N187" t="s">
        <v>4228</v>
      </c>
      <c r="O187" t="s">
        <v>2416</v>
      </c>
      <c r="P187" t="s">
        <v>2501</v>
      </c>
      <c r="Q187" t="s">
        <v>4662</v>
      </c>
      <c r="R187" t="s">
        <v>3429</v>
      </c>
      <c r="S187" t="s">
        <v>3466</v>
      </c>
    </row>
    <row r="188" spans="1:19" hidden="1" x14ac:dyDescent="0.25">
      <c r="A188" t="s">
        <v>4663</v>
      </c>
      <c r="B188" t="s">
        <v>4664</v>
      </c>
      <c r="C188" t="s">
        <v>4664</v>
      </c>
      <c r="D188" t="s">
        <v>3088</v>
      </c>
      <c r="E188" t="s">
        <v>2245</v>
      </c>
      <c r="F188" t="s">
        <v>925</v>
      </c>
      <c r="G188">
        <v>4</v>
      </c>
      <c r="H188">
        <v>313.70999999999998</v>
      </c>
      <c r="I188">
        <v>1254.8399999999999</v>
      </c>
      <c r="J188">
        <v>11.8</v>
      </c>
      <c r="K188">
        <v>200.77</v>
      </c>
      <c r="L188">
        <v>1307.54</v>
      </c>
      <c r="M188" t="s">
        <v>4238</v>
      </c>
      <c r="N188" t="s">
        <v>4233</v>
      </c>
      <c r="O188" t="s">
        <v>2456</v>
      </c>
      <c r="P188" t="s">
        <v>2531</v>
      </c>
      <c r="Q188" t="s">
        <v>4665</v>
      </c>
      <c r="R188" t="s">
        <v>3429</v>
      </c>
    </row>
    <row r="189" spans="1:19" hidden="1" x14ac:dyDescent="0.25">
      <c r="A189" t="s">
        <v>4666</v>
      </c>
      <c r="B189" t="s">
        <v>4078</v>
      </c>
      <c r="C189" t="s">
        <v>3597</v>
      </c>
      <c r="D189" t="s">
        <v>3824</v>
      </c>
      <c r="E189" t="s">
        <v>2060</v>
      </c>
      <c r="F189" t="s">
        <v>819</v>
      </c>
      <c r="G189">
        <v>42</v>
      </c>
      <c r="H189">
        <v>298.49</v>
      </c>
      <c r="I189">
        <v>12536.58</v>
      </c>
      <c r="J189">
        <v>9.8000000000000007</v>
      </c>
      <c r="K189">
        <v>2005.85</v>
      </c>
      <c r="L189">
        <v>13313.85</v>
      </c>
      <c r="M189" t="s">
        <v>4247</v>
      </c>
      <c r="N189" t="s">
        <v>1520</v>
      </c>
      <c r="O189" t="s">
        <v>2425</v>
      </c>
      <c r="P189" t="s">
        <v>2491</v>
      </c>
      <c r="Q189" t="s">
        <v>4667</v>
      </c>
      <c r="R189" t="s">
        <v>3434</v>
      </c>
    </row>
    <row r="190" spans="1:19" hidden="1" x14ac:dyDescent="0.25">
      <c r="A190" t="s">
        <v>4668</v>
      </c>
      <c r="B190" t="s">
        <v>2560</v>
      </c>
      <c r="C190" t="s">
        <v>2218</v>
      </c>
      <c r="D190" t="s">
        <v>2900</v>
      </c>
      <c r="E190" t="s">
        <v>2177</v>
      </c>
      <c r="F190" t="s">
        <v>646</v>
      </c>
      <c r="G190">
        <v>45</v>
      </c>
      <c r="H190">
        <v>611.72</v>
      </c>
      <c r="I190">
        <v>27527.4</v>
      </c>
      <c r="J190">
        <v>16.7</v>
      </c>
      <c r="K190">
        <v>4404.38</v>
      </c>
      <c r="L190">
        <v>27334.7</v>
      </c>
      <c r="M190" t="s">
        <v>3442</v>
      </c>
      <c r="N190" t="s">
        <v>4243</v>
      </c>
      <c r="O190" t="s">
        <v>2416</v>
      </c>
      <c r="P190" t="s">
        <v>2551</v>
      </c>
      <c r="Q190" t="s">
        <v>4669</v>
      </c>
      <c r="R190" t="s">
        <v>3434</v>
      </c>
      <c r="S190" t="s">
        <v>3466</v>
      </c>
    </row>
    <row r="191" spans="1:19" hidden="1" x14ac:dyDescent="0.25">
      <c r="A191" t="s">
        <v>4670</v>
      </c>
      <c r="B191" t="s">
        <v>3617</v>
      </c>
      <c r="C191" t="s">
        <v>3742</v>
      </c>
      <c r="D191" t="s">
        <v>3742</v>
      </c>
      <c r="E191" t="s">
        <v>2076</v>
      </c>
      <c r="F191" t="s">
        <v>505</v>
      </c>
      <c r="G191">
        <v>10</v>
      </c>
      <c r="H191">
        <v>151.81</v>
      </c>
      <c r="I191">
        <v>1518.1</v>
      </c>
      <c r="J191">
        <v>0.2</v>
      </c>
      <c r="K191">
        <v>242.9</v>
      </c>
      <c r="L191">
        <v>1757.96</v>
      </c>
      <c r="M191" t="s">
        <v>3428</v>
      </c>
      <c r="N191" t="s">
        <v>1121</v>
      </c>
      <c r="O191" t="s">
        <v>2398</v>
      </c>
      <c r="P191" t="s">
        <v>2525</v>
      </c>
      <c r="Q191" t="s">
        <v>4671</v>
      </c>
      <c r="R191" t="s">
        <v>3434</v>
      </c>
    </row>
    <row r="192" spans="1:19" hidden="1" x14ac:dyDescent="0.25">
      <c r="A192" t="s">
        <v>4672</v>
      </c>
      <c r="B192" t="s">
        <v>3883</v>
      </c>
      <c r="C192" t="s">
        <v>2995</v>
      </c>
      <c r="D192" t="s">
        <v>2741</v>
      </c>
      <c r="E192" t="s">
        <v>1475</v>
      </c>
      <c r="F192" t="s">
        <v>754</v>
      </c>
      <c r="G192">
        <v>37</v>
      </c>
      <c r="H192">
        <v>868.12</v>
      </c>
      <c r="I192">
        <v>32120.44</v>
      </c>
      <c r="J192">
        <v>15.6</v>
      </c>
      <c r="K192">
        <v>5139.2700000000004</v>
      </c>
      <c r="L192">
        <v>32248.92</v>
      </c>
      <c r="M192" t="s">
        <v>4247</v>
      </c>
      <c r="N192" t="s">
        <v>4228</v>
      </c>
      <c r="O192" t="s">
        <v>2407</v>
      </c>
      <c r="P192" t="s">
        <v>2551</v>
      </c>
      <c r="Q192" t="s">
        <v>4673</v>
      </c>
      <c r="R192" t="s">
        <v>3434</v>
      </c>
      <c r="S192" t="s">
        <v>4235</v>
      </c>
    </row>
    <row r="193" spans="1:19" hidden="1" x14ac:dyDescent="0.25">
      <c r="A193" t="s">
        <v>4674</v>
      </c>
      <c r="B193" t="s">
        <v>3650</v>
      </c>
      <c r="C193" t="s">
        <v>3382</v>
      </c>
      <c r="D193" t="s">
        <v>1639</v>
      </c>
      <c r="E193" t="s">
        <v>2042</v>
      </c>
      <c r="F193" t="s">
        <v>290</v>
      </c>
      <c r="G193">
        <v>49</v>
      </c>
      <c r="H193">
        <v>521.77</v>
      </c>
      <c r="I193">
        <v>25566.73</v>
      </c>
      <c r="J193">
        <v>12</v>
      </c>
      <c r="K193">
        <v>4090.68</v>
      </c>
      <c r="L193">
        <v>26589.4</v>
      </c>
      <c r="M193" t="s">
        <v>4232</v>
      </c>
      <c r="N193" t="s">
        <v>4233</v>
      </c>
      <c r="O193" t="s">
        <v>2388</v>
      </c>
      <c r="P193" t="s">
        <v>2519</v>
      </c>
      <c r="Q193" t="s">
        <v>4675</v>
      </c>
      <c r="R193" t="s">
        <v>3425</v>
      </c>
    </row>
    <row r="194" spans="1:19" hidden="1" x14ac:dyDescent="0.25">
      <c r="A194" t="s">
        <v>4676</v>
      </c>
      <c r="B194" t="s">
        <v>3127</v>
      </c>
      <c r="C194" t="s">
        <v>4039</v>
      </c>
      <c r="D194" t="s">
        <v>4158</v>
      </c>
      <c r="E194" t="s">
        <v>1907</v>
      </c>
      <c r="F194" t="s">
        <v>960</v>
      </c>
      <c r="G194">
        <v>49</v>
      </c>
      <c r="H194">
        <v>889.71</v>
      </c>
      <c r="I194">
        <v>43595.79</v>
      </c>
      <c r="J194">
        <v>12.8</v>
      </c>
      <c r="K194">
        <v>6975.33</v>
      </c>
      <c r="L194">
        <v>44990.86</v>
      </c>
      <c r="M194" t="s">
        <v>3428</v>
      </c>
      <c r="N194" t="s">
        <v>4233</v>
      </c>
      <c r="O194" t="s">
        <v>2407</v>
      </c>
      <c r="P194" t="s">
        <v>2506</v>
      </c>
      <c r="Q194" t="s">
        <v>4677</v>
      </c>
      <c r="R194" t="s">
        <v>3425</v>
      </c>
    </row>
    <row r="195" spans="1:19" hidden="1" x14ac:dyDescent="0.25">
      <c r="A195" t="s">
        <v>4678</v>
      </c>
      <c r="B195" t="s">
        <v>2609</v>
      </c>
      <c r="C195" t="s">
        <v>2609</v>
      </c>
      <c r="D195" t="s">
        <v>3042</v>
      </c>
      <c r="E195" t="s">
        <v>1534</v>
      </c>
      <c r="F195" t="s">
        <v>432</v>
      </c>
      <c r="G195">
        <v>21</v>
      </c>
      <c r="H195">
        <v>545.04</v>
      </c>
      <c r="I195">
        <v>11445.84</v>
      </c>
      <c r="J195">
        <v>1.9</v>
      </c>
      <c r="K195">
        <v>1831.33</v>
      </c>
      <c r="L195">
        <v>13059.7</v>
      </c>
      <c r="M195" t="s">
        <v>3442</v>
      </c>
      <c r="N195" t="s">
        <v>4248</v>
      </c>
      <c r="O195" t="s">
        <v>2416</v>
      </c>
      <c r="P195" t="s">
        <v>2568</v>
      </c>
      <c r="Q195" t="s">
        <v>4679</v>
      </c>
      <c r="R195" t="s">
        <v>3425</v>
      </c>
      <c r="S195" t="s">
        <v>4292</v>
      </c>
    </row>
    <row r="196" spans="1:19" x14ac:dyDescent="0.25">
      <c r="A196" t="s">
        <v>4680</v>
      </c>
      <c r="B196" s="2" t="s">
        <v>3103</v>
      </c>
      <c r="C196" t="s">
        <v>2924</v>
      </c>
      <c r="D196" t="s">
        <v>3332</v>
      </c>
      <c r="E196" t="s">
        <v>1640</v>
      </c>
      <c r="F196" t="s">
        <v>900</v>
      </c>
      <c r="G196">
        <v>7</v>
      </c>
      <c r="H196">
        <v>443.13</v>
      </c>
      <c r="I196">
        <v>3101.91</v>
      </c>
      <c r="J196">
        <v>13</v>
      </c>
      <c r="K196">
        <v>496.31</v>
      </c>
      <c r="L196">
        <v>3194.97</v>
      </c>
      <c r="M196" t="s">
        <v>4257</v>
      </c>
      <c r="N196" t="s">
        <v>4228</v>
      </c>
      <c r="O196" t="s">
        <v>2432</v>
      </c>
      <c r="P196" t="s">
        <v>2527</v>
      </c>
      <c r="Q196" t="s">
        <v>4681</v>
      </c>
      <c r="R196" t="s">
        <v>4245</v>
      </c>
      <c r="S196" t="s">
        <v>3466</v>
      </c>
    </row>
    <row r="197" spans="1:19" hidden="1" x14ac:dyDescent="0.25">
      <c r="A197" t="s">
        <v>4682</v>
      </c>
      <c r="B197" t="s">
        <v>3536</v>
      </c>
      <c r="C197" t="s">
        <v>3536</v>
      </c>
      <c r="D197" t="s">
        <v>4683</v>
      </c>
      <c r="E197" t="s">
        <v>2328</v>
      </c>
      <c r="F197" t="s">
        <v>159</v>
      </c>
      <c r="G197">
        <v>50</v>
      </c>
      <c r="H197">
        <v>512.63</v>
      </c>
      <c r="I197">
        <v>25631.5</v>
      </c>
      <c r="J197">
        <v>14</v>
      </c>
      <c r="K197">
        <v>4101.04</v>
      </c>
      <c r="L197">
        <v>26144.13</v>
      </c>
      <c r="M197" t="s">
        <v>4232</v>
      </c>
      <c r="N197" t="s">
        <v>4243</v>
      </c>
      <c r="O197" t="s">
        <v>2376</v>
      </c>
      <c r="P197" t="s">
        <v>2527</v>
      </c>
      <c r="Q197" t="s">
        <v>4684</v>
      </c>
      <c r="R197" t="s">
        <v>3425</v>
      </c>
      <c r="S197" t="s">
        <v>4292</v>
      </c>
    </row>
    <row r="198" spans="1:19" hidden="1" x14ac:dyDescent="0.25">
      <c r="A198" t="s">
        <v>4685</v>
      </c>
      <c r="B198" t="s">
        <v>4686</v>
      </c>
      <c r="C198" t="s">
        <v>2942</v>
      </c>
      <c r="D198" t="s">
        <v>3155</v>
      </c>
      <c r="E198" t="s">
        <v>1590</v>
      </c>
      <c r="F198" t="s">
        <v>677</v>
      </c>
      <c r="G198">
        <v>18</v>
      </c>
      <c r="H198">
        <v>430.96</v>
      </c>
      <c r="I198">
        <v>7757.28</v>
      </c>
      <c r="J198">
        <v>17</v>
      </c>
      <c r="K198">
        <v>1241.1600000000001</v>
      </c>
      <c r="L198">
        <v>7679.7</v>
      </c>
      <c r="M198" t="s">
        <v>4227</v>
      </c>
      <c r="N198" t="s">
        <v>4228</v>
      </c>
      <c r="O198" t="s">
        <v>2398</v>
      </c>
      <c r="P198" t="s">
        <v>2527</v>
      </c>
      <c r="Q198" t="s">
        <v>4687</v>
      </c>
      <c r="R198" t="s">
        <v>3434</v>
      </c>
      <c r="S198" t="s">
        <v>4235</v>
      </c>
    </row>
    <row r="199" spans="1:19" hidden="1" x14ac:dyDescent="0.25">
      <c r="A199" t="s">
        <v>4688</v>
      </c>
      <c r="B199" t="s">
        <v>3803</v>
      </c>
      <c r="C199" t="s">
        <v>3620</v>
      </c>
      <c r="D199" t="s">
        <v>3747</v>
      </c>
      <c r="E199" t="s">
        <v>2185</v>
      </c>
      <c r="F199" t="s">
        <v>960</v>
      </c>
      <c r="G199">
        <v>35</v>
      </c>
      <c r="H199">
        <v>593.92999999999995</v>
      </c>
      <c r="I199">
        <v>20787.55</v>
      </c>
      <c r="J199">
        <v>18.3</v>
      </c>
      <c r="K199">
        <v>3326.01</v>
      </c>
      <c r="L199">
        <v>20309.439999999999</v>
      </c>
      <c r="M199" t="s">
        <v>4232</v>
      </c>
      <c r="N199" t="s">
        <v>4228</v>
      </c>
      <c r="O199" t="s">
        <v>2440</v>
      </c>
      <c r="P199" t="s">
        <v>2519</v>
      </c>
      <c r="Q199" t="s">
        <v>4689</v>
      </c>
      <c r="R199" t="s">
        <v>4275</v>
      </c>
      <c r="S199" t="s">
        <v>4292</v>
      </c>
    </row>
    <row r="200" spans="1:19" hidden="1" x14ac:dyDescent="0.25">
      <c r="A200" t="s">
        <v>4690</v>
      </c>
      <c r="B200" t="s">
        <v>4153</v>
      </c>
      <c r="C200" t="s">
        <v>4691</v>
      </c>
      <c r="D200" t="s">
        <v>4691</v>
      </c>
      <c r="E200" t="s">
        <v>1864</v>
      </c>
      <c r="F200" t="s">
        <v>955</v>
      </c>
      <c r="G200">
        <v>4</v>
      </c>
      <c r="H200">
        <v>188.52</v>
      </c>
      <c r="I200">
        <v>754.08</v>
      </c>
      <c r="J200">
        <v>12.3</v>
      </c>
      <c r="K200">
        <v>120.65</v>
      </c>
      <c r="L200">
        <v>781.98</v>
      </c>
      <c r="M200" t="s">
        <v>4238</v>
      </c>
      <c r="N200" t="s">
        <v>4243</v>
      </c>
      <c r="O200" t="s">
        <v>2440</v>
      </c>
      <c r="P200" t="s">
        <v>2525</v>
      </c>
      <c r="Q200" t="s">
        <v>4692</v>
      </c>
      <c r="R200" t="s">
        <v>3425</v>
      </c>
      <c r="S200" t="s">
        <v>4230</v>
      </c>
    </row>
    <row r="201" spans="1:19" hidden="1" x14ac:dyDescent="0.25">
      <c r="A201" t="s">
        <v>4693</v>
      </c>
      <c r="B201" t="s">
        <v>2931</v>
      </c>
      <c r="C201" t="s">
        <v>3271</v>
      </c>
      <c r="D201" t="s">
        <v>3584</v>
      </c>
      <c r="E201" t="s">
        <v>1629</v>
      </c>
      <c r="F201" t="s">
        <v>174</v>
      </c>
      <c r="G201">
        <v>31</v>
      </c>
      <c r="H201">
        <v>162.88999999999999</v>
      </c>
      <c r="I201">
        <v>5049.59</v>
      </c>
      <c r="J201">
        <v>13.7</v>
      </c>
      <c r="K201">
        <v>807.93</v>
      </c>
      <c r="L201">
        <v>5165.7299999999996</v>
      </c>
      <c r="M201" t="s">
        <v>4232</v>
      </c>
      <c r="N201" t="s">
        <v>4228</v>
      </c>
      <c r="O201" t="s">
        <v>2449</v>
      </c>
      <c r="P201" t="s">
        <v>2527</v>
      </c>
      <c r="Q201" t="s">
        <v>4694</v>
      </c>
      <c r="R201" t="s">
        <v>4275</v>
      </c>
    </row>
    <row r="202" spans="1:19" hidden="1" x14ac:dyDescent="0.25">
      <c r="A202" t="s">
        <v>4695</v>
      </c>
      <c r="B202" t="s">
        <v>2244</v>
      </c>
      <c r="C202" t="s">
        <v>3464</v>
      </c>
      <c r="D202" t="s">
        <v>3883</v>
      </c>
      <c r="E202" t="s">
        <v>1965</v>
      </c>
      <c r="F202" t="s">
        <v>1021</v>
      </c>
      <c r="G202">
        <v>42</v>
      </c>
      <c r="H202">
        <v>200.61</v>
      </c>
      <c r="I202">
        <v>8425.6200000000008</v>
      </c>
      <c r="J202">
        <v>10.3</v>
      </c>
      <c r="K202">
        <v>1348.1</v>
      </c>
      <c r="L202">
        <v>8905.8799999999992</v>
      </c>
      <c r="M202" t="s">
        <v>4232</v>
      </c>
      <c r="N202" t="s">
        <v>4233</v>
      </c>
      <c r="O202" t="s">
        <v>2432</v>
      </c>
      <c r="P202" t="s">
        <v>2538</v>
      </c>
      <c r="Q202" t="s">
        <v>4696</v>
      </c>
      <c r="R202" t="s">
        <v>3425</v>
      </c>
      <c r="S202" t="s">
        <v>4292</v>
      </c>
    </row>
    <row r="203" spans="1:19" hidden="1" x14ac:dyDescent="0.25">
      <c r="A203" t="s">
        <v>4697</v>
      </c>
      <c r="B203" t="s">
        <v>2825</v>
      </c>
      <c r="C203" t="s">
        <v>2682</v>
      </c>
      <c r="D203" t="s">
        <v>2931</v>
      </c>
      <c r="E203" t="s">
        <v>1659</v>
      </c>
      <c r="F203" t="s">
        <v>490</v>
      </c>
      <c r="G203">
        <v>34</v>
      </c>
      <c r="H203">
        <v>877.02</v>
      </c>
      <c r="I203">
        <v>29818.68</v>
      </c>
      <c r="J203">
        <v>5</v>
      </c>
      <c r="K203">
        <v>4770.99</v>
      </c>
      <c r="L203">
        <v>33098.74</v>
      </c>
      <c r="M203" t="s">
        <v>3428</v>
      </c>
      <c r="N203" t="s">
        <v>1520</v>
      </c>
      <c r="O203" t="s">
        <v>2416</v>
      </c>
      <c r="P203" t="s">
        <v>2564</v>
      </c>
      <c r="Q203" t="s">
        <v>4698</v>
      </c>
      <c r="R203" t="s">
        <v>3429</v>
      </c>
      <c r="S203" t="s">
        <v>3466</v>
      </c>
    </row>
    <row r="204" spans="1:19" hidden="1" x14ac:dyDescent="0.25">
      <c r="A204" t="s">
        <v>4699</v>
      </c>
      <c r="B204" t="s">
        <v>3219</v>
      </c>
      <c r="C204" t="s">
        <v>3917</v>
      </c>
      <c r="D204" t="s">
        <v>4198</v>
      </c>
      <c r="E204" t="s">
        <v>1965</v>
      </c>
      <c r="F204" t="s">
        <v>131</v>
      </c>
      <c r="G204">
        <v>21</v>
      </c>
      <c r="H204">
        <v>731.34</v>
      </c>
      <c r="I204">
        <v>15358.14</v>
      </c>
      <c r="J204">
        <v>5.2</v>
      </c>
      <c r="K204">
        <v>2457.3000000000002</v>
      </c>
      <c r="L204">
        <v>17016.82</v>
      </c>
      <c r="M204" t="s">
        <v>3428</v>
      </c>
      <c r="N204" t="s">
        <v>4248</v>
      </c>
      <c r="O204" t="s">
        <v>2440</v>
      </c>
      <c r="P204" t="s">
        <v>2568</v>
      </c>
      <c r="Q204" t="s">
        <v>4700</v>
      </c>
      <c r="R204" t="s">
        <v>3425</v>
      </c>
      <c r="S204" t="s">
        <v>3466</v>
      </c>
    </row>
    <row r="205" spans="1:19" hidden="1" x14ac:dyDescent="0.25">
      <c r="A205" t="s">
        <v>4701</v>
      </c>
      <c r="B205" t="s">
        <v>3572</v>
      </c>
      <c r="C205" t="s">
        <v>3572</v>
      </c>
      <c r="D205" t="s">
        <v>4180</v>
      </c>
      <c r="E205" t="s">
        <v>1855</v>
      </c>
      <c r="F205" t="s">
        <v>1096</v>
      </c>
      <c r="G205">
        <v>21</v>
      </c>
      <c r="H205">
        <v>871.81</v>
      </c>
      <c r="I205">
        <v>18308.009999999998</v>
      </c>
      <c r="J205">
        <v>3.8</v>
      </c>
      <c r="K205">
        <v>2929.28</v>
      </c>
      <c r="L205">
        <v>20541.59</v>
      </c>
      <c r="M205" t="s">
        <v>3442</v>
      </c>
      <c r="N205" t="s">
        <v>1121</v>
      </c>
      <c r="O205" t="s">
        <v>2425</v>
      </c>
      <c r="P205" t="s">
        <v>2515</v>
      </c>
      <c r="Q205" t="s">
        <v>4702</v>
      </c>
      <c r="R205" t="s">
        <v>3429</v>
      </c>
    </row>
    <row r="206" spans="1:19" hidden="1" x14ac:dyDescent="0.25">
      <c r="A206" t="s">
        <v>4703</v>
      </c>
      <c r="B206" t="s">
        <v>3918</v>
      </c>
      <c r="C206" t="s">
        <v>3918</v>
      </c>
      <c r="D206" t="s">
        <v>2750</v>
      </c>
      <c r="E206" t="s">
        <v>2211</v>
      </c>
      <c r="F206" t="s">
        <v>337</v>
      </c>
      <c r="G206">
        <v>50</v>
      </c>
      <c r="H206">
        <v>434.99</v>
      </c>
      <c r="I206">
        <v>21749.5</v>
      </c>
      <c r="J206">
        <v>14</v>
      </c>
      <c r="K206">
        <v>3479.92</v>
      </c>
      <c r="L206">
        <v>22184.49</v>
      </c>
      <c r="M206" t="s">
        <v>4247</v>
      </c>
      <c r="N206" t="s">
        <v>4248</v>
      </c>
      <c r="O206" t="s">
        <v>2456</v>
      </c>
      <c r="P206" t="s">
        <v>2551</v>
      </c>
      <c r="Q206" t="s">
        <v>4704</v>
      </c>
      <c r="R206" t="s">
        <v>3425</v>
      </c>
    </row>
    <row r="207" spans="1:19" hidden="1" x14ac:dyDescent="0.25">
      <c r="A207" t="s">
        <v>4705</v>
      </c>
      <c r="B207" t="s">
        <v>4158</v>
      </c>
      <c r="C207" t="s">
        <v>3546</v>
      </c>
      <c r="D207" t="s">
        <v>3357</v>
      </c>
      <c r="E207" t="s">
        <v>2270</v>
      </c>
      <c r="F207" t="s">
        <v>975</v>
      </c>
      <c r="G207">
        <v>28</v>
      </c>
      <c r="H207">
        <v>228.21</v>
      </c>
      <c r="I207">
        <v>6389.88</v>
      </c>
      <c r="J207">
        <v>3.7</v>
      </c>
      <c r="K207">
        <v>1022.38</v>
      </c>
      <c r="L207">
        <v>7175.83</v>
      </c>
      <c r="M207" t="s">
        <v>3442</v>
      </c>
      <c r="N207" t="s">
        <v>1520</v>
      </c>
      <c r="O207" t="s">
        <v>2432</v>
      </c>
      <c r="P207" t="s">
        <v>2538</v>
      </c>
      <c r="Q207" t="s">
        <v>4706</v>
      </c>
      <c r="R207" t="s">
        <v>3429</v>
      </c>
    </row>
    <row r="208" spans="1:19" hidden="1" x14ac:dyDescent="0.25">
      <c r="A208" t="s">
        <v>4707</v>
      </c>
      <c r="B208" t="s">
        <v>3842</v>
      </c>
      <c r="C208" t="s">
        <v>3782</v>
      </c>
      <c r="D208" t="s">
        <v>2716</v>
      </c>
      <c r="E208" t="s">
        <v>2344</v>
      </c>
      <c r="F208" t="s">
        <v>510</v>
      </c>
      <c r="G208">
        <v>40</v>
      </c>
      <c r="H208">
        <v>153.87</v>
      </c>
      <c r="I208">
        <v>6154.8</v>
      </c>
      <c r="J208">
        <v>0.6</v>
      </c>
      <c r="K208">
        <v>984.77</v>
      </c>
      <c r="L208">
        <v>7102.64</v>
      </c>
      <c r="M208" t="s">
        <v>4247</v>
      </c>
      <c r="N208" t="s">
        <v>4233</v>
      </c>
      <c r="O208" t="s">
        <v>2388</v>
      </c>
      <c r="P208" t="s">
        <v>2525</v>
      </c>
      <c r="Q208" t="s">
        <v>4708</v>
      </c>
      <c r="R208" t="s">
        <v>3425</v>
      </c>
    </row>
    <row r="209" spans="1:19" hidden="1" x14ac:dyDescent="0.25">
      <c r="A209" t="s">
        <v>4709</v>
      </c>
      <c r="B209" t="s">
        <v>3340</v>
      </c>
      <c r="C209" t="s">
        <v>2737</v>
      </c>
      <c r="D209" t="s">
        <v>3192</v>
      </c>
      <c r="E209" t="s">
        <v>2344</v>
      </c>
      <c r="F209" t="s">
        <v>799</v>
      </c>
      <c r="G209">
        <v>1</v>
      </c>
      <c r="H209">
        <v>186.68</v>
      </c>
      <c r="I209">
        <v>186.68</v>
      </c>
      <c r="J209">
        <v>11.8</v>
      </c>
      <c r="K209">
        <v>29.87</v>
      </c>
      <c r="L209">
        <v>194.52</v>
      </c>
      <c r="M209" t="s">
        <v>3428</v>
      </c>
      <c r="N209" t="s">
        <v>4228</v>
      </c>
      <c r="O209" t="s">
        <v>2398</v>
      </c>
      <c r="P209" t="s">
        <v>2506</v>
      </c>
      <c r="Q209" t="s">
        <v>4710</v>
      </c>
      <c r="R209" t="s">
        <v>3425</v>
      </c>
      <c r="S209" t="s">
        <v>4230</v>
      </c>
    </row>
    <row r="210" spans="1:19" hidden="1" x14ac:dyDescent="0.25">
      <c r="A210" t="s">
        <v>4711</v>
      </c>
      <c r="B210" t="s">
        <v>2878</v>
      </c>
      <c r="C210" t="s">
        <v>3086</v>
      </c>
      <c r="D210" t="s">
        <v>2733</v>
      </c>
      <c r="E210" t="s">
        <v>1999</v>
      </c>
      <c r="F210" t="s">
        <v>62</v>
      </c>
      <c r="G210">
        <v>18</v>
      </c>
      <c r="H210">
        <v>456.89</v>
      </c>
      <c r="I210">
        <v>8224.02</v>
      </c>
      <c r="J210">
        <v>19.899999999999999</v>
      </c>
      <c r="K210">
        <v>1315.84</v>
      </c>
      <c r="L210">
        <v>7903.28</v>
      </c>
      <c r="M210" t="s">
        <v>3442</v>
      </c>
      <c r="N210" t="s">
        <v>4243</v>
      </c>
      <c r="O210" t="s">
        <v>2432</v>
      </c>
      <c r="P210" t="s">
        <v>2486</v>
      </c>
      <c r="Q210" t="s">
        <v>4712</v>
      </c>
      <c r="R210" t="s">
        <v>3425</v>
      </c>
      <c r="S210" t="s">
        <v>4292</v>
      </c>
    </row>
    <row r="211" spans="1:19" x14ac:dyDescent="0.25">
      <c r="A211" t="s">
        <v>4713</v>
      </c>
      <c r="B211" s="2" t="s">
        <v>1863</v>
      </c>
      <c r="C211" t="s">
        <v>4133</v>
      </c>
      <c r="D211" t="s">
        <v>3316</v>
      </c>
      <c r="E211" t="s">
        <v>1766</v>
      </c>
      <c r="F211" t="s">
        <v>1056</v>
      </c>
      <c r="G211">
        <v>49</v>
      </c>
      <c r="H211">
        <v>807.6</v>
      </c>
      <c r="I211">
        <v>39572.400000000001</v>
      </c>
      <c r="J211">
        <v>6.8</v>
      </c>
      <c r="K211">
        <v>6331.58</v>
      </c>
      <c r="L211">
        <v>43213.06</v>
      </c>
      <c r="M211" t="s">
        <v>4232</v>
      </c>
      <c r="N211" t="s">
        <v>4243</v>
      </c>
      <c r="O211" t="s">
        <v>2432</v>
      </c>
      <c r="P211" t="s">
        <v>2568</v>
      </c>
      <c r="Q211" t="s">
        <v>4714</v>
      </c>
      <c r="R211" t="s">
        <v>4245</v>
      </c>
      <c r="S211" t="s">
        <v>4230</v>
      </c>
    </row>
    <row r="212" spans="1:19" hidden="1" x14ac:dyDescent="0.25">
      <c r="A212" t="s">
        <v>4715</v>
      </c>
      <c r="B212" t="s">
        <v>4158</v>
      </c>
      <c r="C212" t="s">
        <v>3852</v>
      </c>
      <c r="D212" t="s">
        <v>2678</v>
      </c>
      <c r="E212" t="s">
        <v>2211</v>
      </c>
      <c r="F212" t="s">
        <v>316</v>
      </c>
      <c r="G212">
        <v>24</v>
      </c>
      <c r="H212">
        <v>886.72</v>
      </c>
      <c r="I212">
        <v>21281.279999999999</v>
      </c>
      <c r="J212">
        <v>19</v>
      </c>
      <c r="K212">
        <v>3405</v>
      </c>
      <c r="L212">
        <v>20642.84</v>
      </c>
      <c r="M212" t="s">
        <v>4257</v>
      </c>
      <c r="N212" t="s">
        <v>4243</v>
      </c>
      <c r="O212" t="s">
        <v>2449</v>
      </c>
      <c r="P212" t="s">
        <v>2561</v>
      </c>
      <c r="Q212" t="s">
        <v>4716</v>
      </c>
      <c r="R212" t="s">
        <v>4275</v>
      </c>
      <c r="S212" t="s">
        <v>4292</v>
      </c>
    </row>
    <row r="213" spans="1:19" hidden="1" x14ac:dyDescent="0.25">
      <c r="A213" t="s">
        <v>4717</v>
      </c>
      <c r="B213" t="s">
        <v>2110</v>
      </c>
      <c r="C213" t="s">
        <v>2755</v>
      </c>
      <c r="D213" t="s">
        <v>2879</v>
      </c>
      <c r="E213" t="s">
        <v>1914</v>
      </c>
      <c r="F213" t="s">
        <v>1076</v>
      </c>
      <c r="G213">
        <v>18</v>
      </c>
      <c r="H213">
        <v>137.72</v>
      </c>
      <c r="I213">
        <v>2478.96</v>
      </c>
      <c r="J213">
        <v>13.5</v>
      </c>
      <c r="K213">
        <v>396.63</v>
      </c>
      <c r="L213">
        <v>2540.9299999999998</v>
      </c>
      <c r="M213" t="s">
        <v>4247</v>
      </c>
      <c r="N213" t="s">
        <v>4248</v>
      </c>
      <c r="O213" t="s">
        <v>2416</v>
      </c>
      <c r="P213" t="s">
        <v>2554</v>
      </c>
      <c r="Q213" t="s">
        <v>4718</v>
      </c>
      <c r="R213" t="s">
        <v>3425</v>
      </c>
    </row>
    <row r="214" spans="1:19" hidden="1" x14ac:dyDescent="0.25">
      <c r="A214" t="s">
        <v>4719</v>
      </c>
      <c r="B214" t="s">
        <v>3872</v>
      </c>
      <c r="C214" t="s">
        <v>3695</v>
      </c>
      <c r="D214" t="s">
        <v>4031</v>
      </c>
      <c r="E214" t="s">
        <v>1578</v>
      </c>
      <c r="F214" t="s">
        <v>234</v>
      </c>
      <c r="G214">
        <v>9</v>
      </c>
      <c r="H214">
        <v>855.57</v>
      </c>
      <c r="I214">
        <v>7700.13</v>
      </c>
      <c r="J214">
        <v>3.1</v>
      </c>
      <c r="K214">
        <v>1232.02</v>
      </c>
      <c r="L214">
        <v>8693.4500000000007</v>
      </c>
      <c r="M214" t="s">
        <v>4238</v>
      </c>
      <c r="N214" t="s">
        <v>4228</v>
      </c>
      <c r="O214" t="s">
        <v>2456</v>
      </c>
      <c r="P214" t="s">
        <v>2568</v>
      </c>
      <c r="Q214" t="s">
        <v>4720</v>
      </c>
      <c r="R214" t="s">
        <v>3425</v>
      </c>
      <c r="S214" t="s">
        <v>3466</v>
      </c>
    </row>
    <row r="215" spans="1:19" hidden="1" x14ac:dyDescent="0.25">
      <c r="A215" t="s">
        <v>4721</v>
      </c>
      <c r="B215" t="s">
        <v>2252</v>
      </c>
      <c r="C215" t="s">
        <v>2712</v>
      </c>
      <c r="D215" t="s">
        <v>2773</v>
      </c>
      <c r="E215" t="s">
        <v>1999</v>
      </c>
      <c r="F215" t="s">
        <v>1106</v>
      </c>
      <c r="G215">
        <v>26</v>
      </c>
      <c r="H215">
        <v>711.33</v>
      </c>
      <c r="I215">
        <v>18494.580000000002</v>
      </c>
      <c r="J215">
        <v>4.9000000000000004</v>
      </c>
      <c r="K215">
        <v>2959.13</v>
      </c>
      <c r="L215">
        <v>20547.48</v>
      </c>
      <c r="M215" t="s">
        <v>3442</v>
      </c>
      <c r="N215" t="s">
        <v>4233</v>
      </c>
      <c r="O215" t="s">
        <v>2407</v>
      </c>
      <c r="P215" t="s">
        <v>2544</v>
      </c>
      <c r="Q215" t="s">
        <v>4722</v>
      </c>
      <c r="R215" t="s">
        <v>3425</v>
      </c>
    </row>
    <row r="216" spans="1:19" hidden="1" x14ac:dyDescent="0.25">
      <c r="A216" t="s">
        <v>4723</v>
      </c>
      <c r="B216" t="s">
        <v>2697</v>
      </c>
      <c r="C216" t="s">
        <v>2989</v>
      </c>
      <c r="D216" t="s">
        <v>3382</v>
      </c>
      <c r="E216" t="s">
        <v>2034</v>
      </c>
      <c r="F216" t="s">
        <v>561</v>
      </c>
      <c r="G216">
        <v>46</v>
      </c>
      <c r="H216">
        <v>110.09</v>
      </c>
      <c r="I216">
        <v>5064.1400000000003</v>
      </c>
      <c r="J216">
        <v>10.9</v>
      </c>
      <c r="K216">
        <v>810.26</v>
      </c>
      <c r="L216">
        <v>5322.41</v>
      </c>
      <c r="M216" t="s">
        <v>4238</v>
      </c>
      <c r="N216" t="s">
        <v>4233</v>
      </c>
      <c r="O216" t="s">
        <v>2416</v>
      </c>
      <c r="P216" t="s">
        <v>2522</v>
      </c>
      <c r="Q216" t="s">
        <v>4724</v>
      </c>
      <c r="R216" t="s">
        <v>3429</v>
      </c>
    </row>
    <row r="217" spans="1:19" hidden="1" x14ac:dyDescent="0.25">
      <c r="A217" t="s">
        <v>4725</v>
      </c>
      <c r="B217" t="s">
        <v>3460</v>
      </c>
      <c r="C217" t="s">
        <v>3538</v>
      </c>
      <c r="D217" t="s">
        <v>3433</v>
      </c>
      <c r="E217" t="s">
        <v>1872</v>
      </c>
      <c r="F217" t="s">
        <v>1036</v>
      </c>
      <c r="G217">
        <v>35</v>
      </c>
      <c r="H217">
        <v>502.43</v>
      </c>
      <c r="I217">
        <v>17585.05</v>
      </c>
      <c r="J217">
        <v>2.9</v>
      </c>
      <c r="K217">
        <v>2813.61</v>
      </c>
      <c r="L217">
        <v>19888.689999999999</v>
      </c>
      <c r="M217" t="s">
        <v>4238</v>
      </c>
      <c r="N217" t="s">
        <v>1121</v>
      </c>
      <c r="O217" t="s">
        <v>2416</v>
      </c>
      <c r="P217" t="s">
        <v>2475</v>
      </c>
      <c r="Q217" t="s">
        <v>4726</v>
      </c>
      <c r="R217" t="s">
        <v>3429</v>
      </c>
      <c r="S217" t="s">
        <v>3466</v>
      </c>
    </row>
    <row r="218" spans="1:19" hidden="1" x14ac:dyDescent="0.25">
      <c r="A218" t="s">
        <v>4727</v>
      </c>
      <c r="B218" t="s">
        <v>3253</v>
      </c>
      <c r="C218" t="s">
        <v>3062</v>
      </c>
      <c r="D218" t="s">
        <v>3937</v>
      </c>
      <c r="E218" t="s">
        <v>2034</v>
      </c>
      <c r="F218" t="s">
        <v>759</v>
      </c>
      <c r="G218">
        <v>19</v>
      </c>
      <c r="H218">
        <v>511.35</v>
      </c>
      <c r="I218">
        <v>9715.65</v>
      </c>
      <c r="J218">
        <v>1.3</v>
      </c>
      <c r="K218">
        <v>1554.5</v>
      </c>
      <c r="L218">
        <v>11143.85</v>
      </c>
      <c r="M218" t="s">
        <v>4227</v>
      </c>
      <c r="N218" t="s">
        <v>4248</v>
      </c>
      <c r="O218" t="s">
        <v>2416</v>
      </c>
      <c r="P218" t="s">
        <v>2558</v>
      </c>
      <c r="Q218" t="s">
        <v>4728</v>
      </c>
      <c r="R218" t="s">
        <v>3434</v>
      </c>
      <c r="S218" t="s">
        <v>4292</v>
      </c>
    </row>
    <row r="219" spans="1:19" hidden="1" x14ac:dyDescent="0.25">
      <c r="A219" t="s">
        <v>4729</v>
      </c>
      <c r="B219" t="s">
        <v>3406</v>
      </c>
      <c r="C219" t="s">
        <v>3406</v>
      </c>
      <c r="D219" t="s">
        <v>2871</v>
      </c>
      <c r="E219" t="s">
        <v>1981</v>
      </c>
      <c r="F219" t="s">
        <v>139</v>
      </c>
      <c r="G219">
        <v>35</v>
      </c>
      <c r="H219">
        <v>268.20999999999998</v>
      </c>
      <c r="I219">
        <v>9387.35</v>
      </c>
      <c r="J219">
        <v>10.7</v>
      </c>
      <c r="K219">
        <v>1501.98</v>
      </c>
      <c r="L219">
        <v>9884.8799999999992</v>
      </c>
      <c r="M219" t="s">
        <v>4232</v>
      </c>
      <c r="N219" t="s">
        <v>4228</v>
      </c>
      <c r="O219" t="s">
        <v>2407</v>
      </c>
      <c r="P219" t="s">
        <v>2535</v>
      </c>
      <c r="Q219" t="s">
        <v>4730</v>
      </c>
      <c r="R219" t="s">
        <v>3425</v>
      </c>
      <c r="S219" t="s">
        <v>4230</v>
      </c>
    </row>
    <row r="220" spans="1:19" hidden="1" x14ac:dyDescent="0.25">
      <c r="A220" t="s">
        <v>4731</v>
      </c>
      <c r="B220" t="s">
        <v>3505</v>
      </c>
      <c r="C220" t="s">
        <v>3816</v>
      </c>
      <c r="D220" t="s">
        <v>4732</v>
      </c>
      <c r="E220" t="s">
        <v>1775</v>
      </c>
      <c r="F220" t="s">
        <v>935</v>
      </c>
      <c r="G220">
        <v>39</v>
      </c>
      <c r="H220">
        <v>198.67</v>
      </c>
      <c r="I220">
        <v>7748.13</v>
      </c>
      <c r="J220">
        <v>10.7</v>
      </c>
      <c r="K220">
        <v>1239.7</v>
      </c>
      <c r="L220">
        <v>8158.78</v>
      </c>
      <c r="M220" t="s">
        <v>4232</v>
      </c>
      <c r="N220" t="s">
        <v>4243</v>
      </c>
      <c r="O220" t="s">
        <v>2432</v>
      </c>
      <c r="P220" t="s">
        <v>2551</v>
      </c>
      <c r="Q220" t="s">
        <v>4733</v>
      </c>
      <c r="R220" t="s">
        <v>4275</v>
      </c>
      <c r="S220" t="s">
        <v>3466</v>
      </c>
    </row>
    <row r="221" spans="1:19" hidden="1" x14ac:dyDescent="0.25">
      <c r="A221" t="s">
        <v>4734</v>
      </c>
      <c r="B221" t="s">
        <v>3793</v>
      </c>
      <c r="C221" t="s">
        <v>2654</v>
      </c>
      <c r="D221" t="s">
        <v>4448</v>
      </c>
      <c r="E221" t="s">
        <v>2152</v>
      </c>
      <c r="F221" t="s">
        <v>1010</v>
      </c>
      <c r="G221">
        <v>9</v>
      </c>
      <c r="H221">
        <v>770.01</v>
      </c>
      <c r="I221">
        <v>6930.09</v>
      </c>
      <c r="J221">
        <v>2.1</v>
      </c>
      <c r="K221">
        <v>1108.81</v>
      </c>
      <c r="L221">
        <v>7893.37</v>
      </c>
      <c r="M221" t="s">
        <v>3428</v>
      </c>
      <c r="N221" t="s">
        <v>1121</v>
      </c>
      <c r="O221" t="s">
        <v>2376</v>
      </c>
      <c r="P221" t="s">
        <v>2486</v>
      </c>
      <c r="Q221" t="s">
        <v>4735</v>
      </c>
      <c r="R221" t="s">
        <v>3434</v>
      </c>
    </row>
    <row r="222" spans="1:19" hidden="1" x14ac:dyDescent="0.25">
      <c r="A222" t="s">
        <v>4736</v>
      </c>
      <c r="B222" t="s">
        <v>4737</v>
      </c>
      <c r="C222" t="s">
        <v>3431</v>
      </c>
      <c r="D222" t="s">
        <v>3431</v>
      </c>
      <c r="E222" t="s">
        <v>1812</v>
      </c>
      <c r="F222" t="s">
        <v>264</v>
      </c>
      <c r="G222">
        <v>14</v>
      </c>
      <c r="H222">
        <v>765.31</v>
      </c>
      <c r="I222">
        <v>10714.34</v>
      </c>
      <c r="J222">
        <v>13</v>
      </c>
      <c r="K222">
        <v>1714.29</v>
      </c>
      <c r="L222">
        <v>11035.77</v>
      </c>
      <c r="M222" t="s">
        <v>4232</v>
      </c>
      <c r="N222" t="s">
        <v>1121</v>
      </c>
      <c r="O222" t="s">
        <v>2407</v>
      </c>
      <c r="P222" t="s">
        <v>2548</v>
      </c>
      <c r="Q222" t="s">
        <v>4738</v>
      </c>
      <c r="R222" t="s">
        <v>3425</v>
      </c>
    </row>
    <row r="223" spans="1:19" hidden="1" x14ac:dyDescent="0.25">
      <c r="A223" t="s">
        <v>4739</v>
      </c>
      <c r="B223" t="s">
        <v>2494</v>
      </c>
      <c r="C223" t="s">
        <v>3144</v>
      </c>
      <c r="D223" t="s">
        <v>3399</v>
      </c>
      <c r="E223" t="s">
        <v>2219</v>
      </c>
      <c r="F223" t="s">
        <v>955</v>
      </c>
      <c r="G223">
        <v>36</v>
      </c>
      <c r="H223">
        <v>499.98</v>
      </c>
      <c r="I223">
        <v>17999.28</v>
      </c>
      <c r="J223">
        <v>7.8</v>
      </c>
      <c r="K223">
        <v>2879.88</v>
      </c>
      <c r="L223">
        <v>19475.22</v>
      </c>
      <c r="M223" t="s">
        <v>4232</v>
      </c>
      <c r="N223" t="s">
        <v>4228</v>
      </c>
      <c r="O223" t="s">
        <v>2376</v>
      </c>
      <c r="P223" t="s">
        <v>2561</v>
      </c>
      <c r="Q223" t="s">
        <v>4740</v>
      </c>
      <c r="R223" t="s">
        <v>3425</v>
      </c>
    </row>
    <row r="224" spans="1:19" hidden="1" x14ac:dyDescent="0.25">
      <c r="A224" t="s">
        <v>4741</v>
      </c>
      <c r="B224" t="s">
        <v>4742</v>
      </c>
      <c r="C224" t="s">
        <v>4742</v>
      </c>
      <c r="D224" t="s">
        <v>2369</v>
      </c>
      <c r="E224" t="s">
        <v>1640</v>
      </c>
      <c r="F224" t="s">
        <v>125</v>
      </c>
      <c r="G224">
        <v>8</v>
      </c>
      <c r="H224">
        <v>111.92</v>
      </c>
      <c r="I224">
        <v>895.36</v>
      </c>
      <c r="J224">
        <v>4.5999999999999996</v>
      </c>
      <c r="K224">
        <v>143.26</v>
      </c>
      <c r="L224">
        <v>997.43</v>
      </c>
      <c r="M224" t="s">
        <v>4247</v>
      </c>
      <c r="N224" t="s">
        <v>4228</v>
      </c>
      <c r="O224" t="s">
        <v>2432</v>
      </c>
      <c r="P224" t="s">
        <v>2535</v>
      </c>
      <c r="Q224" t="s">
        <v>4743</v>
      </c>
      <c r="R224" t="s">
        <v>3425</v>
      </c>
    </row>
    <row r="225" spans="1:19" hidden="1" x14ac:dyDescent="0.25">
      <c r="A225" t="s">
        <v>4744</v>
      </c>
      <c r="B225" t="s">
        <v>3745</v>
      </c>
      <c r="C225" t="s">
        <v>3447</v>
      </c>
      <c r="D225" t="s">
        <v>4745</v>
      </c>
      <c r="E225" t="s">
        <v>1511</v>
      </c>
      <c r="F225" t="s">
        <v>764</v>
      </c>
      <c r="G225">
        <v>41</v>
      </c>
      <c r="H225">
        <v>577.49</v>
      </c>
      <c r="I225">
        <v>23677.09</v>
      </c>
      <c r="J225">
        <v>17.399999999999999</v>
      </c>
      <c r="K225">
        <v>3788.33</v>
      </c>
      <c r="L225">
        <v>23345.61</v>
      </c>
      <c r="M225" t="s">
        <v>3428</v>
      </c>
      <c r="N225" t="s">
        <v>4233</v>
      </c>
      <c r="O225" t="s">
        <v>2376</v>
      </c>
      <c r="P225" t="s">
        <v>2544</v>
      </c>
      <c r="Q225" t="s">
        <v>4746</v>
      </c>
      <c r="R225" t="s">
        <v>4275</v>
      </c>
      <c r="S225" t="s">
        <v>4235</v>
      </c>
    </row>
    <row r="226" spans="1:19" hidden="1" x14ac:dyDescent="0.25">
      <c r="A226" t="s">
        <v>4747</v>
      </c>
      <c r="B226" t="s">
        <v>4748</v>
      </c>
      <c r="C226" t="s">
        <v>3741</v>
      </c>
      <c r="D226" t="s">
        <v>3920</v>
      </c>
      <c r="E226" t="s">
        <v>1599</v>
      </c>
      <c r="F226" t="s">
        <v>473</v>
      </c>
      <c r="G226">
        <v>4</v>
      </c>
      <c r="H226">
        <v>833.82</v>
      </c>
      <c r="I226">
        <v>3335.28</v>
      </c>
      <c r="J226">
        <v>4.7</v>
      </c>
      <c r="K226">
        <v>533.64</v>
      </c>
      <c r="L226">
        <v>3712.16</v>
      </c>
      <c r="M226" t="s">
        <v>4227</v>
      </c>
      <c r="N226" t="s">
        <v>4243</v>
      </c>
      <c r="O226" t="s">
        <v>2407</v>
      </c>
      <c r="P226" t="s">
        <v>2554</v>
      </c>
      <c r="Q226" t="s">
        <v>4749</v>
      </c>
      <c r="R226" t="s">
        <v>3425</v>
      </c>
      <c r="S226" t="s">
        <v>3466</v>
      </c>
    </row>
    <row r="227" spans="1:19" hidden="1" x14ac:dyDescent="0.25">
      <c r="A227" t="s">
        <v>4750</v>
      </c>
      <c r="B227" t="s">
        <v>4636</v>
      </c>
      <c r="C227" t="s">
        <v>2958</v>
      </c>
      <c r="D227" t="s">
        <v>2593</v>
      </c>
      <c r="E227" t="s">
        <v>1820</v>
      </c>
      <c r="F227" t="s">
        <v>646</v>
      </c>
      <c r="G227">
        <v>49</v>
      </c>
      <c r="H227">
        <v>713.15</v>
      </c>
      <c r="I227">
        <v>34944.35</v>
      </c>
      <c r="J227">
        <v>11</v>
      </c>
      <c r="K227">
        <v>5591.1</v>
      </c>
      <c r="L227">
        <v>36691.57</v>
      </c>
      <c r="M227" t="s">
        <v>4227</v>
      </c>
      <c r="N227" t="s">
        <v>1520</v>
      </c>
      <c r="O227" t="s">
        <v>2456</v>
      </c>
      <c r="P227" t="s">
        <v>2522</v>
      </c>
      <c r="Q227" t="s">
        <v>4751</v>
      </c>
      <c r="R227" t="s">
        <v>3425</v>
      </c>
    </row>
    <row r="228" spans="1:19" hidden="1" x14ac:dyDescent="0.25">
      <c r="A228" t="s">
        <v>4752</v>
      </c>
      <c r="B228" t="s">
        <v>3673</v>
      </c>
      <c r="C228" t="s">
        <v>3452</v>
      </c>
      <c r="D228" t="s">
        <v>4753</v>
      </c>
      <c r="E228" t="s">
        <v>1731</v>
      </c>
      <c r="F228" t="s">
        <v>1051</v>
      </c>
      <c r="G228">
        <v>50</v>
      </c>
      <c r="H228">
        <v>895.67</v>
      </c>
      <c r="I228">
        <v>44783.5</v>
      </c>
      <c r="J228">
        <v>9.1</v>
      </c>
      <c r="K228">
        <v>7165.36</v>
      </c>
      <c r="L228">
        <v>47873.56</v>
      </c>
      <c r="M228" t="s">
        <v>3442</v>
      </c>
      <c r="N228" t="s">
        <v>4233</v>
      </c>
      <c r="O228" t="s">
        <v>2425</v>
      </c>
      <c r="P228" t="s">
        <v>2515</v>
      </c>
      <c r="Q228" t="s">
        <v>4754</v>
      </c>
      <c r="R228" t="s">
        <v>3429</v>
      </c>
      <c r="S228" t="s">
        <v>3466</v>
      </c>
    </row>
    <row r="229" spans="1:19" hidden="1" x14ac:dyDescent="0.25">
      <c r="A229" t="s">
        <v>4755</v>
      </c>
      <c r="B229" t="s">
        <v>3528</v>
      </c>
      <c r="C229" t="s">
        <v>3582</v>
      </c>
      <c r="D229" t="s">
        <v>2691</v>
      </c>
      <c r="E229" t="s">
        <v>1578</v>
      </c>
      <c r="F229" t="s">
        <v>530</v>
      </c>
      <c r="G229">
        <v>2</v>
      </c>
      <c r="H229">
        <v>822.35</v>
      </c>
      <c r="I229">
        <v>1644.7</v>
      </c>
      <c r="J229">
        <v>0.9</v>
      </c>
      <c r="K229">
        <v>263.14999999999998</v>
      </c>
      <c r="L229">
        <v>1893.05</v>
      </c>
      <c r="M229" t="s">
        <v>4227</v>
      </c>
      <c r="N229" t="s">
        <v>4233</v>
      </c>
      <c r="O229" t="s">
        <v>2388</v>
      </c>
      <c r="P229" t="s">
        <v>2475</v>
      </c>
      <c r="Q229" t="s">
        <v>4756</v>
      </c>
      <c r="R229" t="s">
        <v>3425</v>
      </c>
    </row>
    <row r="230" spans="1:19" hidden="1" x14ac:dyDescent="0.25">
      <c r="A230" t="s">
        <v>4757</v>
      </c>
      <c r="B230" t="s">
        <v>2801</v>
      </c>
      <c r="C230" t="s">
        <v>2801</v>
      </c>
      <c r="D230" t="s">
        <v>2729</v>
      </c>
      <c r="E230" t="s">
        <v>2287</v>
      </c>
      <c r="F230" t="s">
        <v>390</v>
      </c>
      <c r="G230">
        <v>19</v>
      </c>
      <c r="H230">
        <v>101.27</v>
      </c>
      <c r="I230">
        <v>1924.13</v>
      </c>
      <c r="J230">
        <v>8.9</v>
      </c>
      <c r="K230">
        <v>307.86</v>
      </c>
      <c r="L230">
        <v>2060.7399999999998</v>
      </c>
      <c r="M230" t="s">
        <v>4232</v>
      </c>
      <c r="N230" t="s">
        <v>4228</v>
      </c>
      <c r="O230" t="s">
        <v>2416</v>
      </c>
      <c r="P230" t="s">
        <v>2568</v>
      </c>
      <c r="Q230" t="s">
        <v>4758</v>
      </c>
      <c r="R230" t="s">
        <v>3425</v>
      </c>
    </row>
    <row r="231" spans="1:19" hidden="1" x14ac:dyDescent="0.25">
      <c r="A231" t="s">
        <v>4759</v>
      </c>
      <c r="B231" t="s">
        <v>4760</v>
      </c>
      <c r="C231" t="s">
        <v>3490</v>
      </c>
      <c r="D231" t="s">
        <v>4748</v>
      </c>
      <c r="E231" t="s">
        <v>1923</v>
      </c>
      <c r="F231" t="s">
        <v>1101</v>
      </c>
      <c r="G231">
        <v>36</v>
      </c>
      <c r="H231">
        <v>708.17</v>
      </c>
      <c r="I231">
        <v>25494.12</v>
      </c>
      <c r="J231">
        <v>8.6</v>
      </c>
      <c r="K231">
        <v>4079.06</v>
      </c>
      <c r="L231">
        <v>27380.69</v>
      </c>
      <c r="M231" t="s">
        <v>4232</v>
      </c>
      <c r="N231" t="s">
        <v>1121</v>
      </c>
      <c r="O231" t="s">
        <v>2432</v>
      </c>
      <c r="P231" t="s">
        <v>2544</v>
      </c>
      <c r="Q231" t="s">
        <v>4761</v>
      </c>
      <c r="R231" t="s">
        <v>3429</v>
      </c>
      <c r="S231" t="s">
        <v>3466</v>
      </c>
    </row>
    <row r="232" spans="1:19" hidden="1" x14ac:dyDescent="0.25">
      <c r="A232" t="s">
        <v>4762</v>
      </c>
      <c r="B232" t="s">
        <v>3735</v>
      </c>
      <c r="C232" t="s">
        <v>3735</v>
      </c>
      <c r="D232" t="s">
        <v>4630</v>
      </c>
      <c r="E232" t="s">
        <v>1489</v>
      </c>
      <c r="F232" t="s">
        <v>789</v>
      </c>
      <c r="G232">
        <v>15</v>
      </c>
      <c r="H232">
        <v>531.95000000000005</v>
      </c>
      <c r="I232">
        <v>7979.25</v>
      </c>
      <c r="J232">
        <v>11.2</v>
      </c>
      <c r="K232">
        <v>1276.68</v>
      </c>
      <c r="L232">
        <v>8362.25</v>
      </c>
      <c r="M232" t="s">
        <v>4232</v>
      </c>
      <c r="N232" t="s">
        <v>4243</v>
      </c>
      <c r="O232" t="s">
        <v>2440</v>
      </c>
      <c r="P232" t="s">
        <v>2551</v>
      </c>
      <c r="Q232" t="s">
        <v>4763</v>
      </c>
      <c r="R232" t="s">
        <v>3425</v>
      </c>
      <c r="S232" t="s">
        <v>4230</v>
      </c>
    </row>
    <row r="233" spans="1:19" hidden="1" x14ac:dyDescent="0.25">
      <c r="A233" t="s">
        <v>4764</v>
      </c>
      <c r="B233" t="s">
        <v>4009</v>
      </c>
      <c r="C233" t="s">
        <v>4765</v>
      </c>
      <c r="D233" t="s">
        <v>3610</v>
      </c>
      <c r="E233" t="s">
        <v>2160</v>
      </c>
      <c r="F233" t="s">
        <v>657</v>
      </c>
      <c r="G233">
        <v>12</v>
      </c>
      <c r="H233">
        <v>390.42</v>
      </c>
      <c r="I233">
        <v>4685.04</v>
      </c>
      <c r="J233">
        <v>16.899999999999999</v>
      </c>
      <c r="K233">
        <v>749.61</v>
      </c>
      <c r="L233">
        <v>4642.88</v>
      </c>
      <c r="M233" t="s">
        <v>3428</v>
      </c>
      <c r="N233" t="s">
        <v>4233</v>
      </c>
      <c r="O233" t="s">
        <v>2456</v>
      </c>
      <c r="P233" t="s">
        <v>2512</v>
      </c>
      <c r="Q233" t="s">
        <v>4766</v>
      </c>
      <c r="R233" t="s">
        <v>3425</v>
      </c>
    </row>
    <row r="234" spans="1:19" hidden="1" x14ac:dyDescent="0.25">
      <c r="A234" t="s">
        <v>4767</v>
      </c>
      <c r="B234" t="s">
        <v>3603</v>
      </c>
      <c r="C234" t="s">
        <v>4652</v>
      </c>
      <c r="D234" t="s">
        <v>3576</v>
      </c>
      <c r="E234" t="s">
        <v>1990</v>
      </c>
      <c r="F234" t="s">
        <v>1010</v>
      </c>
      <c r="G234">
        <v>49</v>
      </c>
      <c r="H234">
        <v>890.6</v>
      </c>
      <c r="I234">
        <v>43639.4</v>
      </c>
      <c r="J234">
        <v>9.1</v>
      </c>
      <c r="K234">
        <v>6982.3</v>
      </c>
      <c r="L234">
        <v>46650.51</v>
      </c>
      <c r="M234" t="s">
        <v>4257</v>
      </c>
      <c r="N234" t="s">
        <v>4248</v>
      </c>
      <c r="O234" t="s">
        <v>2388</v>
      </c>
      <c r="P234" t="s">
        <v>2544</v>
      </c>
      <c r="Q234" t="s">
        <v>4768</v>
      </c>
      <c r="R234" t="s">
        <v>4275</v>
      </c>
    </row>
    <row r="235" spans="1:19" x14ac:dyDescent="0.25">
      <c r="A235" t="s">
        <v>4769</v>
      </c>
      <c r="B235" s="2" t="s">
        <v>3636</v>
      </c>
      <c r="C235" t="s">
        <v>3843</v>
      </c>
      <c r="D235" t="s">
        <v>2984</v>
      </c>
      <c r="E235" t="s">
        <v>1578</v>
      </c>
      <c r="F235" t="s">
        <v>703</v>
      </c>
      <c r="G235">
        <v>24</v>
      </c>
      <c r="H235">
        <v>368.49</v>
      </c>
      <c r="I235">
        <v>8843.76</v>
      </c>
      <c r="J235">
        <v>6.3</v>
      </c>
      <c r="K235">
        <v>1415</v>
      </c>
      <c r="L235">
        <v>9701.6</v>
      </c>
      <c r="M235" t="s">
        <v>3428</v>
      </c>
      <c r="N235" t="s">
        <v>4248</v>
      </c>
      <c r="O235" t="s">
        <v>2388</v>
      </c>
      <c r="P235" t="s">
        <v>2558</v>
      </c>
      <c r="Q235" t="s">
        <v>4770</v>
      </c>
      <c r="R235" t="s">
        <v>4245</v>
      </c>
      <c r="S235" t="s">
        <v>4292</v>
      </c>
    </row>
    <row r="236" spans="1:19" hidden="1" x14ac:dyDescent="0.25">
      <c r="A236" t="s">
        <v>4771</v>
      </c>
      <c r="B236" t="s">
        <v>3598</v>
      </c>
      <c r="C236" t="s">
        <v>4078</v>
      </c>
      <c r="D236" t="s">
        <v>3496</v>
      </c>
      <c r="E236" t="s">
        <v>1940</v>
      </c>
      <c r="F236" t="s">
        <v>885</v>
      </c>
      <c r="G236">
        <v>12</v>
      </c>
      <c r="H236">
        <v>727.25</v>
      </c>
      <c r="I236">
        <v>8727</v>
      </c>
      <c r="J236">
        <v>1.9</v>
      </c>
      <c r="K236">
        <v>1396.32</v>
      </c>
      <c r="L236">
        <v>9957.51</v>
      </c>
      <c r="M236" t="s">
        <v>4257</v>
      </c>
      <c r="N236" t="s">
        <v>4228</v>
      </c>
      <c r="O236" t="s">
        <v>2456</v>
      </c>
      <c r="P236" t="s">
        <v>2527</v>
      </c>
      <c r="Q236" t="s">
        <v>4772</v>
      </c>
      <c r="R236" t="s">
        <v>3429</v>
      </c>
      <c r="S236" t="s">
        <v>4292</v>
      </c>
    </row>
    <row r="237" spans="1:19" hidden="1" x14ac:dyDescent="0.25">
      <c r="A237" t="s">
        <v>4773</v>
      </c>
      <c r="B237" t="s">
        <v>3775</v>
      </c>
      <c r="C237" t="s">
        <v>3775</v>
      </c>
      <c r="D237" t="s">
        <v>3735</v>
      </c>
      <c r="E237" t="s">
        <v>1705</v>
      </c>
      <c r="F237" t="s">
        <v>306</v>
      </c>
      <c r="G237">
        <v>10</v>
      </c>
      <c r="H237">
        <v>582.53</v>
      </c>
      <c r="I237">
        <v>5825.3</v>
      </c>
      <c r="J237">
        <v>9.6</v>
      </c>
      <c r="K237">
        <v>932.05</v>
      </c>
      <c r="L237">
        <v>6198.12</v>
      </c>
      <c r="M237" t="s">
        <v>4257</v>
      </c>
      <c r="N237" t="s">
        <v>4243</v>
      </c>
      <c r="O237" t="s">
        <v>2416</v>
      </c>
      <c r="P237" t="s">
        <v>2564</v>
      </c>
      <c r="Q237" t="s">
        <v>4774</v>
      </c>
      <c r="R237" t="s">
        <v>3434</v>
      </c>
    </row>
    <row r="238" spans="1:19" hidden="1" x14ac:dyDescent="0.25">
      <c r="A238" t="s">
        <v>4775</v>
      </c>
      <c r="B238" t="s">
        <v>2745</v>
      </c>
      <c r="C238" t="s">
        <v>2825</v>
      </c>
      <c r="D238" t="s">
        <v>3371</v>
      </c>
      <c r="E238" t="s">
        <v>1619</v>
      </c>
      <c r="F238" t="s">
        <v>819</v>
      </c>
      <c r="G238">
        <v>23</v>
      </c>
      <c r="H238">
        <v>644.80999999999995</v>
      </c>
      <c r="I238">
        <v>14830.63</v>
      </c>
      <c r="J238">
        <v>7.5</v>
      </c>
      <c r="K238">
        <v>2372.9</v>
      </c>
      <c r="L238">
        <v>16091.23</v>
      </c>
      <c r="M238" t="s">
        <v>4238</v>
      </c>
      <c r="N238" t="s">
        <v>4228</v>
      </c>
      <c r="O238" t="s">
        <v>2398</v>
      </c>
      <c r="P238" t="s">
        <v>2475</v>
      </c>
      <c r="Q238" t="s">
        <v>4776</v>
      </c>
      <c r="R238" t="s">
        <v>4275</v>
      </c>
      <c r="S238" t="s">
        <v>3466</v>
      </c>
    </row>
    <row r="239" spans="1:19" x14ac:dyDescent="0.25">
      <c r="A239" t="s">
        <v>4777</v>
      </c>
      <c r="B239" s="2" t="s">
        <v>3271</v>
      </c>
      <c r="C239" t="s">
        <v>3626</v>
      </c>
      <c r="D239" t="s">
        <v>2697</v>
      </c>
      <c r="E239" t="s">
        <v>1475</v>
      </c>
      <c r="F239" t="s">
        <v>1021</v>
      </c>
      <c r="G239">
        <v>37</v>
      </c>
      <c r="H239">
        <v>114.45</v>
      </c>
      <c r="I239">
        <v>4234.6499999999996</v>
      </c>
      <c r="J239">
        <v>14.7</v>
      </c>
      <c r="K239">
        <v>677.54</v>
      </c>
      <c r="L239">
        <v>4289.7</v>
      </c>
      <c r="M239" t="s">
        <v>4247</v>
      </c>
      <c r="N239" t="s">
        <v>4248</v>
      </c>
      <c r="O239" t="s">
        <v>2432</v>
      </c>
      <c r="P239" t="s">
        <v>2515</v>
      </c>
      <c r="Q239" t="s">
        <v>4778</v>
      </c>
      <c r="R239" t="s">
        <v>4245</v>
      </c>
    </row>
    <row r="240" spans="1:19" hidden="1" x14ac:dyDescent="0.25">
      <c r="A240" t="s">
        <v>4779</v>
      </c>
      <c r="B240" t="s">
        <v>3852</v>
      </c>
      <c r="C240" t="s">
        <v>2678</v>
      </c>
      <c r="D240" t="s">
        <v>3423</v>
      </c>
      <c r="E240" t="s">
        <v>1748</v>
      </c>
      <c r="F240" t="s">
        <v>269</v>
      </c>
      <c r="G240">
        <v>18</v>
      </c>
      <c r="H240">
        <v>778.09</v>
      </c>
      <c r="I240">
        <v>14005.62</v>
      </c>
      <c r="J240">
        <v>9.4</v>
      </c>
      <c r="K240">
        <v>2240.9</v>
      </c>
      <c r="L240">
        <v>14929.99</v>
      </c>
      <c r="M240" t="s">
        <v>4232</v>
      </c>
      <c r="N240" t="s">
        <v>4228</v>
      </c>
      <c r="O240" t="s">
        <v>2425</v>
      </c>
      <c r="P240" t="s">
        <v>2564</v>
      </c>
      <c r="Q240" t="s">
        <v>4780</v>
      </c>
      <c r="R240" t="s">
        <v>3425</v>
      </c>
    </row>
    <row r="241" spans="1:19" hidden="1" x14ac:dyDescent="0.25">
      <c r="A241" t="s">
        <v>4781</v>
      </c>
      <c r="B241" t="s">
        <v>3701</v>
      </c>
      <c r="C241" t="s">
        <v>3075</v>
      </c>
      <c r="D241" t="s">
        <v>2924</v>
      </c>
      <c r="E241" t="s">
        <v>2051</v>
      </c>
      <c r="F241" t="s">
        <v>779</v>
      </c>
      <c r="G241">
        <v>42</v>
      </c>
      <c r="H241">
        <v>856.26</v>
      </c>
      <c r="I241">
        <v>35962.92</v>
      </c>
      <c r="J241">
        <v>16.3</v>
      </c>
      <c r="K241">
        <v>5754.07</v>
      </c>
      <c r="L241">
        <v>35855.03</v>
      </c>
      <c r="M241" t="s">
        <v>4227</v>
      </c>
      <c r="N241" t="s">
        <v>4243</v>
      </c>
      <c r="O241" t="s">
        <v>2440</v>
      </c>
      <c r="P241" t="s">
        <v>2512</v>
      </c>
      <c r="Q241" t="s">
        <v>4782</v>
      </c>
      <c r="R241" t="s">
        <v>3429</v>
      </c>
    </row>
    <row r="242" spans="1:19" hidden="1" x14ac:dyDescent="0.25">
      <c r="A242" t="s">
        <v>4783</v>
      </c>
      <c r="B242" t="s">
        <v>3057</v>
      </c>
      <c r="C242" t="s">
        <v>2750</v>
      </c>
      <c r="D242" t="s">
        <v>3650</v>
      </c>
      <c r="E242" t="s">
        <v>1940</v>
      </c>
      <c r="F242" t="s">
        <v>804</v>
      </c>
      <c r="G242">
        <v>50</v>
      </c>
      <c r="H242">
        <v>398.51</v>
      </c>
      <c r="I242">
        <v>19925.5</v>
      </c>
      <c r="J242">
        <v>9.6</v>
      </c>
      <c r="K242">
        <v>3188.08</v>
      </c>
      <c r="L242">
        <v>21200.73</v>
      </c>
      <c r="M242" t="s">
        <v>4247</v>
      </c>
      <c r="N242" t="s">
        <v>4243</v>
      </c>
      <c r="O242" t="s">
        <v>2376</v>
      </c>
      <c r="P242" t="s">
        <v>2486</v>
      </c>
      <c r="Q242" t="s">
        <v>4784</v>
      </c>
      <c r="R242" t="s">
        <v>3425</v>
      </c>
      <c r="S242" t="s">
        <v>3466</v>
      </c>
    </row>
    <row r="243" spans="1:19" hidden="1" x14ac:dyDescent="0.25">
      <c r="A243" t="s">
        <v>4785</v>
      </c>
      <c r="B243" t="s">
        <v>3769</v>
      </c>
      <c r="C243" t="s">
        <v>3769</v>
      </c>
      <c r="D243" t="s">
        <v>4088</v>
      </c>
      <c r="E243" t="s">
        <v>1619</v>
      </c>
      <c r="F243" t="s">
        <v>955</v>
      </c>
      <c r="G243">
        <v>6</v>
      </c>
      <c r="H243">
        <v>351.99</v>
      </c>
      <c r="I243">
        <v>2111.94</v>
      </c>
      <c r="J243">
        <v>8.5</v>
      </c>
      <c r="K243">
        <v>337.91</v>
      </c>
      <c r="L243">
        <v>2270.34</v>
      </c>
      <c r="M243" t="s">
        <v>4227</v>
      </c>
      <c r="N243" t="s">
        <v>1121</v>
      </c>
      <c r="O243" t="s">
        <v>2440</v>
      </c>
      <c r="P243" t="s">
        <v>2481</v>
      </c>
      <c r="Q243" t="s">
        <v>4786</v>
      </c>
      <c r="R243" t="s">
        <v>3425</v>
      </c>
    </row>
    <row r="244" spans="1:19" hidden="1" x14ac:dyDescent="0.25">
      <c r="A244" t="s">
        <v>4787</v>
      </c>
      <c r="B244" t="s">
        <v>2369</v>
      </c>
      <c r="C244" t="s">
        <v>3278</v>
      </c>
      <c r="D244" t="s">
        <v>2975</v>
      </c>
      <c r="E244" t="s">
        <v>2025</v>
      </c>
      <c r="F244" t="s">
        <v>174</v>
      </c>
      <c r="G244">
        <v>28</v>
      </c>
      <c r="H244">
        <v>574.91999999999996</v>
      </c>
      <c r="I244">
        <v>16097.76</v>
      </c>
      <c r="J244">
        <v>13.6</v>
      </c>
      <c r="K244">
        <v>2575.64</v>
      </c>
      <c r="L244">
        <v>16484.099999999999</v>
      </c>
      <c r="M244" t="s">
        <v>4247</v>
      </c>
      <c r="N244" t="s">
        <v>4243</v>
      </c>
      <c r="O244" t="s">
        <v>2388</v>
      </c>
      <c r="P244" t="s">
        <v>2541</v>
      </c>
      <c r="Q244" t="s">
        <v>4788</v>
      </c>
      <c r="R244" t="s">
        <v>3434</v>
      </c>
    </row>
    <row r="245" spans="1:19" hidden="1" x14ac:dyDescent="0.25">
      <c r="A245" t="s">
        <v>4789</v>
      </c>
      <c r="B245" t="s">
        <v>3741</v>
      </c>
      <c r="C245" t="s">
        <v>3609</v>
      </c>
      <c r="D245" t="s">
        <v>4208</v>
      </c>
      <c r="E245" t="s">
        <v>2219</v>
      </c>
      <c r="F245" t="s">
        <v>279</v>
      </c>
      <c r="G245">
        <v>37</v>
      </c>
      <c r="H245">
        <v>517.52</v>
      </c>
      <c r="I245">
        <v>19148.240000000002</v>
      </c>
      <c r="J245">
        <v>8.3000000000000007</v>
      </c>
      <c r="K245">
        <v>3063.72</v>
      </c>
      <c r="L245">
        <v>20622.66</v>
      </c>
      <c r="M245" t="s">
        <v>4238</v>
      </c>
      <c r="N245" t="s">
        <v>1520</v>
      </c>
      <c r="O245" t="s">
        <v>2425</v>
      </c>
      <c r="P245" t="s">
        <v>2495</v>
      </c>
      <c r="Q245" t="s">
        <v>4790</v>
      </c>
      <c r="R245" t="s">
        <v>3434</v>
      </c>
      <c r="S245" t="s">
        <v>3466</v>
      </c>
    </row>
    <row r="246" spans="1:19" hidden="1" x14ac:dyDescent="0.25">
      <c r="A246" t="s">
        <v>4791</v>
      </c>
      <c r="B246" t="s">
        <v>3460</v>
      </c>
      <c r="C246" t="s">
        <v>3538</v>
      </c>
      <c r="D246" t="s">
        <v>4652</v>
      </c>
      <c r="E246" t="s">
        <v>2353</v>
      </c>
      <c r="F246" t="s">
        <v>240</v>
      </c>
      <c r="G246">
        <v>27</v>
      </c>
      <c r="H246">
        <v>769.07</v>
      </c>
      <c r="I246">
        <v>20764.89</v>
      </c>
      <c r="J246">
        <v>1.8</v>
      </c>
      <c r="K246">
        <v>3322.38</v>
      </c>
      <c r="L246">
        <v>23713.5</v>
      </c>
      <c r="M246" t="s">
        <v>3442</v>
      </c>
      <c r="N246" t="s">
        <v>4248</v>
      </c>
      <c r="O246" t="s">
        <v>2449</v>
      </c>
      <c r="P246" t="s">
        <v>2486</v>
      </c>
      <c r="Q246" t="s">
        <v>4792</v>
      </c>
      <c r="R246" t="s">
        <v>3425</v>
      </c>
      <c r="S246" t="s">
        <v>4292</v>
      </c>
    </row>
    <row r="247" spans="1:19" hidden="1" x14ac:dyDescent="0.25">
      <c r="A247" t="s">
        <v>4793</v>
      </c>
      <c r="B247" t="s">
        <v>4794</v>
      </c>
      <c r="C247" t="s">
        <v>3575</v>
      </c>
      <c r="D247" t="s">
        <v>3827</v>
      </c>
      <c r="E247" t="s">
        <v>1881</v>
      </c>
      <c r="F247" t="s">
        <v>125</v>
      </c>
      <c r="G247">
        <v>10</v>
      </c>
      <c r="H247">
        <v>381.44</v>
      </c>
      <c r="I247">
        <v>3814.4</v>
      </c>
      <c r="J247">
        <v>11.2</v>
      </c>
      <c r="K247">
        <v>610.29999999999995</v>
      </c>
      <c r="L247">
        <v>3997.49</v>
      </c>
      <c r="M247" t="s">
        <v>4247</v>
      </c>
      <c r="N247" t="s">
        <v>1121</v>
      </c>
      <c r="O247" t="s">
        <v>2388</v>
      </c>
      <c r="P247" t="s">
        <v>2535</v>
      </c>
      <c r="Q247" t="s">
        <v>4795</v>
      </c>
      <c r="R247" t="s">
        <v>3425</v>
      </c>
      <c r="S247" t="s">
        <v>4230</v>
      </c>
    </row>
    <row r="248" spans="1:19" hidden="1" x14ac:dyDescent="0.25">
      <c r="A248" t="s">
        <v>4796</v>
      </c>
      <c r="B248" t="s">
        <v>2668</v>
      </c>
      <c r="C248" t="s">
        <v>2824</v>
      </c>
      <c r="D248" t="s">
        <v>2707</v>
      </c>
      <c r="E248" t="s">
        <v>1999</v>
      </c>
      <c r="F248" t="s">
        <v>432</v>
      </c>
      <c r="G248">
        <v>34</v>
      </c>
      <c r="H248">
        <v>711.15</v>
      </c>
      <c r="I248">
        <v>24179.1</v>
      </c>
      <c r="J248">
        <v>16.5</v>
      </c>
      <c r="K248">
        <v>3868.66</v>
      </c>
      <c r="L248">
        <v>24058.21</v>
      </c>
      <c r="M248" t="s">
        <v>4232</v>
      </c>
      <c r="N248" t="s">
        <v>4233</v>
      </c>
      <c r="O248" t="s">
        <v>2432</v>
      </c>
      <c r="P248" t="s">
        <v>2515</v>
      </c>
      <c r="Q248" t="s">
        <v>4797</v>
      </c>
      <c r="R248" t="s">
        <v>3429</v>
      </c>
      <c r="S248" t="s">
        <v>3466</v>
      </c>
    </row>
    <row r="249" spans="1:19" hidden="1" x14ac:dyDescent="0.25">
      <c r="A249" t="s">
        <v>4798</v>
      </c>
      <c r="B249" t="s">
        <v>3196</v>
      </c>
      <c r="C249" t="s">
        <v>3580</v>
      </c>
      <c r="D249" t="s">
        <v>3883</v>
      </c>
      <c r="E249" t="s">
        <v>1722</v>
      </c>
      <c r="F249" t="s">
        <v>865</v>
      </c>
      <c r="G249">
        <v>36</v>
      </c>
      <c r="H249">
        <v>275.22000000000003</v>
      </c>
      <c r="I249">
        <v>9907.92</v>
      </c>
      <c r="J249">
        <v>14.4</v>
      </c>
      <c r="K249">
        <v>1585.27</v>
      </c>
      <c r="L249">
        <v>10066.450000000001</v>
      </c>
      <c r="M249" t="s">
        <v>4232</v>
      </c>
      <c r="N249" t="s">
        <v>4228</v>
      </c>
      <c r="O249" t="s">
        <v>2407</v>
      </c>
      <c r="P249" t="s">
        <v>2544</v>
      </c>
      <c r="Q249" t="s">
        <v>4799</v>
      </c>
      <c r="R249" t="s">
        <v>3425</v>
      </c>
      <c r="S249" t="s">
        <v>4235</v>
      </c>
    </row>
    <row r="250" spans="1:19" hidden="1" x14ac:dyDescent="0.25">
      <c r="A250" t="s">
        <v>4800</v>
      </c>
      <c r="B250" t="s">
        <v>2729</v>
      </c>
      <c r="C250" t="s">
        <v>2609</v>
      </c>
      <c r="D250" t="s">
        <v>3065</v>
      </c>
      <c r="E250" t="s">
        <v>2202</v>
      </c>
      <c r="F250" t="s">
        <v>490</v>
      </c>
      <c r="G250">
        <v>26</v>
      </c>
      <c r="H250">
        <v>832</v>
      </c>
      <c r="I250">
        <v>21632</v>
      </c>
      <c r="J250">
        <v>10.8</v>
      </c>
      <c r="K250">
        <v>3461.12</v>
      </c>
      <c r="L250">
        <v>22756.86</v>
      </c>
      <c r="M250" t="s">
        <v>3428</v>
      </c>
      <c r="N250" t="s">
        <v>1520</v>
      </c>
      <c r="O250" t="s">
        <v>2416</v>
      </c>
      <c r="P250" t="s">
        <v>2561</v>
      </c>
      <c r="Q250" t="s">
        <v>4801</v>
      </c>
      <c r="R250" t="s">
        <v>4275</v>
      </c>
      <c r="S250" t="s">
        <v>3466</v>
      </c>
    </row>
    <row r="251" spans="1:19" hidden="1" x14ac:dyDescent="0.25">
      <c r="A251" t="s">
        <v>4802</v>
      </c>
      <c r="B251" t="s">
        <v>3399</v>
      </c>
      <c r="C251" t="s">
        <v>3709</v>
      </c>
      <c r="D251" t="s">
        <v>3865</v>
      </c>
      <c r="E251" t="s">
        <v>2194</v>
      </c>
      <c r="F251" t="s">
        <v>535</v>
      </c>
      <c r="G251">
        <v>23</v>
      </c>
      <c r="H251">
        <v>164.05</v>
      </c>
      <c r="I251">
        <v>3773.15</v>
      </c>
      <c r="J251">
        <v>19.2</v>
      </c>
      <c r="K251">
        <v>603.70000000000005</v>
      </c>
      <c r="L251">
        <v>3652.41</v>
      </c>
      <c r="M251" t="s">
        <v>3442</v>
      </c>
      <c r="N251" t="s">
        <v>4243</v>
      </c>
      <c r="O251" t="s">
        <v>2376</v>
      </c>
      <c r="P251" t="s">
        <v>2551</v>
      </c>
      <c r="Q251" t="s">
        <v>4803</v>
      </c>
      <c r="R251" t="s">
        <v>4275</v>
      </c>
      <c r="S251" t="s">
        <v>4230</v>
      </c>
    </row>
    <row r="252" spans="1:19" hidden="1" x14ac:dyDescent="0.25">
      <c r="A252" t="s">
        <v>4804</v>
      </c>
      <c r="B252" t="s">
        <v>1964</v>
      </c>
      <c r="C252" t="s">
        <v>1964</v>
      </c>
      <c r="D252" t="s">
        <v>2781</v>
      </c>
      <c r="E252" t="s">
        <v>1619</v>
      </c>
      <c r="F252" t="s">
        <v>117</v>
      </c>
      <c r="G252">
        <v>32</v>
      </c>
      <c r="H252">
        <v>603.16</v>
      </c>
      <c r="I252">
        <v>19301.12</v>
      </c>
      <c r="J252">
        <v>6.2</v>
      </c>
      <c r="K252">
        <v>3088.18</v>
      </c>
      <c r="L252">
        <v>21192.63</v>
      </c>
      <c r="M252" t="s">
        <v>3442</v>
      </c>
      <c r="N252" t="s">
        <v>4233</v>
      </c>
      <c r="O252" t="s">
        <v>2388</v>
      </c>
      <c r="P252" t="s">
        <v>2491</v>
      </c>
      <c r="Q252" t="s">
        <v>4805</v>
      </c>
      <c r="R252" t="s">
        <v>3425</v>
      </c>
    </row>
    <row r="253" spans="1:19" hidden="1" x14ac:dyDescent="0.25">
      <c r="A253" t="s">
        <v>4806</v>
      </c>
      <c r="B253" t="s">
        <v>3918</v>
      </c>
      <c r="C253" t="s">
        <v>2777</v>
      </c>
      <c r="D253" t="s">
        <v>2854</v>
      </c>
      <c r="E253" t="s">
        <v>1881</v>
      </c>
      <c r="F253" t="s">
        <v>485</v>
      </c>
      <c r="G253">
        <v>46</v>
      </c>
      <c r="H253">
        <v>853.94</v>
      </c>
      <c r="I253">
        <v>39281.24</v>
      </c>
      <c r="J253">
        <v>13.6</v>
      </c>
      <c r="K253">
        <v>6285</v>
      </c>
      <c r="L253">
        <v>40223.99</v>
      </c>
      <c r="M253" t="s">
        <v>4247</v>
      </c>
      <c r="N253" t="s">
        <v>4233</v>
      </c>
      <c r="O253" t="s">
        <v>2432</v>
      </c>
      <c r="P253" t="s">
        <v>2561</v>
      </c>
      <c r="Q253" t="s">
        <v>4807</v>
      </c>
      <c r="R253" t="s">
        <v>3425</v>
      </c>
      <c r="S253" t="s">
        <v>4230</v>
      </c>
    </row>
    <row r="254" spans="1:19" hidden="1" x14ac:dyDescent="0.25">
      <c r="A254" t="s">
        <v>4808</v>
      </c>
      <c r="B254" t="s">
        <v>3959</v>
      </c>
      <c r="C254" t="s">
        <v>2716</v>
      </c>
      <c r="D254" t="s">
        <v>4068</v>
      </c>
      <c r="E254" t="s">
        <v>1812</v>
      </c>
      <c r="F254" t="s">
        <v>1005</v>
      </c>
      <c r="G254">
        <v>6</v>
      </c>
      <c r="H254">
        <v>646.07000000000005</v>
      </c>
      <c r="I254">
        <v>3876.42</v>
      </c>
      <c r="J254">
        <v>20</v>
      </c>
      <c r="K254">
        <v>620.23</v>
      </c>
      <c r="L254">
        <v>3721.37</v>
      </c>
      <c r="M254" t="s">
        <v>3428</v>
      </c>
      <c r="N254" t="s">
        <v>4248</v>
      </c>
      <c r="O254" t="s">
        <v>2456</v>
      </c>
      <c r="P254" t="s">
        <v>2525</v>
      </c>
      <c r="Q254" t="s">
        <v>4809</v>
      </c>
      <c r="R254" t="s">
        <v>3425</v>
      </c>
      <c r="S254" t="s">
        <v>4235</v>
      </c>
    </row>
    <row r="255" spans="1:19" x14ac:dyDescent="0.25">
      <c r="A255" t="s">
        <v>4810</v>
      </c>
      <c r="B255" s="2" t="s">
        <v>3205</v>
      </c>
      <c r="C255" t="s">
        <v>2696</v>
      </c>
      <c r="D255" t="s">
        <v>4664</v>
      </c>
      <c r="E255" t="s">
        <v>2344</v>
      </c>
      <c r="F255" t="s">
        <v>1010</v>
      </c>
      <c r="G255">
        <v>4</v>
      </c>
      <c r="H255">
        <v>163.15</v>
      </c>
      <c r="I255">
        <v>652.6</v>
      </c>
      <c r="J255">
        <v>2.2000000000000002</v>
      </c>
      <c r="K255">
        <v>104.42</v>
      </c>
      <c r="L255">
        <v>742.66</v>
      </c>
      <c r="M255" t="s">
        <v>4227</v>
      </c>
      <c r="N255" t="s">
        <v>4243</v>
      </c>
      <c r="O255" t="s">
        <v>2456</v>
      </c>
      <c r="P255" t="s">
        <v>2515</v>
      </c>
      <c r="Q255" t="s">
        <v>4811</v>
      </c>
      <c r="R255" t="s">
        <v>4245</v>
      </c>
      <c r="S255" t="s">
        <v>4292</v>
      </c>
    </row>
    <row r="256" spans="1:19" hidden="1" x14ac:dyDescent="0.25">
      <c r="A256" t="s">
        <v>4812</v>
      </c>
      <c r="B256" t="s">
        <v>2614</v>
      </c>
      <c r="C256" t="s">
        <v>3644</v>
      </c>
      <c r="D256" t="s">
        <v>2958</v>
      </c>
      <c r="E256" t="s">
        <v>1534</v>
      </c>
      <c r="F256" t="s">
        <v>744</v>
      </c>
      <c r="G256">
        <v>7</v>
      </c>
      <c r="H256">
        <v>711.99</v>
      </c>
      <c r="I256">
        <v>4983.93</v>
      </c>
      <c r="J256">
        <v>14.1</v>
      </c>
      <c r="K256">
        <v>797.43</v>
      </c>
      <c r="L256">
        <v>5078.63</v>
      </c>
      <c r="M256" t="s">
        <v>4232</v>
      </c>
      <c r="N256" t="s">
        <v>4233</v>
      </c>
      <c r="O256" t="s">
        <v>2425</v>
      </c>
      <c r="P256" t="s">
        <v>2561</v>
      </c>
      <c r="Q256" t="s">
        <v>4813</v>
      </c>
      <c r="R256" t="s">
        <v>3425</v>
      </c>
    </row>
    <row r="257" spans="1:19" hidden="1" x14ac:dyDescent="0.25">
      <c r="A257" t="s">
        <v>4814</v>
      </c>
      <c r="B257" t="s">
        <v>3533</v>
      </c>
      <c r="C257" t="s">
        <v>2961</v>
      </c>
      <c r="D257" t="s">
        <v>4645</v>
      </c>
      <c r="E257" t="s">
        <v>2245</v>
      </c>
      <c r="F257" t="s">
        <v>1076</v>
      </c>
      <c r="G257">
        <v>5</v>
      </c>
      <c r="H257">
        <v>138.52000000000001</v>
      </c>
      <c r="I257">
        <v>692.6</v>
      </c>
      <c r="J257">
        <v>19.7</v>
      </c>
      <c r="K257">
        <v>110.82</v>
      </c>
      <c r="L257">
        <v>666.98</v>
      </c>
      <c r="M257" t="s">
        <v>4238</v>
      </c>
      <c r="N257" t="s">
        <v>4243</v>
      </c>
      <c r="O257" t="s">
        <v>2376</v>
      </c>
      <c r="P257" t="s">
        <v>2506</v>
      </c>
      <c r="Q257" t="s">
        <v>4815</v>
      </c>
      <c r="R257" t="s">
        <v>3425</v>
      </c>
      <c r="S257" t="s">
        <v>4292</v>
      </c>
    </row>
    <row r="258" spans="1:19" hidden="1" x14ac:dyDescent="0.25">
      <c r="A258" t="s">
        <v>4816</v>
      </c>
      <c r="B258" t="s">
        <v>3572</v>
      </c>
      <c r="C258" t="s">
        <v>3661</v>
      </c>
      <c r="D258" t="s">
        <v>3661</v>
      </c>
      <c r="E258" t="s">
        <v>1899</v>
      </c>
      <c r="F258" t="s">
        <v>258</v>
      </c>
      <c r="G258">
        <v>3</v>
      </c>
      <c r="H258">
        <v>802.63</v>
      </c>
      <c r="I258">
        <v>2407.89</v>
      </c>
      <c r="J258">
        <v>8.6</v>
      </c>
      <c r="K258">
        <v>385.26</v>
      </c>
      <c r="L258">
        <v>2586.0700000000002</v>
      </c>
      <c r="M258" t="s">
        <v>4257</v>
      </c>
      <c r="N258" t="s">
        <v>4228</v>
      </c>
      <c r="O258" t="s">
        <v>2416</v>
      </c>
      <c r="P258" t="s">
        <v>2554</v>
      </c>
      <c r="Q258" t="s">
        <v>4817</v>
      </c>
      <c r="R258" t="s">
        <v>3425</v>
      </c>
      <c r="S258" t="s">
        <v>4230</v>
      </c>
    </row>
    <row r="259" spans="1:19" hidden="1" x14ac:dyDescent="0.25">
      <c r="A259" t="s">
        <v>4818</v>
      </c>
      <c r="B259" t="s">
        <v>4048</v>
      </c>
      <c r="C259" t="s">
        <v>4208</v>
      </c>
      <c r="D259" t="s">
        <v>4009</v>
      </c>
      <c r="E259" t="s">
        <v>1899</v>
      </c>
      <c r="F259" t="s">
        <v>1086</v>
      </c>
      <c r="G259">
        <v>49</v>
      </c>
      <c r="H259">
        <v>294.89999999999998</v>
      </c>
      <c r="I259">
        <v>14450.1</v>
      </c>
      <c r="J259">
        <v>7.5</v>
      </c>
      <c r="K259">
        <v>2312.02</v>
      </c>
      <c r="L259">
        <v>15678.36</v>
      </c>
      <c r="M259" t="s">
        <v>4257</v>
      </c>
      <c r="N259" t="s">
        <v>4248</v>
      </c>
      <c r="O259" t="s">
        <v>2432</v>
      </c>
      <c r="P259" t="s">
        <v>2486</v>
      </c>
      <c r="Q259" t="s">
        <v>4819</v>
      </c>
      <c r="R259" t="s">
        <v>3429</v>
      </c>
      <c r="S259" t="s">
        <v>3466</v>
      </c>
    </row>
    <row r="260" spans="1:19" hidden="1" x14ac:dyDescent="0.25">
      <c r="A260" t="s">
        <v>4820</v>
      </c>
      <c r="B260" t="s">
        <v>3937</v>
      </c>
      <c r="C260" t="s">
        <v>3937</v>
      </c>
      <c r="D260" t="s">
        <v>1863</v>
      </c>
      <c r="E260" t="s">
        <v>2135</v>
      </c>
      <c r="F260" t="s">
        <v>850</v>
      </c>
      <c r="G260">
        <v>1</v>
      </c>
      <c r="H260">
        <v>615.29999999999995</v>
      </c>
      <c r="I260">
        <v>615.29999999999995</v>
      </c>
      <c r="J260">
        <v>8</v>
      </c>
      <c r="K260">
        <v>98.45</v>
      </c>
      <c r="L260">
        <v>664.53</v>
      </c>
      <c r="M260" t="s">
        <v>4232</v>
      </c>
      <c r="N260" t="s">
        <v>1520</v>
      </c>
      <c r="O260" t="s">
        <v>2440</v>
      </c>
      <c r="P260" t="s">
        <v>2538</v>
      </c>
      <c r="Q260" t="s">
        <v>4821</v>
      </c>
      <c r="R260" t="s">
        <v>3425</v>
      </c>
      <c r="S260" t="s">
        <v>3466</v>
      </c>
    </row>
    <row r="261" spans="1:19" hidden="1" x14ac:dyDescent="0.25">
      <c r="A261" t="s">
        <v>4822</v>
      </c>
      <c r="B261" t="s">
        <v>3182</v>
      </c>
      <c r="C261" t="s">
        <v>3021</v>
      </c>
      <c r="D261" t="s">
        <v>2943</v>
      </c>
      <c r="E261" t="s">
        <v>2068</v>
      </c>
      <c r="F261" t="s">
        <v>448</v>
      </c>
      <c r="G261">
        <v>45</v>
      </c>
      <c r="H261">
        <v>644.16999999999996</v>
      </c>
      <c r="I261">
        <v>28987.65</v>
      </c>
      <c r="J261">
        <v>14.3</v>
      </c>
      <c r="K261">
        <v>4638.0200000000004</v>
      </c>
      <c r="L261">
        <v>29480.44</v>
      </c>
      <c r="M261" t="s">
        <v>4238</v>
      </c>
      <c r="N261" t="s">
        <v>4248</v>
      </c>
      <c r="O261" t="s">
        <v>2416</v>
      </c>
      <c r="P261" t="s">
        <v>2548</v>
      </c>
      <c r="Q261" t="s">
        <v>4823</v>
      </c>
      <c r="R261" t="s">
        <v>3425</v>
      </c>
    </row>
    <row r="262" spans="1:19" x14ac:dyDescent="0.25">
      <c r="A262" t="s">
        <v>4824</v>
      </c>
      <c r="B262" s="2" t="s">
        <v>2494</v>
      </c>
      <c r="C262" t="s">
        <v>4038</v>
      </c>
      <c r="D262" t="s">
        <v>4540</v>
      </c>
      <c r="E262" t="s">
        <v>1475</v>
      </c>
      <c r="F262" t="s">
        <v>611</v>
      </c>
      <c r="G262">
        <v>32</v>
      </c>
      <c r="H262">
        <v>466.78</v>
      </c>
      <c r="I262">
        <v>14936.96</v>
      </c>
      <c r="J262">
        <v>15.2</v>
      </c>
      <c r="K262">
        <v>2389.91</v>
      </c>
      <c r="L262">
        <v>15056.45</v>
      </c>
      <c r="M262" t="s">
        <v>4257</v>
      </c>
      <c r="N262" t="s">
        <v>1121</v>
      </c>
      <c r="O262" t="s">
        <v>2398</v>
      </c>
      <c r="P262" t="s">
        <v>2554</v>
      </c>
      <c r="Q262" t="s">
        <v>4825</v>
      </c>
      <c r="R262" t="s">
        <v>4245</v>
      </c>
    </row>
    <row r="263" spans="1:19" hidden="1" x14ac:dyDescent="0.25">
      <c r="A263" t="s">
        <v>4826</v>
      </c>
      <c r="B263" t="s">
        <v>3366</v>
      </c>
      <c r="C263" t="s">
        <v>3366</v>
      </c>
      <c r="D263" t="s">
        <v>2252</v>
      </c>
      <c r="E263" t="s">
        <v>1932</v>
      </c>
      <c r="F263" t="s">
        <v>510</v>
      </c>
      <c r="G263">
        <v>17</v>
      </c>
      <c r="H263">
        <v>204.01</v>
      </c>
      <c r="I263">
        <v>3468.17</v>
      </c>
      <c r="J263">
        <v>7.8</v>
      </c>
      <c r="K263">
        <v>554.91</v>
      </c>
      <c r="L263">
        <v>3752.56</v>
      </c>
      <c r="M263" t="s">
        <v>4232</v>
      </c>
      <c r="N263" t="s">
        <v>4248</v>
      </c>
      <c r="O263" t="s">
        <v>2398</v>
      </c>
      <c r="P263" t="s">
        <v>2548</v>
      </c>
      <c r="Q263" t="s">
        <v>4827</v>
      </c>
      <c r="R263" t="s">
        <v>3425</v>
      </c>
    </row>
    <row r="264" spans="1:19" hidden="1" x14ac:dyDescent="0.25">
      <c r="A264" t="s">
        <v>4828</v>
      </c>
      <c r="B264" t="s">
        <v>4829</v>
      </c>
      <c r="C264" t="s">
        <v>4829</v>
      </c>
      <c r="D264" t="s">
        <v>4422</v>
      </c>
      <c r="E264" t="s">
        <v>1757</v>
      </c>
      <c r="F264" t="s">
        <v>384</v>
      </c>
      <c r="G264">
        <v>20</v>
      </c>
      <c r="H264">
        <v>364.82</v>
      </c>
      <c r="I264">
        <v>7296.4</v>
      </c>
      <c r="J264">
        <v>1.9</v>
      </c>
      <c r="K264">
        <v>1167.42</v>
      </c>
      <c r="L264">
        <v>8325.19</v>
      </c>
      <c r="M264" t="s">
        <v>4257</v>
      </c>
      <c r="N264" t="s">
        <v>4243</v>
      </c>
      <c r="O264" t="s">
        <v>2432</v>
      </c>
      <c r="P264" t="s">
        <v>2558</v>
      </c>
      <c r="Q264" t="s">
        <v>4830</v>
      </c>
      <c r="R264" t="s">
        <v>3425</v>
      </c>
    </row>
    <row r="265" spans="1:19" hidden="1" x14ac:dyDescent="0.25">
      <c r="A265" t="s">
        <v>4831</v>
      </c>
      <c r="B265" t="s">
        <v>3580</v>
      </c>
      <c r="C265" t="s">
        <v>2972</v>
      </c>
      <c r="D265" t="s">
        <v>2972</v>
      </c>
      <c r="E265" t="s">
        <v>2211</v>
      </c>
      <c r="F265" t="s">
        <v>1091</v>
      </c>
      <c r="G265">
        <v>35</v>
      </c>
      <c r="H265">
        <v>544.63</v>
      </c>
      <c r="I265">
        <v>19062.05</v>
      </c>
      <c r="J265">
        <v>8.3000000000000007</v>
      </c>
      <c r="K265">
        <v>3049.93</v>
      </c>
      <c r="L265">
        <v>20529.830000000002</v>
      </c>
      <c r="M265" t="s">
        <v>3442</v>
      </c>
      <c r="N265" t="s">
        <v>4233</v>
      </c>
      <c r="O265" t="s">
        <v>2388</v>
      </c>
      <c r="P265" t="s">
        <v>2527</v>
      </c>
      <c r="Q265" t="s">
        <v>4832</v>
      </c>
      <c r="R265" t="s">
        <v>3425</v>
      </c>
    </row>
    <row r="266" spans="1:19" hidden="1" x14ac:dyDescent="0.25">
      <c r="A266" t="s">
        <v>4833</v>
      </c>
      <c r="B266" t="s">
        <v>3315</v>
      </c>
      <c r="C266" t="s">
        <v>3119</v>
      </c>
      <c r="D266" t="s">
        <v>2883</v>
      </c>
      <c r="E266" t="s">
        <v>2185</v>
      </c>
      <c r="F266" t="s">
        <v>38</v>
      </c>
      <c r="G266">
        <v>19</v>
      </c>
      <c r="H266">
        <v>817.11</v>
      </c>
      <c r="I266">
        <v>15525.09</v>
      </c>
      <c r="J266">
        <v>6.7</v>
      </c>
      <c r="K266">
        <v>2484.0100000000002</v>
      </c>
      <c r="L266">
        <v>16968.919999999998</v>
      </c>
      <c r="M266" t="s">
        <v>4232</v>
      </c>
      <c r="N266" t="s">
        <v>4228</v>
      </c>
      <c r="O266" t="s">
        <v>2449</v>
      </c>
      <c r="P266" t="s">
        <v>2535</v>
      </c>
      <c r="Q266" t="s">
        <v>4834</v>
      </c>
      <c r="R266" t="s">
        <v>3425</v>
      </c>
      <c r="S266" t="s">
        <v>4235</v>
      </c>
    </row>
    <row r="267" spans="1:19" hidden="1" x14ac:dyDescent="0.25">
      <c r="A267" t="s">
        <v>4835</v>
      </c>
      <c r="B267" t="s">
        <v>3152</v>
      </c>
      <c r="C267" t="s">
        <v>4059</v>
      </c>
      <c r="D267" t="s">
        <v>3196</v>
      </c>
      <c r="E267" t="s">
        <v>1855</v>
      </c>
      <c r="F267" t="s">
        <v>311</v>
      </c>
      <c r="G267">
        <v>26</v>
      </c>
      <c r="H267">
        <v>137.13999999999999</v>
      </c>
      <c r="I267">
        <v>3565.64</v>
      </c>
      <c r="J267">
        <v>19.100000000000001</v>
      </c>
      <c r="K267">
        <v>570.5</v>
      </c>
      <c r="L267">
        <v>3455.1</v>
      </c>
      <c r="M267" t="s">
        <v>4238</v>
      </c>
      <c r="N267" t="s">
        <v>1121</v>
      </c>
      <c r="O267" t="s">
        <v>2376</v>
      </c>
      <c r="P267" t="s">
        <v>2561</v>
      </c>
      <c r="Q267" t="s">
        <v>4836</v>
      </c>
      <c r="R267" t="s">
        <v>4275</v>
      </c>
      <c r="S267" t="s">
        <v>4230</v>
      </c>
    </row>
    <row r="268" spans="1:19" hidden="1" x14ac:dyDescent="0.25">
      <c r="A268" t="s">
        <v>4837</v>
      </c>
      <c r="B268" t="s">
        <v>4422</v>
      </c>
      <c r="C268" t="s">
        <v>3640</v>
      </c>
      <c r="D268" t="s">
        <v>3640</v>
      </c>
      <c r="E268" t="s">
        <v>2085</v>
      </c>
      <c r="F268" t="s">
        <v>337</v>
      </c>
      <c r="G268">
        <v>5</v>
      </c>
      <c r="H268">
        <v>304.67</v>
      </c>
      <c r="I268">
        <v>1523.35</v>
      </c>
      <c r="J268">
        <v>19.7</v>
      </c>
      <c r="K268">
        <v>243.74</v>
      </c>
      <c r="L268">
        <v>1466.99</v>
      </c>
      <c r="M268" t="s">
        <v>3428</v>
      </c>
      <c r="N268" t="s">
        <v>4233</v>
      </c>
      <c r="O268" t="s">
        <v>2388</v>
      </c>
      <c r="P268" t="s">
        <v>2525</v>
      </c>
      <c r="Q268" t="s">
        <v>4838</v>
      </c>
      <c r="R268" t="s">
        <v>3425</v>
      </c>
    </row>
    <row r="269" spans="1:19" hidden="1" x14ac:dyDescent="0.25">
      <c r="A269" t="s">
        <v>4839</v>
      </c>
      <c r="B269" t="s">
        <v>3834</v>
      </c>
      <c r="C269" t="s">
        <v>4174</v>
      </c>
      <c r="D269" t="s">
        <v>4548</v>
      </c>
      <c r="E269" t="s">
        <v>1713</v>
      </c>
      <c r="F269" t="s">
        <v>343</v>
      </c>
      <c r="G269">
        <v>28</v>
      </c>
      <c r="H269">
        <v>660.34</v>
      </c>
      <c r="I269">
        <v>18489.52</v>
      </c>
      <c r="J269">
        <v>3.4</v>
      </c>
      <c r="K269">
        <v>2958.32</v>
      </c>
      <c r="L269">
        <v>20819.2</v>
      </c>
      <c r="M269" t="s">
        <v>4227</v>
      </c>
      <c r="N269" t="s">
        <v>4228</v>
      </c>
      <c r="O269" t="s">
        <v>2388</v>
      </c>
      <c r="P269" t="s">
        <v>2541</v>
      </c>
      <c r="Q269" t="s">
        <v>4840</v>
      </c>
      <c r="R269" t="s">
        <v>4275</v>
      </c>
    </row>
    <row r="270" spans="1:19" x14ac:dyDescent="0.25">
      <c r="A270" t="s">
        <v>4841</v>
      </c>
      <c r="B270" s="2" t="s">
        <v>3875</v>
      </c>
      <c r="C270" t="s">
        <v>3633</v>
      </c>
      <c r="D270" t="s">
        <v>3592</v>
      </c>
      <c r="E270" t="s">
        <v>1990</v>
      </c>
      <c r="F270" t="s">
        <v>228</v>
      </c>
      <c r="G270">
        <v>50</v>
      </c>
      <c r="H270">
        <v>189.65</v>
      </c>
      <c r="I270">
        <v>9482.5</v>
      </c>
      <c r="J270">
        <v>8.6999999999999993</v>
      </c>
      <c r="K270">
        <v>1517.2</v>
      </c>
      <c r="L270">
        <v>10174.719999999999</v>
      </c>
      <c r="M270" t="s">
        <v>4232</v>
      </c>
      <c r="N270" t="s">
        <v>4228</v>
      </c>
      <c r="O270" t="s">
        <v>2388</v>
      </c>
      <c r="P270" t="s">
        <v>2564</v>
      </c>
      <c r="Q270" t="s">
        <v>4842</v>
      </c>
      <c r="R270" t="s">
        <v>4245</v>
      </c>
    </row>
    <row r="271" spans="1:19" hidden="1" x14ac:dyDescent="0.25">
      <c r="A271" t="s">
        <v>4843</v>
      </c>
      <c r="B271" t="s">
        <v>3497</v>
      </c>
      <c r="C271" t="s">
        <v>3497</v>
      </c>
      <c r="D271" t="s">
        <v>3678</v>
      </c>
      <c r="E271" t="s">
        <v>2287</v>
      </c>
      <c r="F271" t="s">
        <v>995</v>
      </c>
      <c r="G271">
        <v>7</v>
      </c>
      <c r="H271">
        <v>405.38</v>
      </c>
      <c r="I271">
        <v>2837.66</v>
      </c>
      <c r="J271">
        <v>10.3</v>
      </c>
      <c r="K271">
        <v>454.03</v>
      </c>
      <c r="L271">
        <v>2999.41</v>
      </c>
      <c r="M271" t="s">
        <v>4238</v>
      </c>
      <c r="N271" t="s">
        <v>4248</v>
      </c>
      <c r="O271" t="s">
        <v>2407</v>
      </c>
      <c r="P271" t="s">
        <v>2538</v>
      </c>
      <c r="Q271" t="s">
        <v>4844</v>
      </c>
      <c r="R271" t="s">
        <v>3429</v>
      </c>
    </row>
    <row r="272" spans="1:19" x14ac:dyDescent="0.25">
      <c r="A272" t="s">
        <v>4845</v>
      </c>
      <c r="B272" s="2" t="s">
        <v>3465</v>
      </c>
      <c r="C272" t="s">
        <v>3652</v>
      </c>
      <c r="D272" t="s">
        <v>3069</v>
      </c>
      <c r="E272" t="s">
        <v>2076</v>
      </c>
      <c r="F272" t="s">
        <v>855</v>
      </c>
      <c r="G272">
        <v>31</v>
      </c>
      <c r="H272">
        <v>819.37</v>
      </c>
      <c r="I272">
        <v>25400.47</v>
      </c>
      <c r="J272">
        <v>16.100000000000001</v>
      </c>
      <c r="K272">
        <v>4064.08</v>
      </c>
      <c r="L272">
        <v>25375.07</v>
      </c>
      <c r="M272" t="s">
        <v>4227</v>
      </c>
      <c r="N272" t="s">
        <v>4233</v>
      </c>
      <c r="O272" t="s">
        <v>2388</v>
      </c>
      <c r="P272" t="s">
        <v>2541</v>
      </c>
      <c r="Q272" t="s">
        <v>4846</v>
      </c>
      <c r="R272" t="s">
        <v>4245</v>
      </c>
    </row>
    <row r="273" spans="1:19" hidden="1" x14ac:dyDescent="0.25">
      <c r="A273" t="s">
        <v>4847</v>
      </c>
      <c r="B273" t="s">
        <v>3504</v>
      </c>
      <c r="C273" t="s">
        <v>3633</v>
      </c>
      <c r="D273" t="s">
        <v>3662</v>
      </c>
      <c r="E273" t="s">
        <v>1475</v>
      </c>
      <c r="F273" t="s">
        <v>139</v>
      </c>
      <c r="G273">
        <v>12</v>
      </c>
      <c r="H273">
        <v>540.96</v>
      </c>
      <c r="I273">
        <v>6491.52</v>
      </c>
      <c r="J273">
        <v>12.3</v>
      </c>
      <c r="K273">
        <v>1038.6400000000001</v>
      </c>
      <c r="L273">
        <v>6731.7</v>
      </c>
      <c r="M273" t="s">
        <v>4238</v>
      </c>
      <c r="N273" t="s">
        <v>1121</v>
      </c>
      <c r="O273" t="s">
        <v>2398</v>
      </c>
      <c r="P273" t="s">
        <v>2558</v>
      </c>
      <c r="Q273" t="s">
        <v>4848</v>
      </c>
      <c r="R273" t="s">
        <v>3425</v>
      </c>
      <c r="S273" t="s">
        <v>4292</v>
      </c>
    </row>
    <row r="274" spans="1:19" hidden="1" x14ac:dyDescent="0.25">
      <c r="A274" t="s">
        <v>4849</v>
      </c>
      <c r="B274" t="s">
        <v>2839</v>
      </c>
      <c r="C274" t="s">
        <v>2936</v>
      </c>
      <c r="D274" t="s">
        <v>3507</v>
      </c>
      <c r="E274" t="s">
        <v>1599</v>
      </c>
      <c r="F274" t="s">
        <v>463</v>
      </c>
      <c r="G274">
        <v>18</v>
      </c>
      <c r="H274">
        <v>489.82</v>
      </c>
      <c r="I274">
        <v>8816.76</v>
      </c>
      <c r="J274">
        <v>5.6</v>
      </c>
      <c r="K274">
        <v>1410.68</v>
      </c>
      <c r="L274">
        <v>9733.7000000000007</v>
      </c>
      <c r="M274" t="s">
        <v>4247</v>
      </c>
      <c r="N274" t="s">
        <v>4228</v>
      </c>
      <c r="O274" t="s">
        <v>2388</v>
      </c>
      <c r="P274" t="s">
        <v>2486</v>
      </c>
      <c r="Q274" t="s">
        <v>4850</v>
      </c>
      <c r="R274" t="s">
        <v>3425</v>
      </c>
    </row>
    <row r="275" spans="1:19" hidden="1" x14ac:dyDescent="0.25">
      <c r="A275" t="s">
        <v>4851</v>
      </c>
      <c r="B275" t="s">
        <v>3749</v>
      </c>
      <c r="C275" t="s">
        <v>3553</v>
      </c>
      <c r="D275" t="s">
        <v>4031</v>
      </c>
      <c r="E275" t="s">
        <v>1650</v>
      </c>
      <c r="F275" t="s">
        <v>109</v>
      </c>
      <c r="G275">
        <v>41</v>
      </c>
      <c r="H275">
        <v>266.29000000000002</v>
      </c>
      <c r="I275">
        <v>10917.89</v>
      </c>
      <c r="J275">
        <v>1</v>
      </c>
      <c r="K275">
        <v>1746.86</v>
      </c>
      <c r="L275">
        <v>12555.57</v>
      </c>
      <c r="M275" t="s">
        <v>4238</v>
      </c>
      <c r="N275" t="s">
        <v>1121</v>
      </c>
      <c r="O275" t="s">
        <v>2398</v>
      </c>
      <c r="P275" t="s">
        <v>2561</v>
      </c>
      <c r="Q275" t="s">
        <v>4852</v>
      </c>
      <c r="R275" t="s">
        <v>4275</v>
      </c>
    </row>
    <row r="276" spans="1:19" hidden="1" x14ac:dyDescent="0.25">
      <c r="A276" t="s">
        <v>4853</v>
      </c>
      <c r="B276" t="s">
        <v>4156</v>
      </c>
      <c r="C276" t="s">
        <v>3847</v>
      </c>
      <c r="D276" t="s">
        <v>4442</v>
      </c>
      <c r="E276" t="s">
        <v>2278</v>
      </c>
      <c r="F276" t="s">
        <v>221</v>
      </c>
      <c r="G276">
        <v>16</v>
      </c>
      <c r="H276">
        <v>398.34</v>
      </c>
      <c r="I276">
        <v>6373.44</v>
      </c>
      <c r="J276">
        <v>3.9</v>
      </c>
      <c r="K276">
        <v>1019.75</v>
      </c>
      <c r="L276">
        <v>7144.63</v>
      </c>
      <c r="M276" t="s">
        <v>4257</v>
      </c>
      <c r="N276" t="s">
        <v>1520</v>
      </c>
      <c r="O276" t="s">
        <v>2425</v>
      </c>
      <c r="P276" t="s">
        <v>2481</v>
      </c>
      <c r="Q276" t="s">
        <v>4854</v>
      </c>
      <c r="R276" t="s">
        <v>3429</v>
      </c>
    </row>
    <row r="277" spans="1:19" hidden="1" x14ac:dyDescent="0.25">
      <c r="A277" t="s">
        <v>4855</v>
      </c>
      <c r="B277" t="s">
        <v>3854</v>
      </c>
      <c r="C277" t="s">
        <v>3088</v>
      </c>
      <c r="D277" t="s">
        <v>2863</v>
      </c>
      <c r="E277" t="s">
        <v>1475</v>
      </c>
      <c r="F277" t="s">
        <v>985</v>
      </c>
      <c r="G277">
        <v>4</v>
      </c>
      <c r="H277">
        <v>375.55</v>
      </c>
      <c r="I277">
        <v>1502.2</v>
      </c>
      <c r="J277">
        <v>15.9</v>
      </c>
      <c r="K277">
        <v>240.35</v>
      </c>
      <c r="L277">
        <v>1503.7</v>
      </c>
      <c r="M277" t="s">
        <v>3428</v>
      </c>
      <c r="N277" t="s">
        <v>4248</v>
      </c>
      <c r="O277" t="s">
        <v>2432</v>
      </c>
      <c r="P277" t="s">
        <v>2548</v>
      </c>
      <c r="Q277" t="s">
        <v>4856</v>
      </c>
      <c r="R277" t="s">
        <v>3425</v>
      </c>
    </row>
    <row r="278" spans="1:19" hidden="1" x14ac:dyDescent="0.25">
      <c r="A278" t="s">
        <v>4857</v>
      </c>
      <c r="B278" t="s">
        <v>2988</v>
      </c>
      <c r="C278" t="s">
        <v>2988</v>
      </c>
      <c r="D278" t="s">
        <v>3226</v>
      </c>
      <c r="E278" t="s">
        <v>2262</v>
      </c>
      <c r="F278" t="s">
        <v>77</v>
      </c>
      <c r="G278">
        <v>42</v>
      </c>
      <c r="H278">
        <v>229.52</v>
      </c>
      <c r="I278">
        <v>9639.84</v>
      </c>
      <c r="J278">
        <v>12</v>
      </c>
      <c r="K278">
        <v>1542.37</v>
      </c>
      <c r="L278">
        <v>10025.43</v>
      </c>
      <c r="M278" t="s">
        <v>4227</v>
      </c>
      <c r="N278" t="s">
        <v>1520</v>
      </c>
      <c r="O278" t="s">
        <v>2456</v>
      </c>
      <c r="P278" t="s">
        <v>2481</v>
      </c>
      <c r="Q278" t="s">
        <v>4858</v>
      </c>
      <c r="R278" t="s">
        <v>3425</v>
      </c>
    </row>
    <row r="279" spans="1:19" x14ac:dyDescent="0.25">
      <c r="A279" t="s">
        <v>4859</v>
      </c>
      <c r="B279" s="2" t="s">
        <v>4612</v>
      </c>
      <c r="C279" t="s">
        <v>4169</v>
      </c>
      <c r="D279" t="s">
        <v>4569</v>
      </c>
      <c r="E279" t="s">
        <v>1803</v>
      </c>
      <c r="F279" t="s">
        <v>420</v>
      </c>
      <c r="G279">
        <v>48</v>
      </c>
      <c r="H279">
        <v>532.97</v>
      </c>
      <c r="I279">
        <v>25582.560000000001</v>
      </c>
      <c r="J279">
        <v>5.5</v>
      </c>
      <c r="K279">
        <v>4093.21</v>
      </c>
      <c r="L279">
        <v>28268.73</v>
      </c>
      <c r="M279" t="s">
        <v>3442</v>
      </c>
      <c r="N279" t="s">
        <v>1121</v>
      </c>
      <c r="O279" t="s">
        <v>2456</v>
      </c>
      <c r="P279" t="s">
        <v>2486</v>
      </c>
      <c r="Q279" t="s">
        <v>4860</v>
      </c>
      <c r="R279" t="s">
        <v>4245</v>
      </c>
    </row>
    <row r="280" spans="1:19" hidden="1" x14ac:dyDescent="0.25">
      <c r="A280" t="s">
        <v>4861</v>
      </c>
      <c r="B280" t="s">
        <v>2820</v>
      </c>
      <c r="C280" t="s">
        <v>2134</v>
      </c>
      <c r="D280" t="s">
        <v>3253</v>
      </c>
      <c r="E280" t="s">
        <v>2068</v>
      </c>
      <c r="F280" t="s">
        <v>146</v>
      </c>
      <c r="G280">
        <v>24</v>
      </c>
      <c r="H280">
        <v>424.69</v>
      </c>
      <c r="I280">
        <v>10192.56</v>
      </c>
      <c r="J280">
        <v>17.7</v>
      </c>
      <c r="K280">
        <v>1630.81</v>
      </c>
      <c r="L280">
        <v>10019.290000000001</v>
      </c>
      <c r="M280" t="s">
        <v>4238</v>
      </c>
      <c r="N280" t="s">
        <v>4233</v>
      </c>
      <c r="O280" t="s">
        <v>2432</v>
      </c>
      <c r="P280" t="s">
        <v>2512</v>
      </c>
      <c r="Q280" t="s">
        <v>4862</v>
      </c>
      <c r="R280" t="s">
        <v>3425</v>
      </c>
    </row>
    <row r="281" spans="1:19" hidden="1" x14ac:dyDescent="0.25">
      <c r="A281" t="s">
        <v>4863</v>
      </c>
      <c r="B281" t="s">
        <v>4864</v>
      </c>
      <c r="C281" t="s">
        <v>3616</v>
      </c>
      <c r="D281" t="s">
        <v>3536</v>
      </c>
      <c r="E281" t="s">
        <v>2144</v>
      </c>
      <c r="F281" t="s">
        <v>769</v>
      </c>
      <c r="G281">
        <v>26</v>
      </c>
      <c r="H281">
        <v>389.64</v>
      </c>
      <c r="I281">
        <v>10130.64</v>
      </c>
      <c r="J281">
        <v>1.2</v>
      </c>
      <c r="K281">
        <v>1620.9</v>
      </c>
      <c r="L281">
        <v>11629.97</v>
      </c>
      <c r="M281" t="s">
        <v>4238</v>
      </c>
      <c r="N281" t="s">
        <v>4248</v>
      </c>
      <c r="O281" t="s">
        <v>2416</v>
      </c>
      <c r="P281" t="s">
        <v>2554</v>
      </c>
      <c r="Q281" t="s">
        <v>4865</v>
      </c>
      <c r="R281" t="s">
        <v>3429</v>
      </c>
      <c r="S281" t="s">
        <v>4235</v>
      </c>
    </row>
    <row r="282" spans="1:19" hidden="1" x14ac:dyDescent="0.25">
      <c r="A282" t="s">
        <v>4866</v>
      </c>
      <c r="B282" t="s">
        <v>1828</v>
      </c>
      <c r="C282" t="s">
        <v>2943</v>
      </c>
      <c r="D282" t="s">
        <v>3854</v>
      </c>
      <c r="E282" t="s">
        <v>1731</v>
      </c>
      <c r="F282" t="s">
        <v>990</v>
      </c>
      <c r="G282">
        <v>20</v>
      </c>
      <c r="H282">
        <v>583.73</v>
      </c>
      <c r="I282">
        <v>11674.6</v>
      </c>
      <c r="J282">
        <v>3.8</v>
      </c>
      <c r="K282">
        <v>1867.94</v>
      </c>
      <c r="L282">
        <v>13098.91</v>
      </c>
      <c r="M282" t="s">
        <v>4257</v>
      </c>
      <c r="N282" t="s">
        <v>4248</v>
      </c>
      <c r="O282" t="s">
        <v>2456</v>
      </c>
      <c r="P282" t="s">
        <v>2527</v>
      </c>
      <c r="Q282" t="s">
        <v>4867</v>
      </c>
      <c r="R282" t="s">
        <v>3425</v>
      </c>
    </row>
    <row r="283" spans="1:19" hidden="1" x14ac:dyDescent="0.25">
      <c r="A283" t="s">
        <v>4868</v>
      </c>
      <c r="B283" t="s">
        <v>1989</v>
      </c>
      <c r="C283" t="s">
        <v>3305</v>
      </c>
      <c r="D283" t="s">
        <v>3761</v>
      </c>
      <c r="E283" t="s">
        <v>1696</v>
      </c>
      <c r="F283" t="s">
        <v>601</v>
      </c>
      <c r="G283">
        <v>9</v>
      </c>
      <c r="H283">
        <v>447.07</v>
      </c>
      <c r="I283">
        <v>4023.63</v>
      </c>
      <c r="J283">
        <v>16.7</v>
      </c>
      <c r="K283">
        <v>643.78</v>
      </c>
      <c r="L283">
        <v>3995.46</v>
      </c>
      <c r="M283" t="s">
        <v>4227</v>
      </c>
      <c r="N283" t="s">
        <v>1121</v>
      </c>
      <c r="O283" t="s">
        <v>2432</v>
      </c>
      <c r="P283" t="s">
        <v>2558</v>
      </c>
      <c r="Q283" t="s">
        <v>4869</v>
      </c>
      <c r="R283" t="s">
        <v>3434</v>
      </c>
    </row>
    <row r="284" spans="1:19" hidden="1" x14ac:dyDescent="0.25">
      <c r="A284" t="s">
        <v>4870</v>
      </c>
      <c r="B284" t="s">
        <v>3079</v>
      </c>
      <c r="C284" t="s">
        <v>2781</v>
      </c>
      <c r="D284" t="s">
        <v>2682</v>
      </c>
      <c r="E284" t="s">
        <v>1608</v>
      </c>
      <c r="F284" t="s">
        <v>980</v>
      </c>
      <c r="G284">
        <v>33</v>
      </c>
      <c r="H284">
        <v>780.12</v>
      </c>
      <c r="I284">
        <v>25743.96</v>
      </c>
      <c r="J284">
        <v>12.7</v>
      </c>
      <c r="K284">
        <v>4119.03</v>
      </c>
      <c r="L284">
        <v>26593.51</v>
      </c>
      <c r="M284" t="s">
        <v>4247</v>
      </c>
      <c r="N284" t="s">
        <v>4228</v>
      </c>
      <c r="O284" t="s">
        <v>2388</v>
      </c>
      <c r="P284" t="s">
        <v>2564</v>
      </c>
      <c r="Q284" t="s">
        <v>4871</v>
      </c>
      <c r="R284" t="s">
        <v>3425</v>
      </c>
      <c r="S284" t="s">
        <v>4292</v>
      </c>
    </row>
    <row r="285" spans="1:19" hidden="1" x14ac:dyDescent="0.25">
      <c r="A285" t="s">
        <v>4872</v>
      </c>
      <c r="B285" t="s">
        <v>3462</v>
      </c>
      <c r="C285" t="s">
        <v>3313</v>
      </c>
      <c r="D285" t="s">
        <v>3530</v>
      </c>
      <c r="E285" t="s">
        <v>2295</v>
      </c>
      <c r="F285" t="s">
        <v>192</v>
      </c>
      <c r="G285">
        <v>43</v>
      </c>
      <c r="H285">
        <v>580.63</v>
      </c>
      <c r="I285">
        <v>24967.09</v>
      </c>
      <c r="J285">
        <v>13.7</v>
      </c>
      <c r="K285">
        <v>3994.73</v>
      </c>
      <c r="L285">
        <v>25541.33</v>
      </c>
      <c r="M285" t="s">
        <v>4232</v>
      </c>
      <c r="N285" t="s">
        <v>4248</v>
      </c>
      <c r="O285" t="s">
        <v>2407</v>
      </c>
      <c r="P285" t="s">
        <v>2495</v>
      </c>
      <c r="Q285" t="s">
        <v>4873</v>
      </c>
      <c r="R285" t="s">
        <v>4275</v>
      </c>
    </row>
    <row r="286" spans="1:19" hidden="1" x14ac:dyDescent="0.25">
      <c r="A286" t="s">
        <v>4874</v>
      </c>
      <c r="B286" t="s">
        <v>3177</v>
      </c>
      <c r="C286" t="s">
        <v>3177</v>
      </c>
      <c r="D286" t="s">
        <v>2696</v>
      </c>
      <c r="E286" t="s">
        <v>1914</v>
      </c>
      <c r="F286" t="s">
        <v>794</v>
      </c>
      <c r="G286">
        <v>16</v>
      </c>
      <c r="H286">
        <v>279.93</v>
      </c>
      <c r="I286">
        <v>4478.88</v>
      </c>
      <c r="J286">
        <v>5.2</v>
      </c>
      <c r="K286">
        <v>716.62</v>
      </c>
      <c r="L286">
        <v>4962.6000000000004</v>
      </c>
      <c r="M286" t="s">
        <v>4247</v>
      </c>
      <c r="N286" t="s">
        <v>1121</v>
      </c>
      <c r="O286" t="s">
        <v>2388</v>
      </c>
      <c r="P286" t="s">
        <v>2486</v>
      </c>
      <c r="Q286" t="s">
        <v>4875</v>
      </c>
      <c r="R286" t="s">
        <v>3425</v>
      </c>
      <c r="S286" t="s">
        <v>4230</v>
      </c>
    </row>
    <row r="287" spans="1:19" hidden="1" x14ac:dyDescent="0.25">
      <c r="A287" t="s">
        <v>4876</v>
      </c>
      <c r="B287" t="s">
        <v>3321</v>
      </c>
      <c r="C287" t="s">
        <v>3831</v>
      </c>
      <c r="D287" t="s">
        <v>2033</v>
      </c>
      <c r="E287" t="s">
        <v>2304</v>
      </c>
      <c r="F287" t="s">
        <v>448</v>
      </c>
      <c r="G287">
        <v>24</v>
      </c>
      <c r="H287">
        <v>790.85</v>
      </c>
      <c r="I287">
        <v>18980.400000000001</v>
      </c>
      <c r="J287">
        <v>15.6</v>
      </c>
      <c r="K287">
        <v>3036.86</v>
      </c>
      <c r="L287">
        <v>19056.32</v>
      </c>
      <c r="M287" t="s">
        <v>4227</v>
      </c>
      <c r="N287" t="s">
        <v>1520</v>
      </c>
      <c r="O287" t="s">
        <v>2432</v>
      </c>
      <c r="P287" t="s">
        <v>2548</v>
      </c>
      <c r="Q287" t="s">
        <v>4877</v>
      </c>
      <c r="R287" t="s">
        <v>4275</v>
      </c>
    </row>
    <row r="288" spans="1:19" hidden="1" x14ac:dyDescent="0.25">
      <c r="A288" t="s">
        <v>4878</v>
      </c>
      <c r="B288" t="s">
        <v>3531</v>
      </c>
      <c r="C288" t="s">
        <v>2949</v>
      </c>
      <c r="D288" t="s">
        <v>3652</v>
      </c>
      <c r="E288" t="s">
        <v>1914</v>
      </c>
      <c r="F288" t="s">
        <v>410</v>
      </c>
      <c r="G288">
        <v>28</v>
      </c>
      <c r="H288">
        <v>396.58</v>
      </c>
      <c r="I288">
        <v>11104.24</v>
      </c>
      <c r="J288">
        <v>9.4</v>
      </c>
      <c r="K288">
        <v>1776.68</v>
      </c>
      <c r="L288">
        <v>11837.12</v>
      </c>
      <c r="M288" t="s">
        <v>4247</v>
      </c>
      <c r="N288" t="s">
        <v>4228</v>
      </c>
      <c r="O288" t="s">
        <v>2449</v>
      </c>
      <c r="P288" t="s">
        <v>2527</v>
      </c>
      <c r="Q288" t="s">
        <v>4879</v>
      </c>
      <c r="R288" t="s">
        <v>3425</v>
      </c>
      <c r="S288" t="s">
        <v>4292</v>
      </c>
    </row>
    <row r="289" spans="1:19" hidden="1" x14ac:dyDescent="0.25">
      <c r="A289" t="s">
        <v>4880</v>
      </c>
      <c r="B289" t="s">
        <v>3875</v>
      </c>
      <c r="C289" t="s">
        <v>3875</v>
      </c>
      <c r="D289" t="s">
        <v>3562</v>
      </c>
      <c r="E289" t="s">
        <v>1650</v>
      </c>
      <c r="F289" t="s">
        <v>186</v>
      </c>
      <c r="G289">
        <v>12</v>
      </c>
      <c r="H289">
        <v>374.61</v>
      </c>
      <c r="I289">
        <v>4495.32</v>
      </c>
      <c r="J289">
        <v>7.4</v>
      </c>
      <c r="K289">
        <v>719.25</v>
      </c>
      <c r="L289">
        <v>4881.92</v>
      </c>
      <c r="M289" t="s">
        <v>4227</v>
      </c>
      <c r="N289" t="s">
        <v>4228</v>
      </c>
      <c r="O289" t="s">
        <v>2416</v>
      </c>
      <c r="P289" t="s">
        <v>2541</v>
      </c>
      <c r="Q289" t="s">
        <v>4881</v>
      </c>
      <c r="R289" t="s">
        <v>3429</v>
      </c>
    </row>
    <row r="290" spans="1:19" hidden="1" x14ac:dyDescent="0.25">
      <c r="A290" t="s">
        <v>4882</v>
      </c>
      <c r="B290" t="s">
        <v>2610</v>
      </c>
      <c r="C290" t="s">
        <v>2816</v>
      </c>
      <c r="D290" t="s">
        <v>3721</v>
      </c>
      <c r="E290" t="s">
        <v>1872</v>
      </c>
      <c r="F290" t="s">
        <v>586</v>
      </c>
      <c r="G290">
        <v>37</v>
      </c>
      <c r="H290">
        <v>405.03</v>
      </c>
      <c r="I290">
        <v>14986.11</v>
      </c>
      <c r="J290">
        <v>6</v>
      </c>
      <c r="K290">
        <v>2397.7800000000002</v>
      </c>
      <c r="L290">
        <v>16484.72</v>
      </c>
      <c r="M290" t="s">
        <v>4238</v>
      </c>
      <c r="N290" t="s">
        <v>1121</v>
      </c>
      <c r="O290" t="s">
        <v>2376</v>
      </c>
      <c r="P290" t="s">
        <v>2535</v>
      </c>
      <c r="Q290" t="s">
        <v>4883</v>
      </c>
      <c r="R290" t="s">
        <v>3425</v>
      </c>
      <c r="S290" t="s">
        <v>4230</v>
      </c>
    </row>
    <row r="291" spans="1:19" hidden="1" x14ac:dyDescent="0.25">
      <c r="A291" t="s">
        <v>4884</v>
      </c>
      <c r="B291" t="s">
        <v>2900</v>
      </c>
      <c r="C291" t="s">
        <v>2900</v>
      </c>
      <c r="D291" t="s">
        <v>4885</v>
      </c>
      <c r="E291" t="s">
        <v>2361</v>
      </c>
      <c r="F291" t="s">
        <v>1031</v>
      </c>
      <c r="G291">
        <v>38</v>
      </c>
      <c r="H291">
        <v>889.84</v>
      </c>
      <c r="I291">
        <v>33813.919999999998</v>
      </c>
      <c r="J291">
        <v>5.3</v>
      </c>
      <c r="K291">
        <v>5410.23</v>
      </c>
      <c r="L291">
        <v>37432.01</v>
      </c>
      <c r="M291" t="s">
        <v>4238</v>
      </c>
      <c r="N291" t="s">
        <v>4248</v>
      </c>
      <c r="O291" t="s">
        <v>2376</v>
      </c>
      <c r="P291" t="s">
        <v>2558</v>
      </c>
      <c r="Q291" t="s">
        <v>4886</v>
      </c>
      <c r="R291" t="s">
        <v>3425</v>
      </c>
    </row>
    <row r="292" spans="1:19" x14ac:dyDescent="0.25">
      <c r="A292" t="s">
        <v>4887</v>
      </c>
      <c r="B292" s="2" t="s">
        <v>3549</v>
      </c>
      <c r="C292" t="s">
        <v>3516</v>
      </c>
      <c r="D292" t="s">
        <v>4137</v>
      </c>
      <c r="E292" t="s">
        <v>1687</v>
      </c>
      <c r="F292" t="s">
        <v>641</v>
      </c>
      <c r="G292">
        <v>8</v>
      </c>
      <c r="H292">
        <v>340.8</v>
      </c>
      <c r="I292">
        <v>2726.4</v>
      </c>
      <c r="J292">
        <v>6.3</v>
      </c>
      <c r="K292">
        <v>436.22</v>
      </c>
      <c r="L292">
        <v>2990.86</v>
      </c>
      <c r="M292" t="s">
        <v>4238</v>
      </c>
      <c r="N292" t="s">
        <v>4233</v>
      </c>
      <c r="O292" t="s">
        <v>2440</v>
      </c>
      <c r="P292" t="s">
        <v>2548</v>
      </c>
      <c r="Q292" t="s">
        <v>4888</v>
      </c>
      <c r="R292" t="s">
        <v>4245</v>
      </c>
    </row>
    <row r="293" spans="1:19" hidden="1" x14ac:dyDescent="0.25">
      <c r="A293" t="s">
        <v>4889</v>
      </c>
      <c r="B293" t="s">
        <v>3621</v>
      </c>
      <c r="C293" t="s">
        <v>3621</v>
      </c>
      <c r="D293" t="s">
        <v>3923</v>
      </c>
      <c r="E293" t="s">
        <v>1619</v>
      </c>
      <c r="F293" t="s">
        <v>985</v>
      </c>
      <c r="G293">
        <v>2</v>
      </c>
      <c r="H293">
        <v>123.99</v>
      </c>
      <c r="I293">
        <v>247.98</v>
      </c>
      <c r="J293">
        <v>12.9</v>
      </c>
      <c r="K293">
        <v>39.68</v>
      </c>
      <c r="L293">
        <v>255.67</v>
      </c>
      <c r="M293" t="s">
        <v>4232</v>
      </c>
      <c r="N293" t="s">
        <v>4248</v>
      </c>
      <c r="O293" t="s">
        <v>2398</v>
      </c>
      <c r="P293" t="s">
        <v>2495</v>
      </c>
      <c r="Q293" t="s">
        <v>4890</v>
      </c>
      <c r="R293" t="s">
        <v>3425</v>
      </c>
      <c r="S293" t="s">
        <v>4230</v>
      </c>
    </row>
    <row r="294" spans="1:19" hidden="1" x14ac:dyDescent="0.25">
      <c r="A294" t="s">
        <v>4891</v>
      </c>
      <c r="B294" t="s">
        <v>3320</v>
      </c>
      <c r="C294" t="s">
        <v>4607</v>
      </c>
      <c r="D294" t="s">
        <v>3096</v>
      </c>
      <c r="E294" t="s">
        <v>2312</v>
      </c>
      <c r="F294" t="s">
        <v>814</v>
      </c>
      <c r="G294">
        <v>29</v>
      </c>
      <c r="H294">
        <v>173.9</v>
      </c>
      <c r="I294">
        <v>5043.1000000000004</v>
      </c>
      <c r="J294">
        <v>18.7</v>
      </c>
      <c r="K294">
        <v>806.9</v>
      </c>
      <c r="L294">
        <v>4906.9399999999996</v>
      </c>
      <c r="M294" t="s">
        <v>3442</v>
      </c>
      <c r="N294" t="s">
        <v>4248</v>
      </c>
      <c r="O294" t="s">
        <v>2416</v>
      </c>
      <c r="P294" t="s">
        <v>2564</v>
      </c>
      <c r="Q294" t="s">
        <v>4892</v>
      </c>
      <c r="R294" t="s">
        <v>3429</v>
      </c>
      <c r="S294" t="s">
        <v>3466</v>
      </c>
    </row>
    <row r="295" spans="1:19" hidden="1" x14ac:dyDescent="0.25">
      <c r="A295" t="s">
        <v>4893</v>
      </c>
      <c r="B295" t="s">
        <v>4027</v>
      </c>
      <c r="C295" t="s">
        <v>4027</v>
      </c>
      <c r="D295" t="s">
        <v>2641</v>
      </c>
      <c r="E295" t="s">
        <v>1803</v>
      </c>
      <c r="F295" t="s">
        <v>448</v>
      </c>
      <c r="G295">
        <v>44</v>
      </c>
      <c r="H295">
        <v>620.39</v>
      </c>
      <c r="I295">
        <v>27297.16</v>
      </c>
      <c r="J295">
        <v>13.6</v>
      </c>
      <c r="K295">
        <v>4367.55</v>
      </c>
      <c r="L295">
        <v>27952.3</v>
      </c>
      <c r="M295" t="s">
        <v>3442</v>
      </c>
      <c r="N295" t="s">
        <v>4243</v>
      </c>
      <c r="O295" t="s">
        <v>2398</v>
      </c>
      <c r="P295" t="s">
        <v>2554</v>
      </c>
      <c r="Q295" t="s">
        <v>4894</v>
      </c>
      <c r="R295" t="s">
        <v>3429</v>
      </c>
      <c r="S295" t="s">
        <v>4230</v>
      </c>
    </row>
    <row r="296" spans="1:19" hidden="1" x14ac:dyDescent="0.25">
      <c r="A296" t="s">
        <v>4895</v>
      </c>
      <c r="B296" t="s">
        <v>3644</v>
      </c>
      <c r="C296" t="s">
        <v>3645</v>
      </c>
      <c r="D296" t="s">
        <v>2958</v>
      </c>
      <c r="E296" t="s">
        <v>2320</v>
      </c>
      <c r="F296" t="s">
        <v>284</v>
      </c>
      <c r="G296">
        <v>15</v>
      </c>
      <c r="H296">
        <v>823.95</v>
      </c>
      <c r="I296">
        <v>12359.25</v>
      </c>
      <c r="J296">
        <v>9.3000000000000007</v>
      </c>
      <c r="K296">
        <v>1977.48</v>
      </c>
      <c r="L296">
        <v>13187.32</v>
      </c>
      <c r="M296" t="s">
        <v>4247</v>
      </c>
      <c r="N296" t="s">
        <v>4248</v>
      </c>
      <c r="O296" t="s">
        <v>2432</v>
      </c>
      <c r="P296" t="s">
        <v>2506</v>
      </c>
      <c r="Q296" t="s">
        <v>4896</v>
      </c>
      <c r="R296" t="s">
        <v>3425</v>
      </c>
    </row>
    <row r="297" spans="1:19" hidden="1" x14ac:dyDescent="0.25">
      <c r="A297" t="s">
        <v>4897</v>
      </c>
      <c r="B297" t="s">
        <v>4898</v>
      </c>
      <c r="C297" t="s">
        <v>3603</v>
      </c>
      <c r="D297" t="s">
        <v>3731</v>
      </c>
      <c r="E297" t="s">
        <v>1820</v>
      </c>
      <c r="F297" t="s">
        <v>152</v>
      </c>
      <c r="G297">
        <v>42</v>
      </c>
      <c r="H297">
        <v>761.93</v>
      </c>
      <c r="I297">
        <v>32001.06</v>
      </c>
      <c r="J297">
        <v>18.5</v>
      </c>
      <c r="K297">
        <v>5120.17</v>
      </c>
      <c r="L297">
        <v>31201.03</v>
      </c>
      <c r="M297" t="s">
        <v>3442</v>
      </c>
      <c r="N297" t="s">
        <v>1520</v>
      </c>
      <c r="O297" t="s">
        <v>2449</v>
      </c>
      <c r="P297" t="s">
        <v>2486</v>
      </c>
      <c r="Q297" t="s">
        <v>4899</v>
      </c>
      <c r="R297" t="s">
        <v>4275</v>
      </c>
    </row>
    <row r="298" spans="1:19" hidden="1" x14ac:dyDescent="0.25">
      <c r="A298" t="s">
        <v>4900</v>
      </c>
      <c r="B298" t="s">
        <v>4901</v>
      </c>
      <c r="C298" t="s">
        <v>3786</v>
      </c>
      <c r="D298" t="s">
        <v>3621</v>
      </c>
      <c r="E298" t="s">
        <v>1524</v>
      </c>
      <c r="F298" t="s">
        <v>87</v>
      </c>
      <c r="G298">
        <v>10</v>
      </c>
      <c r="H298">
        <v>487.08</v>
      </c>
      <c r="I298">
        <v>4870.8</v>
      </c>
      <c r="J298">
        <v>13.6</v>
      </c>
      <c r="K298">
        <v>779.33</v>
      </c>
      <c r="L298">
        <v>4987.7</v>
      </c>
      <c r="M298" t="s">
        <v>4227</v>
      </c>
      <c r="N298" t="s">
        <v>1121</v>
      </c>
      <c r="O298" t="s">
        <v>2425</v>
      </c>
      <c r="P298" t="s">
        <v>2535</v>
      </c>
      <c r="Q298" t="s">
        <v>4902</v>
      </c>
      <c r="R298" t="s">
        <v>3425</v>
      </c>
      <c r="S298" t="s">
        <v>4235</v>
      </c>
    </row>
    <row r="299" spans="1:19" hidden="1" x14ac:dyDescent="0.25">
      <c r="A299" t="s">
        <v>4903</v>
      </c>
      <c r="B299" t="s">
        <v>4904</v>
      </c>
      <c r="C299" t="s">
        <v>3113</v>
      </c>
      <c r="D299" t="s">
        <v>2524</v>
      </c>
      <c r="E299" t="s">
        <v>1511</v>
      </c>
      <c r="F299" t="s">
        <v>885</v>
      </c>
      <c r="G299">
        <v>20</v>
      </c>
      <c r="H299">
        <v>281.37</v>
      </c>
      <c r="I299">
        <v>5627.4</v>
      </c>
      <c r="J299">
        <v>11.5</v>
      </c>
      <c r="K299">
        <v>900.38</v>
      </c>
      <c r="L299">
        <v>5880.63</v>
      </c>
      <c r="M299" t="s">
        <v>3428</v>
      </c>
      <c r="N299" t="s">
        <v>4228</v>
      </c>
      <c r="O299" t="s">
        <v>2388</v>
      </c>
      <c r="P299" t="s">
        <v>2538</v>
      </c>
      <c r="Q299" t="s">
        <v>4905</v>
      </c>
      <c r="R299" t="s">
        <v>3425</v>
      </c>
    </row>
    <row r="300" spans="1:19" hidden="1" x14ac:dyDescent="0.25">
      <c r="A300" t="s">
        <v>4906</v>
      </c>
      <c r="B300" t="s">
        <v>2758</v>
      </c>
      <c r="C300" t="s">
        <v>2494</v>
      </c>
      <c r="D300" t="s">
        <v>2494</v>
      </c>
      <c r="E300" t="s">
        <v>1640</v>
      </c>
      <c r="F300" t="s">
        <v>353</v>
      </c>
      <c r="G300">
        <v>25</v>
      </c>
      <c r="H300">
        <v>597.95000000000005</v>
      </c>
      <c r="I300">
        <v>14948.75</v>
      </c>
      <c r="J300">
        <v>7</v>
      </c>
      <c r="K300">
        <v>2391.8000000000002</v>
      </c>
      <c r="L300">
        <v>16294.14</v>
      </c>
      <c r="M300" t="s">
        <v>4247</v>
      </c>
      <c r="N300" t="s">
        <v>4233</v>
      </c>
      <c r="O300" t="s">
        <v>2456</v>
      </c>
      <c r="P300" t="s">
        <v>2554</v>
      </c>
      <c r="Q300" t="s">
        <v>4907</v>
      </c>
      <c r="R300" t="s">
        <v>3425</v>
      </c>
      <c r="S300" t="s">
        <v>4230</v>
      </c>
    </row>
    <row r="301" spans="1:19" hidden="1" x14ac:dyDescent="0.25">
      <c r="A301" t="s">
        <v>4908</v>
      </c>
      <c r="B301" t="s">
        <v>3647</v>
      </c>
      <c r="C301" t="s">
        <v>3680</v>
      </c>
      <c r="D301" t="s">
        <v>4078</v>
      </c>
      <c r="E301" t="s">
        <v>1650</v>
      </c>
      <c r="F301" t="s">
        <v>1036</v>
      </c>
      <c r="G301">
        <v>24</v>
      </c>
      <c r="H301">
        <v>873.09</v>
      </c>
      <c r="I301">
        <v>20954.16</v>
      </c>
      <c r="J301">
        <v>7</v>
      </c>
      <c r="K301">
        <v>3352.67</v>
      </c>
      <c r="L301">
        <v>22840.04</v>
      </c>
      <c r="M301" t="s">
        <v>3442</v>
      </c>
      <c r="N301" t="s">
        <v>1121</v>
      </c>
      <c r="O301" t="s">
        <v>2398</v>
      </c>
      <c r="P301" t="s">
        <v>2495</v>
      </c>
      <c r="Q301" t="s">
        <v>4909</v>
      </c>
      <c r="R301" t="s">
        <v>3425</v>
      </c>
    </row>
    <row r="302" spans="1:19" hidden="1" x14ac:dyDescent="0.25">
      <c r="A302" t="s">
        <v>4910</v>
      </c>
      <c r="B302" t="s">
        <v>4621</v>
      </c>
      <c r="C302" t="s">
        <v>3614</v>
      </c>
      <c r="D302" t="s">
        <v>4120</v>
      </c>
      <c r="E302" t="s">
        <v>1475</v>
      </c>
      <c r="F302" t="s">
        <v>473</v>
      </c>
      <c r="G302">
        <v>24</v>
      </c>
      <c r="H302">
        <v>782.29</v>
      </c>
      <c r="I302">
        <v>18774.96</v>
      </c>
      <c r="J302">
        <v>13.8</v>
      </c>
      <c r="K302">
        <v>3003.99</v>
      </c>
      <c r="L302">
        <v>19188.009999999998</v>
      </c>
      <c r="M302" t="s">
        <v>4227</v>
      </c>
      <c r="N302" t="s">
        <v>1121</v>
      </c>
      <c r="O302" t="s">
        <v>2398</v>
      </c>
      <c r="P302" t="s">
        <v>2512</v>
      </c>
      <c r="Q302" t="s">
        <v>4911</v>
      </c>
      <c r="R302" t="s">
        <v>3425</v>
      </c>
      <c r="S302" t="s">
        <v>4230</v>
      </c>
    </row>
    <row r="303" spans="1:19" hidden="1" x14ac:dyDescent="0.25">
      <c r="A303" t="s">
        <v>4912</v>
      </c>
      <c r="B303" t="s">
        <v>3910</v>
      </c>
      <c r="C303" t="s">
        <v>3910</v>
      </c>
      <c r="D303" t="s">
        <v>3518</v>
      </c>
      <c r="E303" t="s">
        <v>1524</v>
      </c>
      <c r="F303" t="s">
        <v>713</v>
      </c>
      <c r="G303">
        <v>26</v>
      </c>
      <c r="H303">
        <v>173.31</v>
      </c>
      <c r="I303">
        <v>4506.0600000000004</v>
      </c>
      <c r="J303">
        <v>1</v>
      </c>
      <c r="K303">
        <v>720.97</v>
      </c>
      <c r="L303">
        <v>5181.97</v>
      </c>
      <c r="M303" t="s">
        <v>3442</v>
      </c>
      <c r="N303" t="s">
        <v>1520</v>
      </c>
      <c r="O303" t="s">
        <v>2456</v>
      </c>
      <c r="P303" t="s">
        <v>2538</v>
      </c>
      <c r="Q303" t="s">
        <v>4913</v>
      </c>
      <c r="R303" t="s">
        <v>3429</v>
      </c>
    </row>
    <row r="304" spans="1:19" hidden="1" x14ac:dyDescent="0.25">
      <c r="A304" t="s">
        <v>4914</v>
      </c>
      <c r="B304" t="s">
        <v>3698</v>
      </c>
      <c r="C304" t="s">
        <v>3512</v>
      </c>
      <c r="D304" t="s">
        <v>2683</v>
      </c>
      <c r="E304" t="s">
        <v>1608</v>
      </c>
      <c r="F304" t="s">
        <v>62</v>
      </c>
      <c r="G304">
        <v>32</v>
      </c>
      <c r="H304">
        <v>199.75</v>
      </c>
      <c r="I304">
        <v>6392</v>
      </c>
      <c r="J304">
        <v>7.9</v>
      </c>
      <c r="K304">
        <v>1022.72</v>
      </c>
      <c r="L304">
        <v>6909.75</v>
      </c>
      <c r="M304" t="s">
        <v>4232</v>
      </c>
      <c r="N304" t="s">
        <v>4243</v>
      </c>
      <c r="O304" t="s">
        <v>2449</v>
      </c>
      <c r="P304" t="s">
        <v>2554</v>
      </c>
      <c r="Q304" t="s">
        <v>4915</v>
      </c>
      <c r="R304" t="s">
        <v>3425</v>
      </c>
      <c r="S304" t="s">
        <v>3466</v>
      </c>
    </row>
    <row r="305" spans="1:19" hidden="1" x14ac:dyDescent="0.25">
      <c r="A305" t="s">
        <v>4916</v>
      </c>
      <c r="B305" t="s">
        <v>4917</v>
      </c>
      <c r="C305" t="s">
        <v>3875</v>
      </c>
      <c r="D305" t="s">
        <v>3608</v>
      </c>
      <c r="E305" t="s">
        <v>2245</v>
      </c>
      <c r="F305" t="s">
        <v>920</v>
      </c>
      <c r="G305">
        <v>28</v>
      </c>
      <c r="H305">
        <v>838.43</v>
      </c>
      <c r="I305">
        <v>23476.04</v>
      </c>
      <c r="J305">
        <v>15.2</v>
      </c>
      <c r="K305">
        <v>3756.17</v>
      </c>
      <c r="L305">
        <v>23663.85</v>
      </c>
      <c r="M305" t="s">
        <v>3428</v>
      </c>
      <c r="N305" t="s">
        <v>1520</v>
      </c>
      <c r="O305" t="s">
        <v>2407</v>
      </c>
      <c r="P305" t="s">
        <v>2522</v>
      </c>
      <c r="Q305" t="s">
        <v>4918</v>
      </c>
      <c r="R305" t="s">
        <v>3425</v>
      </c>
    </row>
    <row r="306" spans="1:19" hidden="1" x14ac:dyDescent="0.25">
      <c r="A306" t="s">
        <v>4919</v>
      </c>
      <c r="B306" t="s">
        <v>3676</v>
      </c>
      <c r="C306" t="s">
        <v>3676</v>
      </c>
      <c r="D306" t="s">
        <v>4691</v>
      </c>
      <c r="E306" t="s">
        <v>1748</v>
      </c>
      <c r="F306" t="s">
        <v>995</v>
      </c>
      <c r="G306">
        <v>10</v>
      </c>
      <c r="H306">
        <v>213.31</v>
      </c>
      <c r="I306">
        <v>2133.1</v>
      </c>
      <c r="J306">
        <v>3.2</v>
      </c>
      <c r="K306">
        <v>341.3</v>
      </c>
      <c r="L306">
        <v>2406.14</v>
      </c>
      <c r="M306" t="s">
        <v>4257</v>
      </c>
      <c r="N306" t="s">
        <v>4228</v>
      </c>
      <c r="O306" t="s">
        <v>2416</v>
      </c>
      <c r="P306" t="s">
        <v>2515</v>
      </c>
      <c r="Q306" t="s">
        <v>4920</v>
      </c>
      <c r="R306" t="s">
        <v>4275</v>
      </c>
    </row>
    <row r="307" spans="1:19" hidden="1" x14ac:dyDescent="0.25">
      <c r="A307" t="s">
        <v>4921</v>
      </c>
      <c r="B307" t="s">
        <v>3612</v>
      </c>
      <c r="C307" t="s">
        <v>3642</v>
      </c>
      <c r="D307" t="s">
        <v>4316</v>
      </c>
      <c r="E307" t="s">
        <v>2295</v>
      </c>
      <c r="F307" t="s">
        <v>965</v>
      </c>
      <c r="G307">
        <v>44</v>
      </c>
      <c r="H307">
        <v>605.07000000000005</v>
      </c>
      <c r="I307">
        <v>26623.08</v>
      </c>
      <c r="J307">
        <v>3.7</v>
      </c>
      <c r="K307">
        <v>4259.6899999999996</v>
      </c>
      <c r="L307">
        <v>29897.72</v>
      </c>
      <c r="M307" t="s">
        <v>4257</v>
      </c>
      <c r="N307" t="s">
        <v>1520</v>
      </c>
      <c r="O307" t="s">
        <v>2398</v>
      </c>
      <c r="P307" t="s">
        <v>2551</v>
      </c>
      <c r="Q307" t="s">
        <v>4922</v>
      </c>
      <c r="R307" t="s">
        <v>4275</v>
      </c>
    </row>
    <row r="308" spans="1:19" x14ac:dyDescent="0.25">
      <c r="A308" t="s">
        <v>4923</v>
      </c>
      <c r="B308" s="2" t="s">
        <v>3605</v>
      </c>
      <c r="C308" t="s">
        <v>3605</v>
      </c>
      <c r="D308" t="s">
        <v>3012</v>
      </c>
      <c r="E308" t="s">
        <v>1940</v>
      </c>
      <c r="F308" t="s">
        <v>415</v>
      </c>
      <c r="G308">
        <v>41</v>
      </c>
      <c r="H308">
        <v>732.28</v>
      </c>
      <c r="I308">
        <v>30023.48</v>
      </c>
      <c r="J308">
        <v>9.6</v>
      </c>
      <c r="K308">
        <v>4803.76</v>
      </c>
      <c r="L308">
        <v>31944.99</v>
      </c>
      <c r="M308" t="s">
        <v>4247</v>
      </c>
      <c r="N308" t="s">
        <v>4233</v>
      </c>
      <c r="O308" t="s">
        <v>2449</v>
      </c>
      <c r="P308" t="s">
        <v>2481</v>
      </c>
      <c r="Q308" t="s">
        <v>4924</v>
      </c>
      <c r="R308" t="s">
        <v>4245</v>
      </c>
      <c r="S308" t="s">
        <v>4292</v>
      </c>
    </row>
    <row r="309" spans="1:19" hidden="1" x14ac:dyDescent="0.25">
      <c r="A309" t="s">
        <v>4925</v>
      </c>
      <c r="B309" t="s">
        <v>3541</v>
      </c>
      <c r="C309" t="s">
        <v>3617</v>
      </c>
      <c r="D309" t="s">
        <v>4162</v>
      </c>
      <c r="E309" t="s">
        <v>1619</v>
      </c>
      <c r="F309" t="s">
        <v>405</v>
      </c>
      <c r="G309">
        <v>1</v>
      </c>
      <c r="H309">
        <v>488.45</v>
      </c>
      <c r="I309">
        <v>488.45</v>
      </c>
      <c r="J309">
        <v>6.3</v>
      </c>
      <c r="K309">
        <v>78.150000000000006</v>
      </c>
      <c r="L309">
        <v>535.83000000000004</v>
      </c>
      <c r="M309" t="s">
        <v>4257</v>
      </c>
      <c r="N309" t="s">
        <v>4243</v>
      </c>
      <c r="O309" t="s">
        <v>2449</v>
      </c>
      <c r="P309" t="s">
        <v>2522</v>
      </c>
      <c r="Q309" t="s">
        <v>4926</v>
      </c>
      <c r="R309" t="s">
        <v>3425</v>
      </c>
    </row>
    <row r="310" spans="1:19" hidden="1" x14ac:dyDescent="0.25">
      <c r="A310" t="s">
        <v>4927</v>
      </c>
      <c r="B310" t="s">
        <v>3232</v>
      </c>
      <c r="C310" t="s">
        <v>2651</v>
      </c>
      <c r="D310" t="s">
        <v>3069</v>
      </c>
      <c r="E310" t="s">
        <v>2361</v>
      </c>
      <c r="F310" t="s">
        <v>601</v>
      </c>
      <c r="G310">
        <v>12</v>
      </c>
      <c r="H310">
        <v>421.03</v>
      </c>
      <c r="I310">
        <v>5052.3599999999997</v>
      </c>
      <c r="J310">
        <v>1.1000000000000001</v>
      </c>
      <c r="K310">
        <v>808.38</v>
      </c>
      <c r="L310">
        <v>5805.16</v>
      </c>
      <c r="M310" t="s">
        <v>4232</v>
      </c>
      <c r="N310" t="s">
        <v>4243</v>
      </c>
      <c r="O310" t="s">
        <v>2440</v>
      </c>
      <c r="P310" t="s">
        <v>2558</v>
      </c>
      <c r="Q310" t="s">
        <v>4928</v>
      </c>
      <c r="R310" t="s">
        <v>3425</v>
      </c>
      <c r="S310" t="s">
        <v>4230</v>
      </c>
    </row>
    <row r="311" spans="1:19" hidden="1" x14ac:dyDescent="0.25">
      <c r="A311" t="s">
        <v>4929</v>
      </c>
      <c r="B311" t="s">
        <v>4208</v>
      </c>
      <c r="C311" t="s">
        <v>4208</v>
      </c>
      <c r="D311" t="s">
        <v>4864</v>
      </c>
      <c r="E311" t="s">
        <v>2312</v>
      </c>
      <c r="F311" t="s">
        <v>458</v>
      </c>
      <c r="G311">
        <v>31</v>
      </c>
      <c r="H311">
        <v>136.03</v>
      </c>
      <c r="I311">
        <v>4216.93</v>
      </c>
      <c r="J311">
        <v>6.4</v>
      </c>
      <c r="K311">
        <v>674.71</v>
      </c>
      <c r="L311">
        <v>4621.76</v>
      </c>
      <c r="M311" t="s">
        <v>3442</v>
      </c>
      <c r="N311" t="s">
        <v>4243</v>
      </c>
      <c r="O311" t="s">
        <v>2388</v>
      </c>
      <c r="P311" t="s">
        <v>2525</v>
      </c>
      <c r="Q311" t="s">
        <v>4930</v>
      </c>
      <c r="R311" t="s">
        <v>3434</v>
      </c>
    </row>
    <row r="312" spans="1:19" hidden="1" x14ac:dyDescent="0.25">
      <c r="A312" t="s">
        <v>4931</v>
      </c>
      <c r="B312" t="s">
        <v>3937</v>
      </c>
      <c r="C312" t="s">
        <v>1863</v>
      </c>
      <c r="D312" t="s">
        <v>2110</v>
      </c>
      <c r="E312" t="s">
        <v>1578</v>
      </c>
      <c r="F312" t="s">
        <v>834</v>
      </c>
      <c r="G312">
        <v>50</v>
      </c>
      <c r="H312">
        <v>834.65</v>
      </c>
      <c r="I312">
        <v>41732.5</v>
      </c>
      <c r="J312">
        <v>6.8</v>
      </c>
      <c r="K312">
        <v>6677.2</v>
      </c>
      <c r="L312">
        <v>45571.89</v>
      </c>
      <c r="M312" t="s">
        <v>4232</v>
      </c>
      <c r="N312" t="s">
        <v>4243</v>
      </c>
      <c r="O312" t="s">
        <v>2388</v>
      </c>
      <c r="P312" t="s">
        <v>2548</v>
      </c>
      <c r="Q312" t="s">
        <v>4932</v>
      </c>
      <c r="R312" t="s">
        <v>3425</v>
      </c>
      <c r="S312" t="s">
        <v>4230</v>
      </c>
    </row>
    <row r="313" spans="1:19" x14ac:dyDescent="0.25">
      <c r="A313" t="s">
        <v>4933</v>
      </c>
      <c r="B313" s="2" t="s">
        <v>3164</v>
      </c>
      <c r="C313" t="s">
        <v>3164</v>
      </c>
      <c r="D313" t="s">
        <v>3939</v>
      </c>
      <c r="E313" t="s">
        <v>2007</v>
      </c>
      <c r="F313" t="s">
        <v>814</v>
      </c>
      <c r="G313">
        <v>32</v>
      </c>
      <c r="H313">
        <v>386.2</v>
      </c>
      <c r="I313">
        <v>12358.4</v>
      </c>
      <c r="J313">
        <v>3.7</v>
      </c>
      <c r="K313">
        <v>1977.34</v>
      </c>
      <c r="L313">
        <v>13878.48</v>
      </c>
      <c r="M313" t="s">
        <v>3442</v>
      </c>
      <c r="N313" t="s">
        <v>4233</v>
      </c>
      <c r="O313" t="s">
        <v>2416</v>
      </c>
      <c r="P313" t="s">
        <v>2501</v>
      </c>
      <c r="Q313" t="s">
        <v>4934</v>
      </c>
      <c r="R313" t="s">
        <v>4245</v>
      </c>
    </row>
    <row r="314" spans="1:19" hidden="1" x14ac:dyDescent="0.25">
      <c r="A314" t="s">
        <v>4935</v>
      </c>
      <c r="B314" t="s">
        <v>3578</v>
      </c>
      <c r="C314" t="s">
        <v>3177</v>
      </c>
      <c r="D314" t="s">
        <v>3205</v>
      </c>
      <c r="E314" t="s">
        <v>1659</v>
      </c>
      <c r="F314" t="s">
        <v>1046</v>
      </c>
      <c r="G314">
        <v>43</v>
      </c>
      <c r="H314">
        <v>171.84</v>
      </c>
      <c r="I314">
        <v>7389.12</v>
      </c>
      <c r="J314">
        <v>6.1</v>
      </c>
      <c r="K314">
        <v>1182.26</v>
      </c>
      <c r="L314">
        <v>8120.64</v>
      </c>
      <c r="M314" t="s">
        <v>4247</v>
      </c>
      <c r="N314" t="s">
        <v>1520</v>
      </c>
      <c r="O314" t="s">
        <v>2456</v>
      </c>
      <c r="P314" t="s">
        <v>2527</v>
      </c>
      <c r="Q314" t="s">
        <v>4936</v>
      </c>
      <c r="R314" t="s">
        <v>3425</v>
      </c>
      <c r="S314" t="s">
        <v>3466</v>
      </c>
    </row>
    <row r="315" spans="1:19" hidden="1" x14ac:dyDescent="0.25">
      <c r="A315" t="s">
        <v>4937</v>
      </c>
      <c r="B315" t="s">
        <v>3854</v>
      </c>
      <c r="C315" t="s">
        <v>3854</v>
      </c>
      <c r="D315" t="s">
        <v>4059</v>
      </c>
      <c r="E315" t="s">
        <v>1748</v>
      </c>
      <c r="F315" t="s">
        <v>174</v>
      </c>
      <c r="G315">
        <v>11</v>
      </c>
      <c r="H315">
        <v>441.09</v>
      </c>
      <c r="I315">
        <v>4851.99</v>
      </c>
      <c r="J315">
        <v>17.899999999999999</v>
      </c>
      <c r="K315">
        <v>776.32</v>
      </c>
      <c r="L315">
        <v>4759.8</v>
      </c>
      <c r="M315" t="s">
        <v>4232</v>
      </c>
      <c r="N315" t="s">
        <v>1121</v>
      </c>
      <c r="O315" t="s">
        <v>2398</v>
      </c>
      <c r="P315" t="s">
        <v>2535</v>
      </c>
      <c r="Q315" t="s">
        <v>4938</v>
      </c>
      <c r="R315" t="s">
        <v>3425</v>
      </c>
      <c r="S315" t="s">
        <v>3466</v>
      </c>
    </row>
    <row r="316" spans="1:19" hidden="1" x14ac:dyDescent="0.25">
      <c r="A316" t="s">
        <v>4939</v>
      </c>
      <c r="B316" t="s">
        <v>3683</v>
      </c>
      <c r="C316" t="s">
        <v>2828</v>
      </c>
      <c r="D316" t="s">
        <v>3099</v>
      </c>
      <c r="E316" t="s">
        <v>1890</v>
      </c>
      <c r="F316" t="s">
        <v>1005</v>
      </c>
      <c r="G316">
        <v>37</v>
      </c>
      <c r="H316">
        <v>871.07</v>
      </c>
      <c r="I316">
        <v>32229.59</v>
      </c>
      <c r="J316">
        <v>10.7</v>
      </c>
      <c r="K316">
        <v>5156.7299999999996</v>
      </c>
      <c r="L316">
        <v>33937.75</v>
      </c>
      <c r="M316" t="s">
        <v>3442</v>
      </c>
      <c r="N316" t="s">
        <v>4243</v>
      </c>
      <c r="O316" t="s">
        <v>2407</v>
      </c>
      <c r="P316" t="s">
        <v>2554</v>
      </c>
      <c r="Q316" t="s">
        <v>4940</v>
      </c>
      <c r="R316" t="s">
        <v>3425</v>
      </c>
    </row>
    <row r="317" spans="1:19" hidden="1" x14ac:dyDescent="0.25">
      <c r="A317" t="s">
        <v>4941</v>
      </c>
      <c r="B317" t="s">
        <v>3775</v>
      </c>
      <c r="C317" t="s">
        <v>4271</v>
      </c>
      <c r="D317" t="s">
        <v>1871</v>
      </c>
      <c r="E317" t="s">
        <v>2202</v>
      </c>
      <c r="F317" t="s">
        <v>1101</v>
      </c>
      <c r="G317">
        <v>25</v>
      </c>
      <c r="H317">
        <v>363.05</v>
      </c>
      <c r="I317">
        <v>9076.25</v>
      </c>
      <c r="J317">
        <v>3.8</v>
      </c>
      <c r="K317">
        <v>1452.2</v>
      </c>
      <c r="L317">
        <v>10183.549999999999</v>
      </c>
      <c r="M317" t="s">
        <v>3442</v>
      </c>
      <c r="N317" t="s">
        <v>4233</v>
      </c>
      <c r="O317" t="s">
        <v>2398</v>
      </c>
      <c r="P317" t="s">
        <v>2481</v>
      </c>
      <c r="Q317" t="s">
        <v>4942</v>
      </c>
      <c r="R317" t="s">
        <v>3425</v>
      </c>
      <c r="S317" t="s">
        <v>4230</v>
      </c>
    </row>
    <row r="318" spans="1:19" hidden="1" x14ac:dyDescent="0.25">
      <c r="A318" t="s">
        <v>4943</v>
      </c>
      <c r="B318" t="s">
        <v>4607</v>
      </c>
      <c r="C318" t="s">
        <v>3366</v>
      </c>
      <c r="D318" t="s">
        <v>3915</v>
      </c>
      <c r="E318" t="s">
        <v>1511</v>
      </c>
      <c r="F318" t="s">
        <v>1106</v>
      </c>
      <c r="G318">
        <v>23</v>
      </c>
      <c r="H318">
        <v>489.03</v>
      </c>
      <c r="I318">
        <v>11247.69</v>
      </c>
      <c r="J318">
        <v>7.6</v>
      </c>
      <c r="K318">
        <v>1799.63</v>
      </c>
      <c r="L318">
        <v>12192.5</v>
      </c>
      <c r="M318" t="s">
        <v>4227</v>
      </c>
      <c r="N318" t="s">
        <v>1520</v>
      </c>
      <c r="O318" t="s">
        <v>2376</v>
      </c>
      <c r="P318" t="s">
        <v>2561</v>
      </c>
      <c r="Q318" t="s">
        <v>4944</v>
      </c>
      <c r="R318" t="s">
        <v>3425</v>
      </c>
      <c r="S318" t="s">
        <v>4235</v>
      </c>
    </row>
    <row r="319" spans="1:19" hidden="1" x14ac:dyDescent="0.25">
      <c r="A319" t="s">
        <v>4945</v>
      </c>
      <c r="B319" t="s">
        <v>3454</v>
      </c>
      <c r="C319" t="s">
        <v>3969</v>
      </c>
      <c r="D319" t="s">
        <v>4299</v>
      </c>
      <c r="E319" t="s">
        <v>2127</v>
      </c>
      <c r="F319" t="s">
        <v>703</v>
      </c>
      <c r="G319">
        <v>26</v>
      </c>
      <c r="H319">
        <v>344.94</v>
      </c>
      <c r="I319">
        <v>8968.44</v>
      </c>
      <c r="J319">
        <v>10.9</v>
      </c>
      <c r="K319">
        <v>1434.95</v>
      </c>
      <c r="L319">
        <v>9425.83</v>
      </c>
      <c r="M319" t="s">
        <v>3428</v>
      </c>
      <c r="N319" t="s">
        <v>4248</v>
      </c>
      <c r="O319" t="s">
        <v>2456</v>
      </c>
      <c r="P319" t="s">
        <v>2535</v>
      </c>
      <c r="Q319" t="s">
        <v>4946</v>
      </c>
      <c r="R319" t="s">
        <v>3434</v>
      </c>
    </row>
    <row r="320" spans="1:19" hidden="1" x14ac:dyDescent="0.25">
      <c r="A320" t="s">
        <v>4947</v>
      </c>
      <c r="B320" t="s">
        <v>3031</v>
      </c>
      <c r="C320" t="s">
        <v>3501</v>
      </c>
      <c r="D320" t="s">
        <v>2825</v>
      </c>
      <c r="E320" t="s">
        <v>1973</v>
      </c>
      <c r="F320" t="s">
        <v>358</v>
      </c>
      <c r="G320">
        <v>25</v>
      </c>
      <c r="H320">
        <v>812.42</v>
      </c>
      <c r="I320">
        <v>20310.5</v>
      </c>
      <c r="J320">
        <v>8.5</v>
      </c>
      <c r="K320">
        <v>3249.68</v>
      </c>
      <c r="L320">
        <v>21833.79</v>
      </c>
      <c r="M320" t="s">
        <v>4227</v>
      </c>
      <c r="N320" t="s">
        <v>4233</v>
      </c>
      <c r="O320" t="s">
        <v>2376</v>
      </c>
      <c r="P320" t="s">
        <v>2531</v>
      </c>
      <c r="Q320" t="s">
        <v>4948</v>
      </c>
      <c r="R320" t="s">
        <v>4275</v>
      </c>
    </row>
    <row r="321" spans="1:19" hidden="1" x14ac:dyDescent="0.25">
      <c r="A321" t="s">
        <v>4949</v>
      </c>
      <c r="B321" t="s">
        <v>3342</v>
      </c>
      <c r="C321" t="s">
        <v>2741</v>
      </c>
      <c r="D321" t="s">
        <v>3980</v>
      </c>
      <c r="E321" t="s">
        <v>2034</v>
      </c>
      <c r="F321" t="s">
        <v>353</v>
      </c>
      <c r="G321">
        <v>3</v>
      </c>
      <c r="H321">
        <v>571.09</v>
      </c>
      <c r="I321">
        <v>1713.27</v>
      </c>
      <c r="J321">
        <v>7.7</v>
      </c>
      <c r="K321">
        <v>274.12</v>
      </c>
      <c r="L321">
        <v>1855.47</v>
      </c>
      <c r="M321" t="s">
        <v>3442</v>
      </c>
      <c r="N321" t="s">
        <v>1520</v>
      </c>
      <c r="O321" t="s">
        <v>2440</v>
      </c>
      <c r="P321" t="s">
        <v>2486</v>
      </c>
      <c r="Q321" t="s">
        <v>4950</v>
      </c>
      <c r="R321" t="s">
        <v>3425</v>
      </c>
      <c r="S321" t="s">
        <v>4235</v>
      </c>
    </row>
    <row r="322" spans="1:19" x14ac:dyDescent="0.25">
      <c r="A322" t="s">
        <v>4951</v>
      </c>
      <c r="B322" s="2" t="s">
        <v>4952</v>
      </c>
      <c r="C322" t="s">
        <v>4952</v>
      </c>
      <c r="D322" t="s">
        <v>2883</v>
      </c>
      <c r="E322" t="s">
        <v>1757</v>
      </c>
      <c r="F322" t="s">
        <v>520</v>
      </c>
      <c r="G322">
        <v>14</v>
      </c>
      <c r="H322">
        <v>139.63999999999999</v>
      </c>
      <c r="I322">
        <v>1954.96</v>
      </c>
      <c r="J322">
        <v>7.4</v>
      </c>
      <c r="K322">
        <v>312.79000000000002</v>
      </c>
      <c r="L322">
        <v>2123.08</v>
      </c>
      <c r="M322" t="s">
        <v>4227</v>
      </c>
      <c r="N322" t="s">
        <v>4248</v>
      </c>
      <c r="O322" t="s">
        <v>2388</v>
      </c>
      <c r="P322" t="s">
        <v>2501</v>
      </c>
      <c r="Q322" t="s">
        <v>4953</v>
      </c>
      <c r="R322" t="s">
        <v>4245</v>
      </c>
      <c r="S322" t="s">
        <v>4235</v>
      </c>
    </row>
    <row r="323" spans="1:19" hidden="1" x14ac:dyDescent="0.25">
      <c r="A323" t="s">
        <v>4954</v>
      </c>
      <c r="B323" t="s">
        <v>2615</v>
      </c>
      <c r="C323" t="s">
        <v>4196</v>
      </c>
      <c r="D323" t="s">
        <v>3039</v>
      </c>
      <c r="E323" t="s">
        <v>2253</v>
      </c>
      <c r="F323" t="s">
        <v>363</v>
      </c>
      <c r="G323">
        <v>28</v>
      </c>
      <c r="H323">
        <v>339.77</v>
      </c>
      <c r="I323">
        <v>9513.56</v>
      </c>
      <c r="J323">
        <v>19.7</v>
      </c>
      <c r="K323">
        <v>1522.17</v>
      </c>
      <c r="L323">
        <v>9161.56</v>
      </c>
      <c r="M323" t="s">
        <v>4232</v>
      </c>
      <c r="N323" t="s">
        <v>4228</v>
      </c>
      <c r="O323" t="s">
        <v>2449</v>
      </c>
      <c r="P323" t="s">
        <v>2548</v>
      </c>
      <c r="Q323" t="s">
        <v>4955</v>
      </c>
      <c r="R323" t="s">
        <v>3429</v>
      </c>
      <c r="S323" t="s">
        <v>4230</v>
      </c>
    </row>
    <row r="324" spans="1:19" hidden="1" x14ac:dyDescent="0.25">
      <c r="A324" t="s">
        <v>4956</v>
      </c>
      <c r="B324" t="s">
        <v>2729</v>
      </c>
      <c r="C324" t="s">
        <v>2609</v>
      </c>
      <c r="D324" t="s">
        <v>2707</v>
      </c>
      <c r="E324" t="s">
        <v>1829</v>
      </c>
      <c r="F324" t="s">
        <v>636</v>
      </c>
      <c r="G324">
        <v>43</v>
      </c>
      <c r="H324">
        <v>447.7</v>
      </c>
      <c r="I324">
        <v>19251.099999999999</v>
      </c>
      <c r="J324">
        <v>6</v>
      </c>
      <c r="K324">
        <v>3080.18</v>
      </c>
      <c r="L324">
        <v>21176.21</v>
      </c>
      <c r="M324" t="s">
        <v>4227</v>
      </c>
      <c r="N324" t="s">
        <v>4243</v>
      </c>
      <c r="O324" t="s">
        <v>2407</v>
      </c>
      <c r="P324" t="s">
        <v>2519</v>
      </c>
      <c r="Q324" t="s">
        <v>4957</v>
      </c>
      <c r="R324" t="s">
        <v>3425</v>
      </c>
      <c r="S324" t="s">
        <v>4292</v>
      </c>
    </row>
    <row r="325" spans="1:19" hidden="1" x14ac:dyDescent="0.25">
      <c r="A325" t="s">
        <v>4958</v>
      </c>
      <c r="B325" t="s">
        <v>3605</v>
      </c>
      <c r="C325" t="s">
        <v>1794</v>
      </c>
      <c r="D325" t="s">
        <v>3012</v>
      </c>
      <c r="E325" t="s">
        <v>2185</v>
      </c>
      <c r="F325" t="s">
        <v>253</v>
      </c>
      <c r="G325">
        <v>26</v>
      </c>
      <c r="H325">
        <v>555.51</v>
      </c>
      <c r="I325">
        <v>14443.26</v>
      </c>
      <c r="J325">
        <v>12.1</v>
      </c>
      <c r="K325">
        <v>2310.92</v>
      </c>
      <c r="L325">
        <v>15006.55</v>
      </c>
      <c r="M325" t="s">
        <v>4247</v>
      </c>
      <c r="N325" t="s">
        <v>4248</v>
      </c>
      <c r="O325" t="s">
        <v>2416</v>
      </c>
      <c r="P325" t="s">
        <v>2548</v>
      </c>
      <c r="Q325" t="s">
        <v>4959</v>
      </c>
      <c r="R325" t="s">
        <v>3425</v>
      </c>
      <c r="S325" t="s">
        <v>4292</v>
      </c>
    </row>
    <row r="326" spans="1:19" hidden="1" x14ac:dyDescent="0.25">
      <c r="A326" t="s">
        <v>4960</v>
      </c>
      <c r="B326" t="s">
        <v>3888</v>
      </c>
      <c r="C326" t="s">
        <v>3445</v>
      </c>
      <c r="D326" t="s">
        <v>3680</v>
      </c>
      <c r="E326" t="s">
        <v>1965</v>
      </c>
      <c r="F326" t="s">
        <v>443</v>
      </c>
      <c r="G326">
        <v>2</v>
      </c>
      <c r="H326">
        <v>520.66</v>
      </c>
      <c r="I326">
        <v>1041.32</v>
      </c>
      <c r="J326">
        <v>13.5</v>
      </c>
      <c r="K326">
        <v>166.61</v>
      </c>
      <c r="L326">
        <v>1067.3499999999999</v>
      </c>
      <c r="M326" t="s">
        <v>3442</v>
      </c>
      <c r="N326" t="s">
        <v>4233</v>
      </c>
      <c r="O326" t="s">
        <v>2456</v>
      </c>
      <c r="P326" t="s">
        <v>2522</v>
      </c>
      <c r="Q326" t="s">
        <v>4961</v>
      </c>
      <c r="R326" t="s">
        <v>3425</v>
      </c>
      <c r="S326" t="s">
        <v>3466</v>
      </c>
    </row>
    <row r="327" spans="1:19" hidden="1" x14ac:dyDescent="0.25">
      <c r="A327" t="s">
        <v>4962</v>
      </c>
      <c r="B327" t="s">
        <v>3932</v>
      </c>
      <c r="C327" t="s">
        <v>3474</v>
      </c>
      <c r="D327" t="s">
        <v>3474</v>
      </c>
      <c r="E327" t="s">
        <v>2304</v>
      </c>
      <c r="F327" t="s">
        <v>379</v>
      </c>
      <c r="G327">
        <v>37</v>
      </c>
      <c r="H327">
        <v>635.21</v>
      </c>
      <c r="I327">
        <v>23502.77</v>
      </c>
      <c r="J327">
        <v>10.7</v>
      </c>
      <c r="K327">
        <v>3760.44</v>
      </c>
      <c r="L327">
        <v>24748.41</v>
      </c>
      <c r="M327" t="s">
        <v>3442</v>
      </c>
      <c r="N327" t="s">
        <v>1121</v>
      </c>
      <c r="O327" t="s">
        <v>2388</v>
      </c>
      <c r="P327" t="s">
        <v>2475</v>
      </c>
      <c r="Q327" t="s">
        <v>4963</v>
      </c>
      <c r="R327" t="s">
        <v>3425</v>
      </c>
    </row>
    <row r="328" spans="1:19" hidden="1" x14ac:dyDescent="0.25">
      <c r="A328" t="s">
        <v>4964</v>
      </c>
      <c r="B328" t="s">
        <v>4433</v>
      </c>
      <c r="C328" t="s">
        <v>3632</v>
      </c>
      <c r="D328" t="s">
        <v>4500</v>
      </c>
      <c r="E328" t="s">
        <v>1629</v>
      </c>
      <c r="F328" t="s">
        <v>723</v>
      </c>
      <c r="G328">
        <v>49</v>
      </c>
      <c r="H328">
        <v>134.68</v>
      </c>
      <c r="I328">
        <v>6599.32</v>
      </c>
      <c r="J328">
        <v>6.5</v>
      </c>
      <c r="K328">
        <v>1055.8900000000001</v>
      </c>
      <c r="L328">
        <v>7226.25</v>
      </c>
      <c r="M328" t="s">
        <v>4227</v>
      </c>
      <c r="N328" t="s">
        <v>4243</v>
      </c>
      <c r="O328" t="s">
        <v>2432</v>
      </c>
      <c r="P328" t="s">
        <v>2525</v>
      </c>
      <c r="Q328" t="s">
        <v>4965</v>
      </c>
      <c r="R328" t="s">
        <v>3425</v>
      </c>
    </row>
    <row r="329" spans="1:19" hidden="1" x14ac:dyDescent="0.25">
      <c r="A329" t="s">
        <v>4966</v>
      </c>
      <c r="B329" t="s">
        <v>3528</v>
      </c>
      <c r="C329" t="s">
        <v>4967</v>
      </c>
      <c r="D329" t="s">
        <v>2691</v>
      </c>
      <c r="E329" t="s">
        <v>1524</v>
      </c>
      <c r="F329" t="s">
        <v>415</v>
      </c>
      <c r="G329">
        <v>1</v>
      </c>
      <c r="H329">
        <v>134.33000000000001</v>
      </c>
      <c r="I329">
        <v>134.33000000000001</v>
      </c>
      <c r="J329">
        <v>5.6</v>
      </c>
      <c r="K329">
        <v>21.49</v>
      </c>
      <c r="L329">
        <v>148.30000000000001</v>
      </c>
      <c r="M329" t="s">
        <v>4257</v>
      </c>
      <c r="N329" t="s">
        <v>1121</v>
      </c>
      <c r="O329" t="s">
        <v>2456</v>
      </c>
      <c r="P329" t="s">
        <v>2512</v>
      </c>
      <c r="Q329" t="s">
        <v>4968</v>
      </c>
      <c r="R329" t="s">
        <v>3425</v>
      </c>
    </row>
    <row r="330" spans="1:19" hidden="1" x14ac:dyDescent="0.25">
      <c r="A330" t="s">
        <v>4969</v>
      </c>
      <c r="B330" t="s">
        <v>3612</v>
      </c>
      <c r="C330" t="s">
        <v>3482</v>
      </c>
      <c r="D330" t="s">
        <v>3750</v>
      </c>
      <c r="E330" t="s">
        <v>2320</v>
      </c>
      <c r="F330" t="s">
        <v>566</v>
      </c>
      <c r="G330">
        <v>7</v>
      </c>
      <c r="H330">
        <v>209.09</v>
      </c>
      <c r="I330">
        <v>1463.63</v>
      </c>
      <c r="J330">
        <v>2.2999999999999998</v>
      </c>
      <c r="K330">
        <v>234.18</v>
      </c>
      <c r="L330">
        <v>1664.15</v>
      </c>
      <c r="M330" t="s">
        <v>4238</v>
      </c>
      <c r="N330" t="s">
        <v>1520</v>
      </c>
      <c r="O330" t="s">
        <v>2425</v>
      </c>
      <c r="P330" t="s">
        <v>2541</v>
      </c>
      <c r="Q330" t="s">
        <v>4970</v>
      </c>
      <c r="R330" t="s">
        <v>4275</v>
      </c>
      <c r="S330" t="s">
        <v>4230</v>
      </c>
    </row>
    <row r="331" spans="1:19" hidden="1" x14ac:dyDescent="0.25">
      <c r="A331" t="s">
        <v>4971</v>
      </c>
      <c r="B331" t="s">
        <v>1863</v>
      </c>
      <c r="C331" t="s">
        <v>1863</v>
      </c>
      <c r="D331" t="s">
        <v>2927</v>
      </c>
      <c r="E331" t="s">
        <v>2202</v>
      </c>
      <c r="F331" t="s">
        <v>980</v>
      </c>
      <c r="G331">
        <v>31</v>
      </c>
      <c r="H331">
        <v>871.07</v>
      </c>
      <c r="I331">
        <v>27003.17</v>
      </c>
      <c r="J331">
        <v>11.1</v>
      </c>
      <c r="K331">
        <v>4320.51</v>
      </c>
      <c r="L331">
        <v>28326.33</v>
      </c>
      <c r="M331" t="s">
        <v>4232</v>
      </c>
      <c r="N331" t="s">
        <v>4228</v>
      </c>
      <c r="O331" t="s">
        <v>2407</v>
      </c>
      <c r="P331" t="s">
        <v>2486</v>
      </c>
      <c r="Q331" t="s">
        <v>4972</v>
      </c>
      <c r="R331" t="s">
        <v>3434</v>
      </c>
      <c r="S331" t="s">
        <v>4230</v>
      </c>
    </row>
    <row r="332" spans="1:19" hidden="1" x14ac:dyDescent="0.25">
      <c r="A332" t="s">
        <v>4973</v>
      </c>
      <c r="B332" t="s">
        <v>3972</v>
      </c>
      <c r="C332" t="s">
        <v>4974</v>
      </c>
      <c r="D332" t="s">
        <v>3628</v>
      </c>
      <c r="E332" t="s">
        <v>1949</v>
      </c>
      <c r="F332" t="s">
        <v>606</v>
      </c>
      <c r="G332">
        <v>15</v>
      </c>
      <c r="H332">
        <v>167.71</v>
      </c>
      <c r="I332">
        <v>2515.65</v>
      </c>
      <c r="J332">
        <v>4.5</v>
      </c>
      <c r="K332">
        <v>402.5</v>
      </c>
      <c r="L332">
        <v>2804.95</v>
      </c>
      <c r="M332" t="s">
        <v>3442</v>
      </c>
      <c r="N332" t="s">
        <v>4248</v>
      </c>
      <c r="O332" t="s">
        <v>2398</v>
      </c>
      <c r="P332" t="s">
        <v>2506</v>
      </c>
      <c r="Q332" t="s">
        <v>4975</v>
      </c>
      <c r="R332" t="s">
        <v>3425</v>
      </c>
    </row>
    <row r="333" spans="1:19" hidden="1" x14ac:dyDescent="0.25">
      <c r="A333" t="s">
        <v>4976</v>
      </c>
      <c r="B333" t="s">
        <v>4977</v>
      </c>
      <c r="C333" t="s">
        <v>4176</v>
      </c>
      <c r="D333" t="s">
        <v>2995</v>
      </c>
      <c r="E333" t="s">
        <v>1524</v>
      </c>
      <c r="F333" t="s">
        <v>420</v>
      </c>
      <c r="G333">
        <v>13</v>
      </c>
      <c r="H333">
        <v>348.02</v>
      </c>
      <c r="I333">
        <v>4524.26</v>
      </c>
      <c r="J333">
        <v>5.9</v>
      </c>
      <c r="K333">
        <v>723.88</v>
      </c>
      <c r="L333">
        <v>4981.21</v>
      </c>
      <c r="M333" t="s">
        <v>4247</v>
      </c>
      <c r="N333" t="s">
        <v>4233</v>
      </c>
      <c r="O333" t="s">
        <v>2376</v>
      </c>
      <c r="P333" t="s">
        <v>2519</v>
      </c>
      <c r="Q333" t="s">
        <v>4978</v>
      </c>
      <c r="R333" t="s">
        <v>3429</v>
      </c>
    </row>
    <row r="334" spans="1:19" x14ac:dyDescent="0.25">
      <c r="A334" t="s">
        <v>4979</v>
      </c>
      <c r="B334" s="2" t="s">
        <v>2796</v>
      </c>
      <c r="C334" t="s">
        <v>2286</v>
      </c>
      <c r="D334" t="s">
        <v>3545</v>
      </c>
      <c r="E334" t="s">
        <v>1524</v>
      </c>
      <c r="F334" t="s">
        <v>819</v>
      </c>
      <c r="G334">
        <v>42</v>
      </c>
      <c r="H334">
        <v>351.03</v>
      </c>
      <c r="I334">
        <v>14743.26</v>
      </c>
      <c r="J334">
        <v>14.2</v>
      </c>
      <c r="K334">
        <v>2358.92</v>
      </c>
      <c r="L334">
        <v>15008.64</v>
      </c>
      <c r="M334" t="s">
        <v>4238</v>
      </c>
      <c r="N334" t="s">
        <v>4228</v>
      </c>
      <c r="O334" t="s">
        <v>2376</v>
      </c>
      <c r="P334" t="s">
        <v>2495</v>
      </c>
      <c r="Q334" t="s">
        <v>4980</v>
      </c>
      <c r="R334" t="s">
        <v>4245</v>
      </c>
      <c r="S334" t="s">
        <v>3466</v>
      </c>
    </row>
    <row r="335" spans="1:19" hidden="1" x14ac:dyDescent="0.25">
      <c r="A335" t="s">
        <v>4981</v>
      </c>
      <c r="B335" t="s">
        <v>3204</v>
      </c>
      <c r="C335" t="s">
        <v>3384</v>
      </c>
      <c r="D335" t="s">
        <v>4196</v>
      </c>
      <c r="E335" t="s">
        <v>1829</v>
      </c>
      <c r="F335" t="s">
        <v>159</v>
      </c>
      <c r="G335">
        <v>30</v>
      </c>
      <c r="H335">
        <v>310.8</v>
      </c>
      <c r="I335">
        <v>9324</v>
      </c>
      <c r="J335">
        <v>19.899999999999999</v>
      </c>
      <c r="K335">
        <v>1491.84</v>
      </c>
      <c r="L335">
        <v>8960.36</v>
      </c>
      <c r="M335" t="s">
        <v>4227</v>
      </c>
      <c r="N335" t="s">
        <v>4233</v>
      </c>
      <c r="O335" t="s">
        <v>2398</v>
      </c>
      <c r="P335" t="s">
        <v>2512</v>
      </c>
      <c r="Q335" t="s">
        <v>4982</v>
      </c>
      <c r="R335" t="s">
        <v>3425</v>
      </c>
      <c r="S335" t="s">
        <v>4292</v>
      </c>
    </row>
    <row r="336" spans="1:19" hidden="1" x14ac:dyDescent="0.25">
      <c r="A336" t="s">
        <v>4983</v>
      </c>
      <c r="B336" t="s">
        <v>3786</v>
      </c>
      <c r="C336" t="s">
        <v>3621</v>
      </c>
      <c r="D336" t="s">
        <v>3612</v>
      </c>
      <c r="E336" t="s">
        <v>1981</v>
      </c>
      <c r="F336" t="s">
        <v>611</v>
      </c>
      <c r="G336">
        <v>22</v>
      </c>
      <c r="H336">
        <v>244.94</v>
      </c>
      <c r="I336">
        <v>5388.68</v>
      </c>
      <c r="J336">
        <v>15</v>
      </c>
      <c r="K336">
        <v>862.19</v>
      </c>
      <c r="L336">
        <v>5442.57</v>
      </c>
      <c r="M336" t="s">
        <v>3442</v>
      </c>
      <c r="N336" t="s">
        <v>1121</v>
      </c>
      <c r="O336" t="s">
        <v>2449</v>
      </c>
      <c r="P336" t="s">
        <v>2495</v>
      </c>
      <c r="Q336" t="s">
        <v>4984</v>
      </c>
      <c r="R336" t="s">
        <v>3425</v>
      </c>
    </row>
    <row r="337" spans="1:19" x14ac:dyDescent="0.25">
      <c r="A337" t="s">
        <v>4985</v>
      </c>
      <c r="B337" s="2" t="s">
        <v>3074</v>
      </c>
      <c r="C337" t="s">
        <v>3074</v>
      </c>
      <c r="D337" t="s">
        <v>3859</v>
      </c>
      <c r="E337" t="s">
        <v>1659</v>
      </c>
      <c r="F337" t="s">
        <v>530</v>
      </c>
      <c r="G337">
        <v>26</v>
      </c>
      <c r="H337">
        <v>558.89</v>
      </c>
      <c r="I337">
        <v>14531.14</v>
      </c>
      <c r="J337">
        <v>2.2000000000000002</v>
      </c>
      <c r="K337">
        <v>2324.98</v>
      </c>
      <c r="L337">
        <v>16536.43</v>
      </c>
      <c r="M337" t="s">
        <v>4257</v>
      </c>
      <c r="N337" t="s">
        <v>1121</v>
      </c>
      <c r="O337" t="s">
        <v>2407</v>
      </c>
      <c r="P337" t="s">
        <v>2515</v>
      </c>
      <c r="Q337" t="s">
        <v>4986</v>
      </c>
      <c r="R337" t="s">
        <v>4245</v>
      </c>
    </row>
    <row r="338" spans="1:19" hidden="1" x14ac:dyDescent="0.25">
      <c r="A338" t="s">
        <v>4987</v>
      </c>
      <c r="B338" t="s">
        <v>3315</v>
      </c>
      <c r="C338" t="s">
        <v>3119</v>
      </c>
      <c r="D338" t="s">
        <v>3092</v>
      </c>
      <c r="E338" t="s">
        <v>2312</v>
      </c>
      <c r="F338" t="s">
        <v>1000</v>
      </c>
      <c r="G338">
        <v>8</v>
      </c>
      <c r="H338">
        <v>636.26</v>
      </c>
      <c r="I338">
        <v>5090.08</v>
      </c>
      <c r="J338">
        <v>8.6</v>
      </c>
      <c r="K338">
        <v>814.41</v>
      </c>
      <c r="L338">
        <v>5466.74</v>
      </c>
      <c r="M338" t="s">
        <v>4238</v>
      </c>
      <c r="N338" t="s">
        <v>4233</v>
      </c>
      <c r="O338" t="s">
        <v>2440</v>
      </c>
      <c r="P338" t="s">
        <v>2531</v>
      </c>
      <c r="Q338" t="s">
        <v>4988</v>
      </c>
      <c r="R338" t="s">
        <v>4275</v>
      </c>
    </row>
    <row r="339" spans="1:19" x14ac:dyDescent="0.25">
      <c r="A339" t="s">
        <v>4989</v>
      </c>
      <c r="B339" s="2" t="s">
        <v>2641</v>
      </c>
      <c r="C339" t="s">
        <v>2641</v>
      </c>
      <c r="D339" t="s">
        <v>3382</v>
      </c>
      <c r="E339" t="s">
        <v>2328</v>
      </c>
      <c r="F339" t="s">
        <v>146</v>
      </c>
      <c r="G339">
        <v>12</v>
      </c>
      <c r="H339">
        <v>322.39999999999998</v>
      </c>
      <c r="I339">
        <v>3868.8</v>
      </c>
      <c r="J339">
        <v>7.4</v>
      </c>
      <c r="K339">
        <v>619.01</v>
      </c>
      <c r="L339">
        <v>4201.5200000000004</v>
      </c>
      <c r="M339" t="s">
        <v>3442</v>
      </c>
      <c r="N339" t="s">
        <v>1121</v>
      </c>
      <c r="O339" t="s">
        <v>2456</v>
      </c>
      <c r="P339" t="s">
        <v>2544</v>
      </c>
      <c r="Q339" t="s">
        <v>4990</v>
      </c>
      <c r="R339" t="s">
        <v>4245</v>
      </c>
    </row>
    <row r="340" spans="1:19" x14ac:dyDescent="0.25">
      <c r="A340" t="s">
        <v>4991</v>
      </c>
      <c r="B340" s="2" t="s">
        <v>2786</v>
      </c>
      <c r="C340" t="s">
        <v>2786</v>
      </c>
      <c r="D340" t="s">
        <v>2976</v>
      </c>
      <c r="E340" t="s">
        <v>1775</v>
      </c>
      <c r="F340" t="s">
        <v>95</v>
      </c>
      <c r="G340">
        <v>14</v>
      </c>
      <c r="H340">
        <v>316.68</v>
      </c>
      <c r="I340">
        <v>4433.5200000000004</v>
      </c>
      <c r="J340">
        <v>18.399999999999999</v>
      </c>
      <c r="K340">
        <v>709.36</v>
      </c>
      <c r="L340">
        <v>4327.1099999999997</v>
      </c>
      <c r="M340" t="s">
        <v>4232</v>
      </c>
      <c r="N340" t="s">
        <v>4248</v>
      </c>
      <c r="O340" t="s">
        <v>2440</v>
      </c>
      <c r="P340" t="s">
        <v>2486</v>
      </c>
      <c r="Q340" t="s">
        <v>4992</v>
      </c>
      <c r="R340" t="s">
        <v>4245</v>
      </c>
    </row>
    <row r="341" spans="1:19" x14ac:dyDescent="0.25">
      <c r="A341" t="s">
        <v>4993</v>
      </c>
      <c r="B341" s="2" t="s">
        <v>2664</v>
      </c>
      <c r="C341" t="s">
        <v>2750</v>
      </c>
      <c r="D341" t="s">
        <v>3058</v>
      </c>
      <c r="E341" t="s">
        <v>1687</v>
      </c>
      <c r="F341" t="s">
        <v>960</v>
      </c>
      <c r="G341">
        <v>9</v>
      </c>
      <c r="H341">
        <v>334.14</v>
      </c>
      <c r="I341">
        <v>3007.26</v>
      </c>
      <c r="J341">
        <v>17.600000000000001</v>
      </c>
      <c r="K341">
        <v>481.16</v>
      </c>
      <c r="L341">
        <v>2959.14</v>
      </c>
      <c r="M341" t="s">
        <v>4247</v>
      </c>
      <c r="N341" t="s">
        <v>1520</v>
      </c>
      <c r="O341" t="s">
        <v>2416</v>
      </c>
      <c r="P341" t="s">
        <v>2558</v>
      </c>
      <c r="Q341" t="s">
        <v>4994</v>
      </c>
      <c r="R341" t="s">
        <v>4245</v>
      </c>
      <c r="S341" t="s">
        <v>4230</v>
      </c>
    </row>
    <row r="342" spans="1:19" hidden="1" x14ac:dyDescent="0.25">
      <c r="A342" t="s">
        <v>4995</v>
      </c>
      <c r="B342" t="s">
        <v>3701</v>
      </c>
      <c r="C342" t="s">
        <v>2589</v>
      </c>
      <c r="D342" t="s">
        <v>3075</v>
      </c>
      <c r="E342" t="s">
        <v>1803</v>
      </c>
      <c r="F342" t="s">
        <v>636</v>
      </c>
      <c r="G342">
        <v>7</v>
      </c>
      <c r="H342">
        <v>597.84</v>
      </c>
      <c r="I342">
        <v>4184.88</v>
      </c>
      <c r="J342">
        <v>16.600000000000001</v>
      </c>
      <c r="K342">
        <v>669.58</v>
      </c>
      <c r="L342">
        <v>4159.7700000000004</v>
      </c>
      <c r="M342" t="s">
        <v>3428</v>
      </c>
      <c r="N342" t="s">
        <v>4248</v>
      </c>
      <c r="O342" t="s">
        <v>2449</v>
      </c>
      <c r="P342" t="s">
        <v>2512</v>
      </c>
      <c r="Q342" t="s">
        <v>4996</v>
      </c>
      <c r="R342" t="s">
        <v>3425</v>
      </c>
      <c r="S342" t="s">
        <v>3466</v>
      </c>
    </row>
    <row r="343" spans="1:19" hidden="1" x14ac:dyDescent="0.25">
      <c r="A343" t="s">
        <v>4997</v>
      </c>
      <c r="B343" t="s">
        <v>3357</v>
      </c>
      <c r="C343" t="s">
        <v>2914</v>
      </c>
      <c r="D343" t="s">
        <v>3670</v>
      </c>
      <c r="E343" t="s">
        <v>2202</v>
      </c>
      <c r="F343" t="s">
        <v>284</v>
      </c>
      <c r="G343">
        <v>22</v>
      </c>
      <c r="H343">
        <v>504.63</v>
      </c>
      <c r="I343">
        <v>11101.86</v>
      </c>
      <c r="J343">
        <v>18.600000000000001</v>
      </c>
      <c r="K343">
        <v>1776.3</v>
      </c>
      <c r="L343">
        <v>10813.21</v>
      </c>
      <c r="M343" t="s">
        <v>4232</v>
      </c>
      <c r="N343" t="s">
        <v>4233</v>
      </c>
      <c r="O343" t="s">
        <v>2456</v>
      </c>
      <c r="P343" t="s">
        <v>2561</v>
      </c>
      <c r="Q343" t="s">
        <v>4998</v>
      </c>
      <c r="R343" t="s">
        <v>3429</v>
      </c>
      <c r="S343" t="s">
        <v>4292</v>
      </c>
    </row>
    <row r="344" spans="1:19" hidden="1" x14ac:dyDescent="0.25">
      <c r="A344" t="s">
        <v>4999</v>
      </c>
      <c r="B344" t="s">
        <v>3044</v>
      </c>
      <c r="C344" t="s">
        <v>3301</v>
      </c>
      <c r="D344" t="s">
        <v>3196</v>
      </c>
      <c r="E344" t="s">
        <v>2295</v>
      </c>
      <c r="F344" t="s">
        <v>432</v>
      </c>
      <c r="G344">
        <v>33</v>
      </c>
      <c r="H344">
        <v>679.77</v>
      </c>
      <c r="I344">
        <v>22432.41</v>
      </c>
      <c r="J344">
        <v>2.9</v>
      </c>
      <c r="K344">
        <v>3589.19</v>
      </c>
      <c r="L344">
        <v>25371.06</v>
      </c>
      <c r="M344" t="s">
        <v>4247</v>
      </c>
      <c r="N344" t="s">
        <v>1121</v>
      </c>
      <c r="O344" t="s">
        <v>2440</v>
      </c>
      <c r="P344" t="s">
        <v>2548</v>
      </c>
      <c r="Q344" t="s">
        <v>5000</v>
      </c>
      <c r="R344" t="s">
        <v>3425</v>
      </c>
    </row>
    <row r="345" spans="1:19" hidden="1" x14ac:dyDescent="0.25">
      <c r="A345" t="s">
        <v>5001</v>
      </c>
      <c r="B345" t="s">
        <v>2776</v>
      </c>
      <c r="C345" t="s">
        <v>2781</v>
      </c>
      <c r="D345" t="s">
        <v>4063</v>
      </c>
      <c r="E345" t="s">
        <v>1599</v>
      </c>
      <c r="F345" t="s">
        <v>131</v>
      </c>
      <c r="G345">
        <v>8</v>
      </c>
      <c r="H345">
        <v>524.73</v>
      </c>
      <c r="I345">
        <v>4197.84</v>
      </c>
      <c r="J345">
        <v>19.3</v>
      </c>
      <c r="K345">
        <v>671.65</v>
      </c>
      <c r="L345">
        <v>4059.31</v>
      </c>
      <c r="M345" t="s">
        <v>4227</v>
      </c>
      <c r="N345" t="s">
        <v>4243</v>
      </c>
      <c r="O345" t="s">
        <v>2449</v>
      </c>
      <c r="P345" t="s">
        <v>2531</v>
      </c>
      <c r="Q345" t="s">
        <v>5002</v>
      </c>
      <c r="R345" t="s">
        <v>3425</v>
      </c>
      <c r="S345" t="s">
        <v>3466</v>
      </c>
    </row>
    <row r="346" spans="1:19" hidden="1" x14ac:dyDescent="0.25">
      <c r="A346" t="s">
        <v>5003</v>
      </c>
      <c r="B346" t="s">
        <v>1828</v>
      </c>
      <c r="C346" t="s">
        <v>3507</v>
      </c>
      <c r="D346" t="s">
        <v>3854</v>
      </c>
      <c r="E346" t="s">
        <v>1544</v>
      </c>
      <c r="F346" t="s">
        <v>734</v>
      </c>
      <c r="G346">
        <v>19</v>
      </c>
      <c r="H346">
        <v>654.87</v>
      </c>
      <c r="I346">
        <v>12442.53</v>
      </c>
      <c r="J346">
        <v>16</v>
      </c>
      <c r="K346">
        <v>1990.8</v>
      </c>
      <c r="L346">
        <v>12442.53</v>
      </c>
      <c r="M346" t="s">
        <v>4257</v>
      </c>
      <c r="N346" t="s">
        <v>4228</v>
      </c>
      <c r="O346" t="s">
        <v>2456</v>
      </c>
      <c r="P346" t="s">
        <v>2551</v>
      </c>
      <c r="Q346" t="s">
        <v>5004</v>
      </c>
      <c r="R346" t="s">
        <v>4275</v>
      </c>
    </row>
    <row r="347" spans="1:19" hidden="1" x14ac:dyDescent="0.25">
      <c r="A347" t="s">
        <v>5005</v>
      </c>
      <c r="B347" t="s">
        <v>3235</v>
      </c>
      <c r="C347" t="s">
        <v>3321</v>
      </c>
      <c r="D347" t="s">
        <v>3831</v>
      </c>
      <c r="E347" t="s">
        <v>2060</v>
      </c>
      <c r="F347" t="s">
        <v>221</v>
      </c>
      <c r="G347">
        <v>12</v>
      </c>
      <c r="H347">
        <v>240.4</v>
      </c>
      <c r="I347">
        <v>2884.8</v>
      </c>
      <c r="J347">
        <v>18.100000000000001</v>
      </c>
      <c r="K347">
        <v>461.57</v>
      </c>
      <c r="L347">
        <v>2824.22</v>
      </c>
      <c r="M347" t="s">
        <v>3442</v>
      </c>
      <c r="N347" t="s">
        <v>4228</v>
      </c>
      <c r="O347" t="s">
        <v>2440</v>
      </c>
      <c r="P347" t="s">
        <v>2501</v>
      </c>
      <c r="Q347" t="s">
        <v>5006</v>
      </c>
      <c r="R347" t="s">
        <v>4275</v>
      </c>
      <c r="S347" t="s">
        <v>4292</v>
      </c>
    </row>
    <row r="348" spans="1:19" hidden="1" x14ac:dyDescent="0.25">
      <c r="A348" t="s">
        <v>5007</v>
      </c>
      <c r="B348" t="s">
        <v>4137</v>
      </c>
      <c r="C348" t="s">
        <v>2884</v>
      </c>
      <c r="D348" t="s">
        <v>2729</v>
      </c>
      <c r="E348" t="s">
        <v>1678</v>
      </c>
      <c r="F348" t="s">
        <v>279</v>
      </c>
      <c r="G348">
        <v>8</v>
      </c>
      <c r="H348">
        <v>400.54</v>
      </c>
      <c r="I348">
        <v>3204.32</v>
      </c>
      <c r="J348">
        <v>7.5</v>
      </c>
      <c r="K348">
        <v>512.69000000000005</v>
      </c>
      <c r="L348">
        <v>3476.69</v>
      </c>
      <c r="M348" t="s">
        <v>4247</v>
      </c>
      <c r="N348" t="s">
        <v>1520</v>
      </c>
      <c r="O348" t="s">
        <v>2407</v>
      </c>
      <c r="P348" t="s">
        <v>2506</v>
      </c>
      <c r="Q348" t="s">
        <v>5008</v>
      </c>
      <c r="R348" t="s">
        <v>3425</v>
      </c>
    </row>
    <row r="349" spans="1:19" hidden="1" x14ac:dyDescent="0.25">
      <c r="A349" t="s">
        <v>5009</v>
      </c>
      <c r="B349" t="s">
        <v>5010</v>
      </c>
      <c r="C349" t="s">
        <v>4198</v>
      </c>
      <c r="D349" t="s">
        <v>2521</v>
      </c>
      <c r="E349" t="s">
        <v>1838</v>
      </c>
      <c r="F349" t="s">
        <v>485</v>
      </c>
      <c r="G349">
        <v>20</v>
      </c>
      <c r="H349">
        <v>454.25</v>
      </c>
      <c r="I349">
        <v>9085</v>
      </c>
      <c r="J349">
        <v>18.100000000000001</v>
      </c>
      <c r="K349">
        <v>1453.6</v>
      </c>
      <c r="L349">
        <v>8894.2199999999993</v>
      </c>
      <c r="M349" t="s">
        <v>4238</v>
      </c>
      <c r="N349" t="s">
        <v>4228</v>
      </c>
      <c r="O349" t="s">
        <v>2440</v>
      </c>
      <c r="P349" t="s">
        <v>2541</v>
      </c>
      <c r="Q349" t="s">
        <v>5011</v>
      </c>
      <c r="R349" t="s">
        <v>3425</v>
      </c>
      <c r="S349" t="s">
        <v>4292</v>
      </c>
    </row>
    <row r="350" spans="1:19" hidden="1" x14ac:dyDescent="0.25">
      <c r="A350" t="s">
        <v>5012</v>
      </c>
      <c r="B350" t="s">
        <v>4602</v>
      </c>
      <c r="C350" t="s">
        <v>4583</v>
      </c>
      <c r="D350" t="s">
        <v>3746</v>
      </c>
      <c r="E350" t="s">
        <v>2025</v>
      </c>
      <c r="F350" t="s">
        <v>77</v>
      </c>
      <c r="G350">
        <v>11</v>
      </c>
      <c r="H350">
        <v>108.26</v>
      </c>
      <c r="I350">
        <v>1190.8599999999999</v>
      </c>
      <c r="J350">
        <v>7.5</v>
      </c>
      <c r="K350">
        <v>190.54</v>
      </c>
      <c r="L350">
        <v>1292.0899999999999</v>
      </c>
      <c r="M350" t="s">
        <v>4232</v>
      </c>
      <c r="N350" t="s">
        <v>4243</v>
      </c>
      <c r="O350" t="s">
        <v>2425</v>
      </c>
      <c r="P350" t="s">
        <v>2486</v>
      </c>
      <c r="Q350" t="s">
        <v>5013</v>
      </c>
      <c r="R350" t="s">
        <v>3425</v>
      </c>
      <c r="S350" t="s">
        <v>3466</v>
      </c>
    </row>
    <row r="351" spans="1:19" hidden="1" x14ac:dyDescent="0.25">
      <c r="A351" t="s">
        <v>5014</v>
      </c>
      <c r="B351" t="s">
        <v>3062</v>
      </c>
      <c r="C351" t="s">
        <v>3937</v>
      </c>
      <c r="D351" t="s">
        <v>1863</v>
      </c>
      <c r="E351" t="s">
        <v>2060</v>
      </c>
      <c r="F351" t="s">
        <v>432</v>
      </c>
      <c r="G351">
        <v>40</v>
      </c>
      <c r="H351">
        <v>661.59</v>
      </c>
      <c r="I351">
        <v>26463.599999999999</v>
      </c>
      <c r="J351">
        <v>3.6</v>
      </c>
      <c r="K351">
        <v>4234.18</v>
      </c>
      <c r="L351">
        <v>29745.09</v>
      </c>
      <c r="M351" t="s">
        <v>4232</v>
      </c>
      <c r="N351" t="s">
        <v>4243</v>
      </c>
      <c r="O351" t="s">
        <v>2425</v>
      </c>
      <c r="P351" t="s">
        <v>2531</v>
      </c>
      <c r="Q351" t="s">
        <v>5015</v>
      </c>
      <c r="R351" t="s">
        <v>3425</v>
      </c>
      <c r="S351" t="s">
        <v>3466</v>
      </c>
    </row>
    <row r="352" spans="1:19" hidden="1" x14ac:dyDescent="0.25">
      <c r="A352" t="s">
        <v>5016</v>
      </c>
      <c r="B352" t="s">
        <v>3001</v>
      </c>
      <c r="C352" t="s">
        <v>3485</v>
      </c>
      <c r="D352" t="s">
        <v>3485</v>
      </c>
      <c r="E352" t="s">
        <v>2060</v>
      </c>
      <c r="F352" t="s">
        <v>718</v>
      </c>
      <c r="G352">
        <v>21</v>
      </c>
      <c r="H352">
        <v>735.83</v>
      </c>
      <c r="I352">
        <v>15452.43</v>
      </c>
      <c r="J352">
        <v>3.2</v>
      </c>
      <c r="K352">
        <v>2472.39</v>
      </c>
      <c r="L352">
        <v>17430.34</v>
      </c>
      <c r="M352" t="s">
        <v>3428</v>
      </c>
      <c r="N352" t="s">
        <v>4233</v>
      </c>
      <c r="O352" t="s">
        <v>2432</v>
      </c>
      <c r="P352" t="s">
        <v>2525</v>
      </c>
      <c r="Q352" t="s">
        <v>5017</v>
      </c>
      <c r="R352" t="s">
        <v>3425</v>
      </c>
    </row>
    <row r="353" spans="1:19" hidden="1" x14ac:dyDescent="0.25">
      <c r="A353" t="s">
        <v>5018</v>
      </c>
      <c r="B353" t="s">
        <v>2647</v>
      </c>
      <c r="C353" t="s">
        <v>2945</v>
      </c>
      <c r="D353" t="s">
        <v>2945</v>
      </c>
      <c r="E353" t="s">
        <v>1511</v>
      </c>
      <c r="F353" t="s">
        <v>950</v>
      </c>
      <c r="G353">
        <v>24</v>
      </c>
      <c r="H353">
        <v>558.16</v>
      </c>
      <c r="I353">
        <v>13395.84</v>
      </c>
      <c r="J353">
        <v>18.5</v>
      </c>
      <c r="K353">
        <v>2143.33</v>
      </c>
      <c r="L353">
        <v>13060.94</v>
      </c>
      <c r="M353" t="s">
        <v>4257</v>
      </c>
      <c r="N353" t="s">
        <v>4248</v>
      </c>
      <c r="O353" t="s">
        <v>2432</v>
      </c>
      <c r="P353" t="s">
        <v>2506</v>
      </c>
      <c r="Q353" t="s">
        <v>5019</v>
      </c>
      <c r="R353" t="s">
        <v>4275</v>
      </c>
      <c r="S353" t="s">
        <v>4230</v>
      </c>
    </row>
    <row r="354" spans="1:19" hidden="1" x14ac:dyDescent="0.25">
      <c r="A354" t="s">
        <v>5020</v>
      </c>
      <c r="B354" t="s">
        <v>3605</v>
      </c>
      <c r="C354" t="s">
        <v>3044</v>
      </c>
      <c r="D354" t="s">
        <v>3914</v>
      </c>
      <c r="E354" t="s">
        <v>2336</v>
      </c>
      <c r="F354" t="s">
        <v>965</v>
      </c>
      <c r="G354">
        <v>45</v>
      </c>
      <c r="H354">
        <v>565.25</v>
      </c>
      <c r="I354">
        <v>25436.25</v>
      </c>
      <c r="J354">
        <v>4.7</v>
      </c>
      <c r="K354">
        <v>4069.8</v>
      </c>
      <c r="L354">
        <v>28310.55</v>
      </c>
      <c r="M354" t="s">
        <v>4247</v>
      </c>
      <c r="N354" t="s">
        <v>1121</v>
      </c>
      <c r="O354" t="s">
        <v>2432</v>
      </c>
      <c r="P354" t="s">
        <v>2501</v>
      </c>
      <c r="Q354" t="s">
        <v>5021</v>
      </c>
      <c r="R354" t="s">
        <v>3425</v>
      </c>
    </row>
    <row r="355" spans="1:19" hidden="1" x14ac:dyDescent="0.25">
      <c r="A355" t="s">
        <v>5022</v>
      </c>
      <c r="B355" t="s">
        <v>4271</v>
      </c>
      <c r="C355" t="s">
        <v>4271</v>
      </c>
      <c r="D355" t="s">
        <v>3540</v>
      </c>
      <c r="E355" t="s">
        <v>1990</v>
      </c>
      <c r="F355" t="s">
        <v>591</v>
      </c>
      <c r="G355">
        <v>5</v>
      </c>
      <c r="H355">
        <v>368.18</v>
      </c>
      <c r="I355">
        <v>1840.9</v>
      </c>
      <c r="J355">
        <v>5.2</v>
      </c>
      <c r="K355">
        <v>294.54000000000002</v>
      </c>
      <c r="L355">
        <v>2039.71</v>
      </c>
      <c r="M355" t="s">
        <v>4247</v>
      </c>
      <c r="N355" t="s">
        <v>4228</v>
      </c>
      <c r="O355" t="s">
        <v>2425</v>
      </c>
      <c r="P355" t="s">
        <v>2491</v>
      </c>
      <c r="Q355" t="s">
        <v>5023</v>
      </c>
      <c r="R355" t="s">
        <v>3425</v>
      </c>
    </row>
    <row r="356" spans="1:19" hidden="1" x14ac:dyDescent="0.25">
      <c r="A356" t="s">
        <v>5024</v>
      </c>
      <c r="B356" t="s">
        <v>5025</v>
      </c>
      <c r="C356" t="s">
        <v>3688</v>
      </c>
      <c r="D356" t="s">
        <v>3523</v>
      </c>
      <c r="E356" t="s">
        <v>2228</v>
      </c>
      <c r="F356" t="s">
        <v>799</v>
      </c>
      <c r="G356">
        <v>49</v>
      </c>
      <c r="H356">
        <v>781.07</v>
      </c>
      <c r="I356">
        <v>38272.43</v>
      </c>
      <c r="J356">
        <v>0.9</v>
      </c>
      <c r="K356">
        <v>6123.59</v>
      </c>
      <c r="L356">
        <v>44051.57</v>
      </c>
      <c r="M356" t="s">
        <v>4238</v>
      </c>
      <c r="N356" t="s">
        <v>1121</v>
      </c>
      <c r="O356" t="s">
        <v>2388</v>
      </c>
      <c r="P356" t="s">
        <v>2554</v>
      </c>
      <c r="Q356" t="s">
        <v>5026</v>
      </c>
      <c r="R356" t="s">
        <v>3425</v>
      </c>
    </row>
    <row r="357" spans="1:19" hidden="1" x14ac:dyDescent="0.25">
      <c r="A357" t="s">
        <v>5027</v>
      </c>
      <c r="B357" t="s">
        <v>2563</v>
      </c>
      <c r="C357" t="s">
        <v>5028</v>
      </c>
      <c r="D357" t="s">
        <v>4013</v>
      </c>
      <c r="E357" t="s">
        <v>1705</v>
      </c>
      <c r="F357" t="s">
        <v>180</v>
      </c>
      <c r="G357">
        <v>24</v>
      </c>
      <c r="H357">
        <v>699.35</v>
      </c>
      <c r="I357">
        <v>16784.400000000001</v>
      </c>
      <c r="J357">
        <v>10.199999999999999</v>
      </c>
      <c r="K357">
        <v>2685.5</v>
      </c>
      <c r="L357">
        <v>17757.89</v>
      </c>
      <c r="M357" t="s">
        <v>3442</v>
      </c>
      <c r="N357" t="s">
        <v>1520</v>
      </c>
      <c r="O357" t="s">
        <v>2449</v>
      </c>
      <c r="P357" t="s">
        <v>2531</v>
      </c>
      <c r="Q357" t="s">
        <v>5029</v>
      </c>
      <c r="R357" t="s">
        <v>3429</v>
      </c>
      <c r="S357" t="s">
        <v>4292</v>
      </c>
    </row>
    <row r="358" spans="1:19" hidden="1" x14ac:dyDescent="0.25">
      <c r="A358" t="s">
        <v>5030</v>
      </c>
      <c r="B358" t="s">
        <v>3464</v>
      </c>
      <c r="C358" t="s">
        <v>3464</v>
      </c>
      <c r="D358" t="s">
        <v>2995</v>
      </c>
      <c r="E358" t="s">
        <v>1489</v>
      </c>
      <c r="F358" t="s">
        <v>221</v>
      </c>
      <c r="G358">
        <v>49</v>
      </c>
      <c r="H358">
        <v>566.28</v>
      </c>
      <c r="I358">
        <v>27747.72</v>
      </c>
      <c r="J358">
        <v>10.6</v>
      </c>
      <c r="K358">
        <v>4439.6400000000003</v>
      </c>
      <c r="L358">
        <v>29246.1</v>
      </c>
      <c r="M358" t="s">
        <v>4227</v>
      </c>
      <c r="N358" t="s">
        <v>4248</v>
      </c>
      <c r="O358" t="s">
        <v>2398</v>
      </c>
      <c r="P358" t="s">
        <v>2558</v>
      </c>
      <c r="Q358" t="s">
        <v>5031</v>
      </c>
      <c r="R358" t="s">
        <v>3429</v>
      </c>
    </row>
    <row r="359" spans="1:19" hidden="1" x14ac:dyDescent="0.25">
      <c r="A359" t="s">
        <v>5032</v>
      </c>
      <c r="B359" t="s">
        <v>3605</v>
      </c>
      <c r="C359" t="s">
        <v>2663</v>
      </c>
      <c r="D359" t="s">
        <v>3580</v>
      </c>
      <c r="E359" t="s">
        <v>2135</v>
      </c>
      <c r="F359" t="s">
        <v>754</v>
      </c>
      <c r="G359">
        <v>32</v>
      </c>
      <c r="H359">
        <v>453.8</v>
      </c>
      <c r="I359">
        <v>14521.6</v>
      </c>
      <c r="J359">
        <v>10.5</v>
      </c>
      <c r="K359">
        <v>2323.46</v>
      </c>
      <c r="L359">
        <v>15320.29</v>
      </c>
      <c r="M359" t="s">
        <v>4227</v>
      </c>
      <c r="N359" t="s">
        <v>4243</v>
      </c>
      <c r="O359" t="s">
        <v>2432</v>
      </c>
      <c r="P359" t="s">
        <v>2554</v>
      </c>
      <c r="Q359" t="s">
        <v>5033</v>
      </c>
      <c r="R359" t="s">
        <v>3429</v>
      </c>
      <c r="S359" t="s">
        <v>4292</v>
      </c>
    </row>
    <row r="360" spans="1:19" hidden="1" x14ac:dyDescent="0.25">
      <c r="A360" t="s">
        <v>5034</v>
      </c>
      <c r="B360" t="s">
        <v>3295</v>
      </c>
      <c r="C360" t="s">
        <v>3021</v>
      </c>
      <c r="D360" t="s">
        <v>2943</v>
      </c>
      <c r="E360" t="s">
        <v>2361</v>
      </c>
      <c r="F360" t="s">
        <v>1066</v>
      </c>
      <c r="G360">
        <v>8</v>
      </c>
      <c r="H360">
        <v>576.63</v>
      </c>
      <c r="I360">
        <v>4613.04</v>
      </c>
      <c r="J360">
        <v>14.5</v>
      </c>
      <c r="K360">
        <v>738.09</v>
      </c>
      <c r="L360">
        <v>4682.24</v>
      </c>
      <c r="M360" t="s">
        <v>3442</v>
      </c>
      <c r="N360" t="s">
        <v>4233</v>
      </c>
      <c r="O360" t="s">
        <v>2456</v>
      </c>
      <c r="P360" t="s">
        <v>2495</v>
      </c>
      <c r="Q360" t="s">
        <v>5035</v>
      </c>
      <c r="R360" t="s">
        <v>3425</v>
      </c>
    </row>
    <row r="361" spans="1:19" x14ac:dyDescent="0.25">
      <c r="A361" t="s">
        <v>5036</v>
      </c>
      <c r="B361" s="2" t="s">
        <v>3127</v>
      </c>
      <c r="C361" t="s">
        <v>3160</v>
      </c>
      <c r="D361" t="s">
        <v>2303</v>
      </c>
      <c r="E361" t="s">
        <v>1713</v>
      </c>
      <c r="F361" t="s">
        <v>69</v>
      </c>
      <c r="G361">
        <v>20</v>
      </c>
      <c r="H361">
        <v>652.14</v>
      </c>
      <c r="I361">
        <v>13042.8</v>
      </c>
      <c r="J361">
        <v>0.9</v>
      </c>
      <c r="K361">
        <v>2086.85</v>
      </c>
      <c r="L361">
        <v>15012.26</v>
      </c>
      <c r="M361" t="s">
        <v>3442</v>
      </c>
      <c r="N361" t="s">
        <v>4233</v>
      </c>
      <c r="O361" t="s">
        <v>2416</v>
      </c>
      <c r="P361" t="s">
        <v>2564</v>
      </c>
      <c r="Q361" t="s">
        <v>5037</v>
      </c>
      <c r="R361" t="s">
        <v>4245</v>
      </c>
      <c r="S361" t="s">
        <v>3466</v>
      </c>
    </row>
    <row r="362" spans="1:19" hidden="1" x14ac:dyDescent="0.25">
      <c r="A362" t="s">
        <v>5038</v>
      </c>
      <c r="B362" t="s">
        <v>5039</v>
      </c>
      <c r="C362" t="s">
        <v>3827</v>
      </c>
      <c r="D362" t="s">
        <v>4169</v>
      </c>
      <c r="E362" t="s">
        <v>1678</v>
      </c>
      <c r="F362" t="s">
        <v>1086</v>
      </c>
      <c r="G362">
        <v>27</v>
      </c>
      <c r="H362">
        <v>570.5</v>
      </c>
      <c r="I362">
        <v>15403.5</v>
      </c>
      <c r="J362">
        <v>11.9</v>
      </c>
      <c r="K362">
        <v>2464.56</v>
      </c>
      <c r="L362">
        <v>16035.04</v>
      </c>
      <c r="M362" t="s">
        <v>4247</v>
      </c>
      <c r="N362" t="s">
        <v>4228</v>
      </c>
      <c r="O362" t="s">
        <v>2388</v>
      </c>
      <c r="P362" t="s">
        <v>2554</v>
      </c>
      <c r="Q362" t="s">
        <v>5040</v>
      </c>
      <c r="R362" t="s">
        <v>3425</v>
      </c>
    </row>
    <row r="363" spans="1:19" hidden="1" x14ac:dyDescent="0.25">
      <c r="A363" t="s">
        <v>5041</v>
      </c>
      <c r="B363" t="s">
        <v>4745</v>
      </c>
      <c r="C363" t="s">
        <v>4584</v>
      </c>
      <c r="D363" t="s">
        <v>3796</v>
      </c>
      <c r="E363" t="s">
        <v>1554</v>
      </c>
      <c r="F363" t="s">
        <v>384</v>
      </c>
      <c r="G363">
        <v>28</v>
      </c>
      <c r="H363">
        <v>437.8</v>
      </c>
      <c r="I363">
        <v>12258.4</v>
      </c>
      <c r="J363">
        <v>0.4</v>
      </c>
      <c r="K363">
        <v>1961.34</v>
      </c>
      <c r="L363">
        <v>14170.71</v>
      </c>
      <c r="M363" t="s">
        <v>4257</v>
      </c>
      <c r="N363" t="s">
        <v>4233</v>
      </c>
      <c r="O363" t="s">
        <v>2376</v>
      </c>
      <c r="P363" t="s">
        <v>2525</v>
      </c>
      <c r="Q363" t="s">
        <v>5042</v>
      </c>
      <c r="R363" t="s">
        <v>3425</v>
      </c>
      <c r="S363" t="s">
        <v>4230</v>
      </c>
    </row>
    <row r="364" spans="1:19" hidden="1" x14ac:dyDescent="0.25">
      <c r="A364" t="s">
        <v>5043</v>
      </c>
      <c r="B364" t="s">
        <v>3078</v>
      </c>
      <c r="C364" t="s">
        <v>3078</v>
      </c>
      <c r="D364" t="s">
        <v>3239</v>
      </c>
      <c r="E364" t="s">
        <v>1722</v>
      </c>
      <c r="F364" t="s">
        <v>809</v>
      </c>
      <c r="G364">
        <v>26</v>
      </c>
      <c r="H364">
        <v>250.84</v>
      </c>
      <c r="I364">
        <v>6521.84</v>
      </c>
      <c r="J364">
        <v>1.9</v>
      </c>
      <c r="K364">
        <v>1043.49</v>
      </c>
      <c r="L364">
        <v>7441.42</v>
      </c>
      <c r="M364" t="s">
        <v>4238</v>
      </c>
      <c r="N364" t="s">
        <v>1121</v>
      </c>
      <c r="O364" t="s">
        <v>2416</v>
      </c>
      <c r="P364" t="s">
        <v>2512</v>
      </c>
      <c r="Q364" t="s">
        <v>5044</v>
      </c>
      <c r="R364" t="s">
        <v>3425</v>
      </c>
      <c r="S364" t="s">
        <v>4230</v>
      </c>
    </row>
    <row r="365" spans="1:19" hidden="1" x14ac:dyDescent="0.25">
      <c r="A365" t="s">
        <v>5045</v>
      </c>
      <c r="B365" t="s">
        <v>3689</v>
      </c>
      <c r="C365" t="s">
        <v>3766</v>
      </c>
      <c r="D365" t="s">
        <v>4569</v>
      </c>
      <c r="E365" t="s">
        <v>2119</v>
      </c>
      <c r="F365" t="s">
        <v>995</v>
      </c>
      <c r="G365">
        <v>11</v>
      </c>
      <c r="H365">
        <v>839.92</v>
      </c>
      <c r="I365">
        <v>9239.1200000000008</v>
      </c>
      <c r="J365">
        <v>16.8</v>
      </c>
      <c r="K365">
        <v>1478.26</v>
      </c>
      <c r="L365">
        <v>9165.2099999999991</v>
      </c>
      <c r="M365" t="s">
        <v>4238</v>
      </c>
      <c r="N365" t="s">
        <v>4228</v>
      </c>
      <c r="O365" t="s">
        <v>2456</v>
      </c>
      <c r="P365" t="s">
        <v>2481</v>
      </c>
      <c r="Q365" t="s">
        <v>5046</v>
      </c>
      <c r="R365" t="s">
        <v>3429</v>
      </c>
      <c r="S365" t="s">
        <v>4235</v>
      </c>
    </row>
    <row r="366" spans="1:19" hidden="1" x14ac:dyDescent="0.25">
      <c r="A366" t="s">
        <v>5047</v>
      </c>
      <c r="B366" t="s">
        <v>3174</v>
      </c>
      <c r="C366" t="s">
        <v>2943</v>
      </c>
      <c r="D366" t="s">
        <v>3152</v>
      </c>
      <c r="E366" t="s">
        <v>1687</v>
      </c>
      <c r="F366" t="s">
        <v>698</v>
      </c>
      <c r="G366">
        <v>49</v>
      </c>
      <c r="H366">
        <v>448.92</v>
      </c>
      <c r="I366">
        <v>21997.08</v>
      </c>
      <c r="J366">
        <v>4.9000000000000004</v>
      </c>
      <c r="K366">
        <v>3519.53</v>
      </c>
      <c r="L366">
        <v>24438.75</v>
      </c>
      <c r="M366" t="s">
        <v>4232</v>
      </c>
      <c r="N366" t="s">
        <v>1121</v>
      </c>
      <c r="O366" t="s">
        <v>2449</v>
      </c>
      <c r="P366" t="s">
        <v>2551</v>
      </c>
      <c r="Q366" t="s">
        <v>5048</v>
      </c>
      <c r="R366" t="s">
        <v>3425</v>
      </c>
    </row>
    <row r="367" spans="1:19" hidden="1" x14ac:dyDescent="0.25">
      <c r="A367" t="s">
        <v>5049</v>
      </c>
      <c r="B367" t="s">
        <v>3635</v>
      </c>
      <c r="C367" t="s">
        <v>3960</v>
      </c>
      <c r="D367" t="s">
        <v>3960</v>
      </c>
      <c r="E367" t="s">
        <v>2042</v>
      </c>
      <c r="F367" t="s">
        <v>631</v>
      </c>
      <c r="G367">
        <v>48</v>
      </c>
      <c r="H367">
        <v>166.64</v>
      </c>
      <c r="I367">
        <v>7998.72</v>
      </c>
      <c r="J367">
        <v>6.7</v>
      </c>
      <c r="K367">
        <v>1279.8</v>
      </c>
      <c r="L367">
        <v>8742.61</v>
      </c>
      <c r="M367" t="s">
        <v>3428</v>
      </c>
      <c r="N367" t="s">
        <v>1520</v>
      </c>
      <c r="O367" t="s">
        <v>2388</v>
      </c>
      <c r="P367" t="s">
        <v>2512</v>
      </c>
      <c r="Q367" t="s">
        <v>5050</v>
      </c>
      <c r="R367" t="s">
        <v>3425</v>
      </c>
    </row>
    <row r="368" spans="1:19" hidden="1" x14ac:dyDescent="0.25">
      <c r="A368" t="s">
        <v>5051</v>
      </c>
      <c r="B368" t="s">
        <v>3507</v>
      </c>
      <c r="C368" t="s">
        <v>3174</v>
      </c>
      <c r="D368" t="s">
        <v>2943</v>
      </c>
      <c r="E368" t="s">
        <v>1722</v>
      </c>
      <c r="F368" t="s">
        <v>295</v>
      </c>
      <c r="G368">
        <v>43</v>
      </c>
      <c r="H368">
        <v>504.67</v>
      </c>
      <c r="I368">
        <v>21700.81</v>
      </c>
      <c r="J368">
        <v>3.1</v>
      </c>
      <c r="K368">
        <v>3472.13</v>
      </c>
      <c r="L368">
        <v>24500.21</v>
      </c>
      <c r="M368" t="s">
        <v>4247</v>
      </c>
      <c r="N368" t="s">
        <v>4228</v>
      </c>
      <c r="O368" t="s">
        <v>2449</v>
      </c>
      <c r="P368" t="s">
        <v>2564</v>
      </c>
      <c r="Q368" t="s">
        <v>5052</v>
      </c>
      <c r="R368" t="s">
        <v>4275</v>
      </c>
    </row>
    <row r="369" spans="1:19" hidden="1" x14ac:dyDescent="0.25">
      <c r="A369" t="s">
        <v>5053</v>
      </c>
      <c r="B369" t="s">
        <v>3164</v>
      </c>
      <c r="C369" t="s">
        <v>2721</v>
      </c>
      <c r="D369" t="s">
        <v>3479</v>
      </c>
      <c r="E369" t="s">
        <v>2025</v>
      </c>
      <c r="F369" t="s">
        <v>1056</v>
      </c>
      <c r="G369">
        <v>39</v>
      </c>
      <c r="H369">
        <v>682.66</v>
      </c>
      <c r="I369">
        <v>26623.74</v>
      </c>
      <c r="J369">
        <v>1.3</v>
      </c>
      <c r="K369">
        <v>4259.8</v>
      </c>
      <c r="L369">
        <v>30537.43</v>
      </c>
      <c r="M369" t="s">
        <v>4238</v>
      </c>
      <c r="N369" t="s">
        <v>4243</v>
      </c>
      <c r="O369" t="s">
        <v>2376</v>
      </c>
      <c r="P369" t="s">
        <v>2527</v>
      </c>
      <c r="Q369" t="s">
        <v>5054</v>
      </c>
      <c r="R369" t="s">
        <v>3429</v>
      </c>
    </row>
    <row r="370" spans="1:19" hidden="1" x14ac:dyDescent="0.25">
      <c r="A370" t="s">
        <v>5055</v>
      </c>
      <c r="B370" t="s">
        <v>4864</v>
      </c>
      <c r="C370" t="s">
        <v>4049</v>
      </c>
      <c r="D370" t="s">
        <v>4049</v>
      </c>
      <c r="E370" t="s">
        <v>2228</v>
      </c>
      <c r="F370" t="s">
        <v>125</v>
      </c>
      <c r="G370">
        <v>28</v>
      </c>
      <c r="H370">
        <v>704.41</v>
      </c>
      <c r="I370">
        <v>19723.48</v>
      </c>
      <c r="J370">
        <v>14.5</v>
      </c>
      <c r="K370">
        <v>3155.76</v>
      </c>
      <c r="L370">
        <v>20019.34</v>
      </c>
      <c r="M370" t="s">
        <v>4247</v>
      </c>
      <c r="N370" t="s">
        <v>4228</v>
      </c>
      <c r="O370" t="s">
        <v>2449</v>
      </c>
      <c r="P370" t="s">
        <v>2491</v>
      </c>
      <c r="Q370" t="s">
        <v>5056</v>
      </c>
      <c r="R370" t="s">
        <v>3425</v>
      </c>
    </row>
    <row r="371" spans="1:19" hidden="1" x14ac:dyDescent="0.25">
      <c r="A371" t="s">
        <v>5057</v>
      </c>
      <c r="B371" t="s">
        <v>3960</v>
      </c>
      <c r="C371" t="s">
        <v>3499</v>
      </c>
      <c r="D371" t="s">
        <v>2786</v>
      </c>
      <c r="E371" t="s">
        <v>2194</v>
      </c>
      <c r="F371" t="s">
        <v>258</v>
      </c>
      <c r="G371">
        <v>30</v>
      </c>
      <c r="H371">
        <v>585.36</v>
      </c>
      <c r="I371">
        <v>17560.8</v>
      </c>
      <c r="J371">
        <v>19.100000000000001</v>
      </c>
      <c r="K371">
        <v>2809.73</v>
      </c>
      <c r="L371">
        <v>17016.419999999998</v>
      </c>
      <c r="M371" t="s">
        <v>4232</v>
      </c>
      <c r="N371" t="s">
        <v>4243</v>
      </c>
      <c r="O371" t="s">
        <v>2388</v>
      </c>
      <c r="P371" t="s">
        <v>2525</v>
      </c>
      <c r="Q371" t="s">
        <v>5058</v>
      </c>
      <c r="R371" t="s">
        <v>3434</v>
      </c>
      <c r="S371" t="s">
        <v>4230</v>
      </c>
    </row>
    <row r="372" spans="1:19" hidden="1" x14ac:dyDescent="0.25">
      <c r="A372" t="s">
        <v>5059</v>
      </c>
      <c r="B372" t="s">
        <v>3695</v>
      </c>
      <c r="C372" t="s">
        <v>3481</v>
      </c>
      <c r="D372" t="s">
        <v>3450</v>
      </c>
      <c r="E372" t="s">
        <v>2237</v>
      </c>
      <c r="F372" t="s">
        <v>749</v>
      </c>
      <c r="G372">
        <v>12</v>
      </c>
      <c r="H372">
        <v>687.54</v>
      </c>
      <c r="I372">
        <v>8250.48</v>
      </c>
      <c r="J372">
        <v>0.3</v>
      </c>
      <c r="K372">
        <v>1320.08</v>
      </c>
      <c r="L372">
        <v>9545.81</v>
      </c>
      <c r="M372" t="s">
        <v>3428</v>
      </c>
      <c r="N372" t="s">
        <v>1520</v>
      </c>
      <c r="O372" t="s">
        <v>2425</v>
      </c>
      <c r="P372" t="s">
        <v>2561</v>
      </c>
      <c r="Q372" t="s">
        <v>5060</v>
      </c>
      <c r="R372" t="s">
        <v>3425</v>
      </c>
    </row>
    <row r="373" spans="1:19" hidden="1" x14ac:dyDescent="0.25">
      <c r="A373" t="s">
        <v>5061</v>
      </c>
      <c r="B373" t="s">
        <v>3567</v>
      </c>
      <c r="C373" t="s">
        <v>4048</v>
      </c>
      <c r="D373" t="s">
        <v>4162</v>
      </c>
      <c r="E373" t="s">
        <v>1872</v>
      </c>
      <c r="F373" t="s">
        <v>682</v>
      </c>
      <c r="G373">
        <v>14</v>
      </c>
      <c r="H373">
        <v>346.44</v>
      </c>
      <c r="I373">
        <v>4850.16</v>
      </c>
      <c r="J373">
        <v>10.1</v>
      </c>
      <c r="K373">
        <v>776.03</v>
      </c>
      <c r="L373">
        <v>5136.32</v>
      </c>
      <c r="M373" t="s">
        <v>4227</v>
      </c>
      <c r="N373" t="s">
        <v>1121</v>
      </c>
      <c r="O373" t="s">
        <v>2456</v>
      </c>
      <c r="P373" t="s">
        <v>2515</v>
      </c>
      <c r="Q373" t="s">
        <v>5062</v>
      </c>
      <c r="R373" t="s">
        <v>3425</v>
      </c>
      <c r="S373" t="s">
        <v>3466</v>
      </c>
    </row>
    <row r="374" spans="1:19" x14ac:dyDescent="0.25">
      <c r="A374" t="s">
        <v>5063</v>
      </c>
      <c r="B374" s="2" t="s">
        <v>2927</v>
      </c>
      <c r="C374" t="s">
        <v>2610</v>
      </c>
      <c r="D374" t="s">
        <v>3514</v>
      </c>
      <c r="E374" t="s">
        <v>2320</v>
      </c>
      <c r="F374" t="s">
        <v>490</v>
      </c>
      <c r="G374">
        <v>9</v>
      </c>
      <c r="H374">
        <v>563.47</v>
      </c>
      <c r="I374">
        <v>5071.2299999999996</v>
      </c>
      <c r="J374">
        <v>12.2</v>
      </c>
      <c r="K374">
        <v>811.4</v>
      </c>
      <c r="L374">
        <v>5263.94</v>
      </c>
      <c r="M374" t="s">
        <v>3428</v>
      </c>
      <c r="N374" t="s">
        <v>1121</v>
      </c>
      <c r="O374" t="s">
        <v>2456</v>
      </c>
      <c r="P374" t="s">
        <v>2531</v>
      </c>
      <c r="Q374" t="s">
        <v>5064</v>
      </c>
      <c r="R374" t="s">
        <v>4245</v>
      </c>
      <c r="S374" t="s">
        <v>4235</v>
      </c>
    </row>
    <row r="375" spans="1:19" hidden="1" x14ac:dyDescent="0.25">
      <c r="A375" t="s">
        <v>5065</v>
      </c>
      <c r="B375" t="s">
        <v>2692</v>
      </c>
      <c r="C375" t="s">
        <v>3910</v>
      </c>
      <c r="D375" t="s">
        <v>3518</v>
      </c>
      <c r="E375" t="s">
        <v>2051</v>
      </c>
      <c r="F375" t="s">
        <v>77</v>
      </c>
      <c r="G375">
        <v>36</v>
      </c>
      <c r="H375">
        <v>103.08</v>
      </c>
      <c r="I375">
        <v>3710.88</v>
      </c>
      <c r="J375">
        <v>15.6</v>
      </c>
      <c r="K375">
        <v>593.74</v>
      </c>
      <c r="L375">
        <v>3725.72</v>
      </c>
      <c r="M375" t="s">
        <v>4247</v>
      </c>
      <c r="N375" t="s">
        <v>1520</v>
      </c>
      <c r="O375" t="s">
        <v>2416</v>
      </c>
      <c r="P375" t="s">
        <v>2544</v>
      </c>
      <c r="Q375" t="s">
        <v>5066</v>
      </c>
      <c r="R375" t="s">
        <v>3429</v>
      </c>
      <c r="S375" t="s">
        <v>4292</v>
      </c>
    </row>
    <row r="376" spans="1:19" hidden="1" x14ac:dyDescent="0.25">
      <c r="A376" t="s">
        <v>5067</v>
      </c>
      <c r="B376" t="s">
        <v>3204</v>
      </c>
      <c r="C376" t="s">
        <v>3204</v>
      </c>
      <c r="D376" t="s">
        <v>3549</v>
      </c>
      <c r="E376" t="s">
        <v>1578</v>
      </c>
      <c r="F376" t="s">
        <v>764</v>
      </c>
      <c r="G376">
        <v>13</v>
      </c>
      <c r="H376">
        <v>742.18</v>
      </c>
      <c r="I376">
        <v>9648.34</v>
      </c>
      <c r="J376">
        <v>16</v>
      </c>
      <c r="K376">
        <v>1543.73</v>
      </c>
      <c r="L376">
        <v>9648.34</v>
      </c>
      <c r="M376" t="s">
        <v>3428</v>
      </c>
      <c r="N376" t="s">
        <v>1121</v>
      </c>
      <c r="O376" t="s">
        <v>2416</v>
      </c>
      <c r="P376" t="s">
        <v>2535</v>
      </c>
      <c r="Q376" t="s">
        <v>5068</v>
      </c>
      <c r="R376" t="s">
        <v>3425</v>
      </c>
      <c r="S376" t="s">
        <v>4235</v>
      </c>
    </row>
    <row r="377" spans="1:19" hidden="1" x14ac:dyDescent="0.25">
      <c r="A377" t="s">
        <v>5069</v>
      </c>
      <c r="B377" t="s">
        <v>2953</v>
      </c>
      <c r="C377" t="s">
        <v>2702</v>
      </c>
      <c r="D377" t="s">
        <v>4508</v>
      </c>
      <c r="E377" t="s">
        <v>2312</v>
      </c>
      <c r="F377" t="s">
        <v>855</v>
      </c>
      <c r="G377">
        <v>35</v>
      </c>
      <c r="H377">
        <v>746.74</v>
      </c>
      <c r="I377">
        <v>26135.9</v>
      </c>
      <c r="J377">
        <v>2.1</v>
      </c>
      <c r="K377">
        <v>4181.74</v>
      </c>
      <c r="L377">
        <v>29768.79</v>
      </c>
      <c r="M377" t="s">
        <v>4232</v>
      </c>
      <c r="N377" t="s">
        <v>4228</v>
      </c>
      <c r="O377" t="s">
        <v>2376</v>
      </c>
      <c r="P377" t="s">
        <v>2515</v>
      </c>
      <c r="Q377" t="s">
        <v>5070</v>
      </c>
      <c r="R377" t="s">
        <v>3425</v>
      </c>
    </row>
    <row r="378" spans="1:19" hidden="1" x14ac:dyDescent="0.25">
      <c r="A378" t="s">
        <v>5071</v>
      </c>
      <c r="B378" t="s">
        <v>3486</v>
      </c>
      <c r="C378" t="s">
        <v>3239</v>
      </c>
      <c r="D378" t="s">
        <v>3039</v>
      </c>
      <c r="E378" t="s">
        <v>2237</v>
      </c>
      <c r="F378" t="s">
        <v>930</v>
      </c>
      <c r="G378">
        <v>33</v>
      </c>
      <c r="H378">
        <v>744.96</v>
      </c>
      <c r="I378">
        <v>24583.68</v>
      </c>
      <c r="J378">
        <v>17.5</v>
      </c>
      <c r="K378">
        <v>3933.39</v>
      </c>
      <c r="L378">
        <v>24214.93</v>
      </c>
      <c r="M378" t="s">
        <v>4238</v>
      </c>
      <c r="N378" t="s">
        <v>4233</v>
      </c>
      <c r="O378" t="s">
        <v>2398</v>
      </c>
      <c r="P378" t="s">
        <v>2527</v>
      </c>
      <c r="Q378" t="s">
        <v>5072</v>
      </c>
      <c r="R378" t="s">
        <v>3429</v>
      </c>
      <c r="S378" t="s">
        <v>4235</v>
      </c>
    </row>
    <row r="379" spans="1:19" hidden="1" x14ac:dyDescent="0.25">
      <c r="A379" t="s">
        <v>5073</v>
      </c>
      <c r="B379" t="s">
        <v>4974</v>
      </c>
      <c r="C379" t="s">
        <v>3562</v>
      </c>
      <c r="D379" t="s">
        <v>3490</v>
      </c>
      <c r="E379" t="s">
        <v>1838</v>
      </c>
      <c r="F379" t="s">
        <v>819</v>
      </c>
      <c r="G379">
        <v>39</v>
      </c>
      <c r="H379">
        <v>821.39</v>
      </c>
      <c r="I379">
        <v>32034.21</v>
      </c>
      <c r="J379">
        <v>0.4</v>
      </c>
      <c r="K379">
        <v>5125.47</v>
      </c>
      <c r="L379">
        <v>37031.54</v>
      </c>
      <c r="M379" t="s">
        <v>4232</v>
      </c>
      <c r="N379" t="s">
        <v>4248</v>
      </c>
      <c r="O379" t="s">
        <v>2425</v>
      </c>
      <c r="P379" t="s">
        <v>2541</v>
      </c>
      <c r="Q379" t="s">
        <v>5074</v>
      </c>
      <c r="R379" t="s">
        <v>3425</v>
      </c>
    </row>
    <row r="380" spans="1:19" hidden="1" x14ac:dyDescent="0.25">
      <c r="A380" t="s">
        <v>5075</v>
      </c>
      <c r="B380" t="s">
        <v>4357</v>
      </c>
      <c r="C380" t="s">
        <v>3877</v>
      </c>
      <c r="D380" t="s">
        <v>3606</v>
      </c>
      <c r="E380" t="s">
        <v>1881</v>
      </c>
      <c r="F380" t="s">
        <v>728</v>
      </c>
      <c r="G380">
        <v>20</v>
      </c>
      <c r="H380">
        <v>633.41</v>
      </c>
      <c r="I380">
        <v>12668.2</v>
      </c>
      <c r="J380">
        <v>10.8</v>
      </c>
      <c r="K380">
        <v>2026.91</v>
      </c>
      <c r="L380">
        <v>13326.94</v>
      </c>
      <c r="M380" t="s">
        <v>4238</v>
      </c>
      <c r="N380" t="s">
        <v>4243</v>
      </c>
      <c r="O380" t="s">
        <v>2388</v>
      </c>
      <c r="P380" t="s">
        <v>2544</v>
      </c>
      <c r="Q380" t="s">
        <v>5076</v>
      </c>
      <c r="R380" t="s">
        <v>3425</v>
      </c>
    </row>
    <row r="381" spans="1:19" hidden="1" x14ac:dyDescent="0.25">
      <c r="A381" t="s">
        <v>5077</v>
      </c>
      <c r="B381" t="s">
        <v>2936</v>
      </c>
      <c r="C381" t="s">
        <v>2936</v>
      </c>
      <c r="D381" t="s">
        <v>5078</v>
      </c>
      <c r="E381" t="s">
        <v>1678</v>
      </c>
      <c r="F381" t="s">
        <v>682</v>
      </c>
      <c r="G381">
        <v>24</v>
      </c>
      <c r="H381">
        <v>832.16</v>
      </c>
      <c r="I381">
        <v>19971.84</v>
      </c>
      <c r="J381">
        <v>0.9</v>
      </c>
      <c r="K381">
        <v>3195.49</v>
      </c>
      <c r="L381">
        <v>22987.58</v>
      </c>
      <c r="M381" t="s">
        <v>4227</v>
      </c>
      <c r="N381" t="s">
        <v>4243</v>
      </c>
      <c r="O381" t="s">
        <v>2432</v>
      </c>
      <c r="P381" t="s">
        <v>2568</v>
      </c>
      <c r="Q381" t="s">
        <v>5079</v>
      </c>
      <c r="R381" t="s">
        <v>3425</v>
      </c>
      <c r="S381" t="s">
        <v>4230</v>
      </c>
    </row>
    <row r="382" spans="1:19" hidden="1" x14ac:dyDescent="0.25">
      <c r="A382" t="s">
        <v>5080</v>
      </c>
      <c r="B382" t="s">
        <v>3715</v>
      </c>
      <c r="C382" t="s">
        <v>2627</v>
      </c>
      <c r="D382" t="s">
        <v>2627</v>
      </c>
      <c r="E382" t="s">
        <v>2219</v>
      </c>
      <c r="F382" t="s">
        <v>363</v>
      </c>
      <c r="G382">
        <v>2</v>
      </c>
      <c r="H382">
        <v>828.93</v>
      </c>
      <c r="I382">
        <v>1657.86</v>
      </c>
      <c r="J382">
        <v>19</v>
      </c>
      <c r="K382">
        <v>265.26</v>
      </c>
      <c r="L382">
        <v>1608.13</v>
      </c>
      <c r="M382" t="s">
        <v>4232</v>
      </c>
      <c r="N382" t="s">
        <v>4248</v>
      </c>
      <c r="O382" t="s">
        <v>2456</v>
      </c>
      <c r="P382" t="s">
        <v>2506</v>
      </c>
      <c r="Q382" t="s">
        <v>5081</v>
      </c>
      <c r="R382" t="s">
        <v>3434</v>
      </c>
      <c r="S382" t="s">
        <v>4235</v>
      </c>
    </row>
    <row r="383" spans="1:19" hidden="1" x14ac:dyDescent="0.25">
      <c r="A383" t="s">
        <v>5082</v>
      </c>
      <c r="B383" t="s">
        <v>3678</v>
      </c>
      <c r="C383" t="s">
        <v>3678</v>
      </c>
      <c r="D383" t="s">
        <v>4593</v>
      </c>
      <c r="E383" t="s">
        <v>2007</v>
      </c>
      <c r="F383" t="s">
        <v>839</v>
      </c>
      <c r="G383">
        <v>4</v>
      </c>
      <c r="H383">
        <v>502.12</v>
      </c>
      <c r="I383">
        <v>2008.48</v>
      </c>
      <c r="J383">
        <v>9.6</v>
      </c>
      <c r="K383">
        <v>321.36</v>
      </c>
      <c r="L383">
        <v>2137.0300000000002</v>
      </c>
      <c r="M383" t="s">
        <v>4257</v>
      </c>
      <c r="N383" t="s">
        <v>4228</v>
      </c>
      <c r="O383" t="s">
        <v>2440</v>
      </c>
      <c r="P383" t="s">
        <v>2501</v>
      </c>
      <c r="Q383" t="s">
        <v>5083</v>
      </c>
      <c r="R383" t="s">
        <v>3425</v>
      </c>
    </row>
    <row r="384" spans="1:19" hidden="1" x14ac:dyDescent="0.25">
      <c r="A384" t="s">
        <v>5084</v>
      </c>
      <c r="B384" t="s">
        <v>3915</v>
      </c>
      <c r="C384" t="s">
        <v>5085</v>
      </c>
      <c r="D384" t="s">
        <v>2749</v>
      </c>
      <c r="E384" t="s">
        <v>1981</v>
      </c>
      <c r="F384" t="s">
        <v>586</v>
      </c>
      <c r="G384">
        <v>45</v>
      </c>
      <c r="H384">
        <v>198.3</v>
      </c>
      <c r="I384">
        <v>8923.5</v>
      </c>
      <c r="J384">
        <v>4.5999999999999996</v>
      </c>
      <c r="K384">
        <v>1427.76</v>
      </c>
      <c r="L384">
        <v>9940.7800000000007</v>
      </c>
      <c r="M384" t="s">
        <v>3442</v>
      </c>
      <c r="N384" t="s">
        <v>4228</v>
      </c>
      <c r="O384" t="s">
        <v>2456</v>
      </c>
      <c r="P384" t="s">
        <v>2481</v>
      </c>
      <c r="Q384" t="s">
        <v>5086</v>
      </c>
      <c r="R384" t="s">
        <v>3434</v>
      </c>
      <c r="S384" t="s">
        <v>4230</v>
      </c>
    </row>
    <row r="385" spans="1:19" hidden="1" x14ac:dyDescent="0.25">
      <c r="A385" t="s">
        <v>5087</v>
      </c>
      <c r="B385" t="s">
        <v>2773</v>
      </c>
      <c r="C385" t="s">
        <v>2773</v>
      </c>
      <c r="D385" t="s">
        <v>3279</v>
      </c>
      <c r="E385" t="s">
        <v>1981</v>
      </c>
      <c r="F385" t="s">
        <v>829</v>
      </c>
      <c r="G385">
        <v>26</v>
      </c>
      <c r="H385">
        <v>754.8</v>
      </c>
      <c r="I385">
        <v>19624.8</v>
      </c>
      <c r="J385">
        <v>7.5</v>
      </c>
      <c r="K385">
        <v>3139.97</v>
      </c>
      <c r="L385">
        <v>21292.91</v>
      </c>
      <c r="M385" t="s">
        <v>3442</v>
      </c>
      <c r="N385" t="s">
        <v>1121</v>
      </c>
      <c r="O385" t="s">
        <v>2388</v>
      </c>
      <c r="P385" t="s">
        <v>2522</v>
      </c>
      <c r="Q385" t="s">
        <v>5088</v>
      </c>
      <c r="R385" t="s">
        <v>3429</v>
      </c>
      <c r="S385" t="s">
        <v>3466</v>
      </c>
    </row>
    <row r="386" spans="1:19" hidden="1" x14ac:dyDescent="0.25">
      <c r="A386" t="s">
        <v>5089</v>
      </c>
      <c r="B386" t="s">
        <v>2914</v>
      </c>
      <c r="C386" t="s">
        <v>2914</v>
      </c>
      <c r="D386" t="s">
        <v>2832</v>
      </c>
      <c r="E386" t="s">
        <v>1659</v>
      </c>
      <c r="F386" t="s">
        <v>510</v>
      </c>
      <c r="G386">
        <v>28</v>
      </c>
      <c r="H386">
        <v>714.49</v>
      </c>
      <c r="I386">
        <v>20005.72</v>
      </c>
      <c r="J386">
        <v>3.7</v>
      </c>
      <c r="K386">
        <v>3200.92</v>
      </c>
      <c r="L386">
        <v>22466.43</v>
      </c>
      <c r="M386" t="s">
        <v>4257</v>
      </c>
      <c r="N386" t="s">
        <v>4248</v>
      </c>
      <c r="O386" t="s">
        <v>2407</v>
      </c>
      <c r="P386" t="s">
        <v>2506</v>
      </c>
      <c r="Q386" t="s">
        <v>5090</v>
      </c>
      <c r="R386" t="s">
        <v>3425</v>
      </c>
      <c r="S386" t="s">
        <v>4292</v>
      </c>
    </row>
    <row r="387" spans="1:19" hidden="1" x14ac:dyDescent="0.25">
      <c r="A387" t="s">
        <v>5091</v>
      </c>
      <c r="B387" t="s">
        <v>2961</v>
      </c>
      <c r="C387" t="s">
        <v>3069</v>
      </c>
      <c r="D387" t="s">
        <v>2712</v>
      </c>
      <c r="E387" t="s">
        <v>2060</v>
      </c>
      <c r="F387" t="s">
        <v>500</v>
      </c>
      <c r="G387">
        <v>31</v>
      </c>
      <c r="H387">
        <v>820.61</v>
      </c>
      <c r="I387">
        <v>25438.91</v>
      </c>
      <c r="J387">
        <v>6.1</v>
      </c>
      <c r="K387">
        <v>4070.23</v>
      </c>
      <c r="L387">
        <v>27957.37</v>
      </c>
      <c r="M387" t="s">
        <v>4232</v>
      </c>
      <c r="N387" t="s">
        <v>1121</v>
      </c>
      <c r="O387" t="s">
        <v>2456</v>
      </c>
      <c r="P387" t="s">
        <v>2531</v>
      </c>
      <c r="Q387" t="s">
        <v>5092</v>
      </c>
      <c r="R387" t="s">
        <v>3425</v>
      </c>
    </row>
    <row r="388" spans="1:19" hidden="1" x14ac:dyDescent="0.25">
      <c r="A388" t="s">
        <v>5093</v>
      </c>
      <c r="B388" t="s">
        <v>3821</v>
      </c>
      <c r="C388" t="s">
        <v>2958</v>
      </c>
      <c r="D388" t="s">
        <v>2286</v>
      </c>
      <c r="E388" t="s">
        <v>2103</v>
      </c>
      <c r="F388" t="s">
        <v>390</v>
      </c>
      <c r="G388">
        <v>21</v>
      </c>
      <c r="H388">
        <v>104.89</v>
      </c>
      <c r="I388">
        <v>2202.69</v>
      </c>
      <c r="J388">
        <v>16.600000000000001</v>
      </c>
      <c r="K388">
        <v>352.43</v>
      </c>
      <c r="L388">
        <v>2189.4699999999998</v>
      </c>
      <c r="M388" t="s">
        <v>4247</v>
      </c>
      <c r="N388" t="s">
        <v>4248</v>
      </c>
      <c r="O388" t="s">
        <v>2407</v>
      </c>
      <c r="P388" t="s">
        <v>2491</v>
      </c>
      <c r="Q388" t="s">
        <v>5094</v>
      </c>
      <c r="R388" t="s">
        <v>3425</v>
      </c>
      <c r="S388" t="s">
        <v>4235</v>
      </c>
    </row>
    <row r="389" spans="1:19" x14ac:dyDescent="0.25">
      <c r="A389" t="s">
        <v>5095</v>
      </c>
      <c r="B389" s="2" t="s">
        <v>3650</v>
      </c>
      <c r="C389" t="s">
        <v>3382</v>
      </c>
      <c r="D389" t="s">
        <v>3058</v>
      </c>
      <c r="E389" t="s">
        <v>1650</v>
      </c>
      <c r="F389" t="s">
        <v>955</v>
      </c>
      <c r="G389">
        <v>12</v>
      </c>
      <c r="H389">
        <v>857.2</v>
      </c>
      <c r="I389">
        <v>10286.4</v>
      </c>
      <c r="J389">
        <v>18.600000000000001</v>
      </c>
      <c r="K389">
        <v>1645.82</v>
      </c>
      <c r="L389">
        <v>10018.950000000001</v>
      </c>
      <c r="M389" t="s">
        <v>4238</v>
      </c>
      <c r="N389" t="s">
        <v>4243</v>
      </c>
      <c r="O389" t="s">
        <v>2398</v>
      </c>
      <c r="P389" t="s">
        <v>2554</v>
      </c>
      <c r="Q389" t="s">
        <v>5096</v>
      </c>
      <c r="R389" t="s">
        <v>4245</v>
      </c>
    </row>
    <row r="390" spans="1:19" hidden="1" x14ac:dyDescent="0.25">
      <c r="A390" t="s">
        <v>5097</v>
      </c>
      <c r="B390" t="s">
        <v>2663</v>
      </c>
      <c r="C390" t="s">
        <v>3988</v>
      </c>
      <c r="D390" t="s">
        <v>3914</v>
      </c>
      <c r="E390" t="s">
        <v>1981</v>
      </c>
      <c r="F390" t="s">
        <v>1101</v>
      </c>
      <c r="G390">
        <v>18</v>
      </c>
      <c r="H390">
        <v>528.86</v>
      </c>
      <c r="I390">
        <v>9519.48</v>
      </c>
      <c r="J390">
        <v>10.9</v>
      </c>
      <c r="K390">
        <v>1523.12</v>
      </c>
      <c r="L390">
        <v>10004.98</v>
      </c>
      <c r="M390" t="s">
        <v>4227</v>
      </c>
      <c r="N390" t="s">
        <v>4243</v>
      </c>
      <c r="O390" t="s">
        <v>2425</v>
      </c>
      <c r="P390" t="s">
        <v>2544</v>
      </c>
      <c r="Q390" t="s">
        <v>5098</v>
      </c>
      <c r="R390" t="s">
        <v>3425</v>
      </c>
      <c r="S390" t="s">
        <v>4292</v>
      </c>
    </row>
    <row r="391" spans="1:19" x14ac:dyDescent="0.25">
      <c r="A391" t="s">
        <v>5099</v>
      </c>
      <c r="B391" s="2" t="s">
        <v>4213</v>
      </c>
      <c r="C391" t="s">
        <v>3124</v>
      </c>
      <c r="D391" t="s">
        <v>4262</v>
      </c>
      <c r="E391" t="s">
        <v>1696</v>
      </c>
      <c r="F391" t="s">
        <v>985</v>
      </c>
      <c r="G391">
        <v>23</v>
      </c>
      <c r="H391">
        <v>211.95</v>
      </c>
      <c r="I391">
        <v>4874.8500000000004</v>
      </c>
      <c r="J391">
        <v>17.2</v>
      </c>
      <c r="K391">
        <v>779.98</v>
      </c>
      <c r="L391">
        <v>4816.3599999999997</v>
      </c>
      <c r="M391" t="s">
        <v>4232</v>
      </c>
      <c r="N391" t="s">
        <v>4248</v>
      </c>
      <c r="O391" t="s">
        <v>2440</v>
      </c>
      <c r="P391" t="s">
        <v>2525</v>
      </c>
      <c r="Q391" t="s">
        <v>5100</v>
      </c>
      <c r="R391" t="s">
        <v>4245</v>
      </c>
    </row>
    <row r="392" spans="1:19" x14ac:dyDescent="0.25">
      <c r="A392" t="s">
        <v>5101</v>
      </c>
      <c r="B392" s="2" t="s">
        <v>3157</v>
      </c>
      <c r="C392" t="s">
        <v>1721</v>
      </c>
      <c r="D392" t="s">
        <v>3368</v>
      </c>
      <c r="E392" t="s">
        <v>1554</v>
      </c>
      <c r="F392" t="s">
        <v>540</v>
      </c>
      <c r="G392">
        <v>4</v>
      </c>
      <c r="H392">
        <v>523.27</v>
      </c>
      <c r="I392">
        <v>2093.08</v>
      </c>
      <c r="J392">
        <v>12.7</v>
      </c>
      <c r="K392">
        <v>334.89</v>
      </c>
      <c r="L392">
        <v>2162.15</v>
      </c>
      <c r="M392" t="s">
        <v>4257</v>
      </c>
      <c r="N392" t="s">
        <v>4248</v>
      </c>
      <c r="O392" t="s">
        <v>2440</v>
      </c>
      <c r="P392" t="s">
        <v>2535</v>
      </c>
      <c r="Q392" t="s">
        <v>5102</v>
      </c>
      <c r="R392" t="s">
        <v>4245</v>
      </c>
    </row>
    <row r="393" spans="1:19" hidden="1" x14ac:dyDescent="0.25">
      <c r="A393" t="s">
        <v>5103</v>
      </c>
      <c r="B393" t="s">
        <v>5085</v>
      </c>
      <c r="C393" t="s">
        <v>2749</v>
      </c>
      <c r="D393" t="s">
        <v>4465</v>
      </c>
      <c r="E393" t="s">
        <v>2344</v>
      </c>
      <c r="F393" t="s">
        <v>576</v>
      </c>
      <c r="G393">
        <v>41</v>
      </c>
      <c r="H393">
        <v>271.86</v>
      </c>
      <c r="I393">
        <v>11146.26</v>
      </c>
      <c r="J393">
        <v>15.4</v>
      </c>
      <c r="K393">
        <v>1783.4</v>
      </c>
      <c r="L393">
        <v>11213.14</v>
      </c>
      <c r="M393" t="s">
        <v>4232</v>
      </c>
      <c r="N393" t="s">
        <v>4243</v>
      </c>
      <c r="O393" t="s">
        <v>2416</v>
      </c>
      <c r="P393" t="s">
        <v>2491</v>
      </c>
      <c r="Q393" t="s">
        <v>5104</v>
      </c>
      <c r="R393" t="s">
        <v>3425</v>
      </c>
      <c r="S393" t="s">
        <v>4230</v>
      </c>
    </row>
    <row r="394" spans="1:19" x14ac:dyDescent="0.25">
      <c r="A394" t="s">
        <v>5105</v>
      </c>
      <c r="B394" s="2" t="s">
        <v>2677</v>
      </c>
      <c r="C394" t="s">
        <v>3578</v>
      </c>
      <c r="D394" t="s">
        <v>3074</v>
      </c>
      <c r="E394" t="s">
        <v>2152</v>
      </c>
      <c r="F394" t="s">
        <v>490</v>
      </c>
      <c r="G394">
        <v>45</v>
      </c>
      <c r="H394">
        <v>744.62</v>
      </c>
      <c r="I394">
        <v>33507.9</v>
      </c>
      <c r="J394">
        <v>11.4</v>
      </c>
      <c r="K394">
        <v>5361.26</v>
      </c>
      <c r="L394">
        <v>35049.26</v>
      </c>
      <c r="M394" t="s">
        <v>4238</v>
      </c>
      <c r="N394" t="s">
        <v>4228</v>
      </c>
      <c r="O394" t="s">
        <v>2407</v>
      </c>
      <c r="P394" t="s">
        <v>2481</v>
      </c>
      <c r="Q394" t="s">
        <v>5106</v>
      </c>
      <c r="R394" t="s">
        <v>4245</v>
      </c>
    </row>
    <row r="395" spans="1:19" hidden="1" x14ac:dyDescent="0.25">
      <c r="A395" t="s">
        <v>5107</v>
      </c>
      <c r="B395" t="s">
        <v>1639</v>
      </c>
      <c r="C395" t="s">
        <v>2989</v>
      </c>
      <c r="D395" t="s">
        <v>4215</v>
      </c>
      <c r="E395" t="s">
        <v>1757</v>
      </c>
      <c r="F395" t="s">
        <v>348</v>
      </c>
      <c r="G395">
        <v>8</v>
      </c>
      <c r="H395">
        <v>523.88</v>
      </c>
      <c r="I395">
        <v>4191.04</v>
      </c>
      <c r="J395">
        <v>8.4</v>
      </c>
      <c r="K395">
        <v>670.57</v>
      </c>
      <c r="L395">
        <v>4509.5600000000004</v>
      </c>
      <c r="M395" t="s">
        <v>4238</v>
      </c>
      <c r="N395" t="s">
        <v>4243</v>
      </c>
      <c r="O395" t="s">
        <v>2449</v>
      </c>
      <c r="P395" t="s">
        <v>2551</v>
      </c>
      <c r="Q395" t="s">
        <v>5108</v>
      </c>
      <c r="R395" t="s">
        <v>3429</v>
      </c>
    </row>
    <row r="396" spans="1:19" hidden="1" x14ac:dyDescent="0.25">
      <c r="A396" t="s">
        <v>5109</v>
      </c>
      <c r="B396" t="s">
        <v>4371</v>
      </c>
      <c r="C396" t="s">
        <v>4371</v>
      </c>
      <c r="D396" t="s">
        <v>3742</v>
      </c>
      <c r="E396" t="s">
        <v>2076</v>
      </c>
      <c r="F396" t="s">
        <v>718</v>
      </c>
      <c r="G396">
        <v>33</v>
      </c>
      <c r="H396">
        <v>527.96</v>
      </c>
      <c r="I396">
        <v>17422.68</v>
      </c>
      <c r="J396">
        <v>3.5</v>
      </c>
      <c r="K396">
        <v>2787.63</v>
      </c>
      <c r="L396">
        <v>19600.52</v>
      </c>
      <c r="M396" t="s">
        <v>4238</v>
      </c>
      <c r="N396" t="s">
        <v>1121</v>
      </c>
      <c r="O396" t="s">
        <v>2440</v>
      </c>
      <c r="P396" t="s">
        <v>2544</v>
      </c>
      <c r="Q396" t="s">
        <v>5110</v>
      </c>
      <c r="R396" t="s">
        <v>3425</v>
      </c>
      <c r="S396" t="s">
        <v>4292</v>
      </c>
    </row>
    <row r="397" spans="1:19" hidden="1" x14ac:dyDescent="0.25">
      <c r="A397" t="s">
        <v>5111</v>
      </c>
      <c r="B397" t="s">
        <v>2914</v>
      </c>
      <c r="C397" t="s">
        <v>2914</v>
      </c>
      <c r="D397" t="s">
        <v>3360</v>
      </c>
      <c r="E397" t="s">
        <v>2127</v>
      </c>
      <c r="F397" t="s">
        <v>667</v>
      </c>
      <c r="G397">
        <v>12</v>
      </c>
      <c r="H397">
        <v>352.78</v>
      </c>
      <c r="I397">
        <v>4233.3599999999997</v>
      </c>
      <c r="J397">
        <v>1.3</v>
      </c>
      <c r="K397">
        <v>677.34</v>
      </c>
      <c r="L397">
        <v>4855.67</v>
      </c>
      <c r="M397" t="s">
        <v>4247</v>
      </c>
      <c r="N397" t="s">
        <v>4248</v>
      </c>
      <c r="O397" t="s">
        <v>2432</v>
      </c>
      <c r="P397" t="s">
        <v>2522</v>
      </c>
      <c r="Q397" t="s">
        <v>5112</v>
      </c>
      <c r="R397" t="s">
        <v>3425</v>
      </c>
    </row>
    <row r="398" spans="1:19" x14ac:dyDescent="0.25">
      <c r="A398" t="s">
        <v>5113</v>
      </c>
      <c r="B398" s="2" t="s">
        <v>2600</v>
      </c>
      <c r="C398" t="s">
        <v>3054</v>
      </c>
      <c r="D398" t="s">
        <v>3103</v>
      </c>
      <c r="E398" t="s">
        <v>2076</v>
      </c>
      <c r="F398" t="s">
        <v>834</v>
      </c>
      <c r="G398">
        <v>7</v>
      </c>
      <c r="H398">
        <v>384.99</v>
      </c>
      <c r="I398">
        <v>2694.93</v>
      </c>
      <c r="J398">
        <v>13.7</v>
      </c>
      <c r="K398">
        <v>431.19</v>
      </c>
      <c r="L398">
        <v>2756.91</v>
      </c>
      <c r="M398" t="s">
        <v>4238</v>
      </c>
      <c r="N398" t="s">
        <v>1520</v>
      </c>
      <c r="O398" t="s">
        <v>2440</v>
      </c>
      <c r="P398" t="s">
        <v>2486</v>
      </c>
      <c r="Q398" t="s">
        <v>5114</v>
      </c>
      <c r="R398" t="s">
        <v>4245</v>
      </c>
      <c r="S398" t="s">
        <v>4235</v>
      </c>
    </row>
    <row r="399" spans="1:19" hidden="1" x14ac:dyDescent="0.25">
      <c r="A399" t="s">
        <v>5115</v>
      </c>
      <c r="B399" t="s">
        <v>3516</v>
      </c>
      <c r="C399" t="s">
        <v>4465</v>
      </c>
      <c r="D399" t="s">
        <v>2615</v>
      </c>
      <c r="E399" t="s">
        <v>1687</v>
      </c>
      <c r="F399" t="s">
        <v>870</v>
      </c>
      <c r="G399">
        <v>26</v>
      </c>
      <c r="H399">
        <v>571.08000000000004</v>
      </c>
      <c r="I399">
        <v>14848.08</v>
      </c>
      <c r="J399">
        <v>1.3</v>
      </c>
      <c r="K399">
        <v>2375.69</v>
      </c>
      <c r="L399">
        <v>17030.740000000002</v>
      </c>
      <c r="M399" t="s">
        <v>4238</v>
      </c>
      <c r="N399" t="s">
        <v>1520</v>
      </c>
      <c r="O399" t="s">
        <v>2398</v>
      </c>
      <c r="P399" t="s">
        <v>2548</v>
      </c>
      <c r="Q399" t="s">
        <v>5116</v>
      </c>
      <c r="R399" t="s">
        <v>3434</v>
      </c>
      <c r="S399" t="s">
        <v>4230</v>
      </c>
    </row>
    <row r="400" spans="1:19" hidden="1" x14ac:dyDescent="0.25">
      <c r="A400" t="s">
        <v>5117</v>
      </c>
      <c r="B400" t="s">
        <v>4124</v>
      </c>
      <c r="C400" t="s">
        <v>4124</v>
      </c>
      <c r="D400" t="s">
        <v>5118</v>
      </c>
      <c r="E400" t="s">
        <v>1544</v>
      </c>
      <c r="F400" t="s">
        <v>895</v>
      </c>
      <c r="G400">
        <v>38</v>
      </c>
      <c r="H400">
        <v>560.09</v>
      </c>
      <c r="I400">
        <v>21283.42</v>
      </c>
      <c r="J400">
        <v>15.8</v>
      </c>
      <c r="K400">
        <v>3405.35</v>
      </c>
      <c r="L400">
        <v>21325.99</v>
      </c>
      <c r="M400" t="s">
        <v>4257</v>
      </c>
      <c r="N400" t="s">
        <v>4228</v>
      </c>
      <c r="O400" t="s">
        <v>2456</v>
      </c>
      <c r="P400" t="s">
        <v>2544</v>
      </c>
      <c r="Q400" t="s">
        <v>5119</v>
      </c>
      <c r="R400" t="s">
        <v>3425</v>
      </c>
    </row>
    <row r="401" spans="1:19" hidden="1" x14ac:dyDescent="0.25">
      <c r="A401" t="s">
        <v>5120</v>
      </c>
      <c r="B401" t="s">
        <v>4253</v>
      </c>
      <c r="C401" t="s">
        <v>4253</v>
      </c>
      <c r="D401" t="s">
        <v>3872</v>
      </c>
      <c r="E401" t="s">
        <v>2103</v>
      </c>
      <c r="F401" t="s">
        <v>400</v>
      </c>
      <c r="G401">
        <v>44</v>
      </c>
      <c r="H401">
        <v>667.1</v>
      </c>
      <c r="I401">
        <v>29352.400000000001</v>
      </c>
      <c r="J401">
        <v>3.3</v>
      </c>
      <c r="K401">
        <v>4696.38</v>
      </c>
      <c r="L401">
        <v>33080.15</v>
      </c>
      <c r="M401" t="s">
        <v>4232</v>
      </c>
      <c r="N401" t="s">
        <v>1520</v>
      </c>
      <c r="O401" t="s">
        <v>2449</v>
      </c>
      <c r="P401" t="s">
        <v>2519</v>
      </c>
      <c r="Q401" t="s">
        <v>5121</v>
      </c>
      <c r="R401" t="s">
        <v>3425</v>
      </c>
      <c r="S401" t="s">
        <v>4292</v>
      </c>
    </row>
    <row r="402" spans="1:19" hidden="1" x14ac:dyDescent="0.25">
      <c r="A402" t="s">
        <v>5122</v>
      </c>
      <c r="B402" t="s">
        <v>5085</v>
      </c>
      <c r="C402" t="s">
        <v>2749</v>
      </c>
      <c r="D402" t="s">
        <v>2717</v>
      </c>
      <c r="E402" t="s">
        <v>1940</v>
      </c>
      <c r="F402" t="s">
        <v>458</v>
      </c>
      <c r="G402">
        <v>48</v>
      </c>
      <c r="H402">
        <v>850.31</v>
      </c>
      <c r="I402">
        <v>40814.879999999997</v>
      </c>
      <c r="J402">
        <v>15.5</v>
      </c>
      <c r="K402">
        <v>6530.38</v>
      </c>
      <c r="L402">
        <v>41018.949999999997</v>
      </c>
      <c r="M402" t="s">
        <v>4227</v>
      </c>
      <c r="N402" t="s">
        <v>1520</v>
      </c>
      <c r="O402" t="s">
        <v>2398</v>
      </c>
      <c r="P402" t="s">
        <v>2544</v>
      </c>
      <c r="Q402" t="s">
        <v>5123</v>
      </c>
      <c r="R402" t="s">
        <v>4275</v>
      </c>
    </row>
    <row r="403" spans="1:19" hidden="1" x14ac:dyDescent="0.25">
      <c r="A403" t="s">
        <v>5124</v>
      </c>
      <c r="B403" t="s">
        <v>2286</v>
      </c>
      <c r="C403" t="s">
        <v>2286</v>
      </c>
      <c r="D403" t="s">
        <v>2647</v>
      </c>
      <c r="E403" t="s">
        <v>2085</v>
      </c>
      <c r="F403" t="s">
        <v>1061</v>
      </c>
      <c r="G403">
        <v>8</v>
      </c>
      <c r="H403">
        <v>774.07</v>
      </c>
      <c r="I403">
        <v>6192.56</v>
      </c>
      <c r="J403">
        <v>1</v>
      </c>
      <c r="K403">
        <v>990.81</v>
      </c>
      <c r="L403">
        <v>7121.44</v>
      </c>
      <c r="M403" t="s">
        <v>4247</v>
      </c>
      <c r="N403" t="s">
        <v>4228</v>
      </c>
      <c r="O403" t="s">
        <v>2440</v>
      </c>
      <c r="P403" t="s">
        <v>2564</v>
      </c>
      <c r="Q403" t="s">
        <v>5125</v>
      </c>
      <c r="R403" t="s">
        <v>3425</v>
      </c>
      <c r="S403" t="s">
        <v>3466</v>
      </c>
    </row>
    <row r="404" spans="1:19" x14ac:dyDescent="0.25">
      <c r="A404" t="s">
        <v>5126</v>
      </c>
      <c r="B404" s="2" t="s">
        <v>4398</v>
      </c>
      <c r="C404" t="s">
        <v>4139</v>
      </c>
      <c r="D404" t="s">
        <v>3628</v>
      </c>
      <c r="E404" t="s">
        <v>1590</v>
      </c>
      <c r="F404" t="s">
        <v>703</v>
      </c>
      <c r="G404">
        <v>1</v>
      </c>
      <c r="H404">
        <v>840.98</v>
      </c>
      <c r="I404">
        <v>840.98</v>
      </c>
      <c r="J404">
        <v>15</v>
      </c>
      <c r="K404">
        <v>134.56</v>
      </c>
      <c r="L404">
        <v>849.39</v>
      </c>
      <c r="M404" t="s">
        <v>4227</v>
      </c>
      <c r="N404" t="s">
        <v>4248</v>
      </c>
      <c r="O404" t="s">
        <v>2388</v>
      </c>
      <c r="P404" t="s">
        <v>2515</v>
      </c>
      <c r="Q404" t="s">
        <v>5127</v>
      </c>
      <c r="R404" t="s">
        <v>4245</v>
      </c>
    </row>
    <row r="405" spans="1:19" hidden="1" x14ac:dyDescent="0.25">
      <c r="A405" t="s">
        <v>5128</v>
      </c>
      <c r="B405" t="s">
        <v>3295</v>
      </c>
      <c r="C405" t="s">
        <v>3295</v>
      </c>
      <c r="D405" t="s">
        <v>2762</v>
      </c>
      <c r="E405" t="s">
        <v>2085</v>
      </c>
      <c r="F405" t="s">
        <v>611</v>
      </c>
      <c r="G405">
        <v>34</v>
      </c>
      <c r="H405">
        <v>183.85</v>
      </c>
      <c r="I405">
        <v>6250.9</v>
      </c>
      <c r="J405">
        <v>3.6</v>
      </c>
      <c r="K405">
        <v>1000.14</v>
      </c>
      <c r="L405">
        <v>7026.01</v>
      </c>
      <c r="M405" t="s">
        <v>4232</v>
      </c>
      <c r="N405" t="s">
        <v>4228</v>
      </c>
      <c r="O405" t="s">
        <v>2425</v>
      </c>
      <c r="P405" t="s">
        <v>2568</v>
      </c>
      <c r="Q405" t="s">
        <v>5129</v>
      </c>
      <c r="R405" t="s">
        <v>3425</v>
      </c>
    </row>
    <row r="406" spans="1:19" x14ac:dyDescent="0.25">
      <c r="A406" t="s">
        <v>5130</v>
      </c>
      <c r="B406" s="2" t="s">
        <v>3763</v>
      </c>
      <c r="C406" t="s">
        <v>3763</v>
      </c>
      <c r="D406" t="s">
        <v>2787</v>
      </c>
      <c r="E406" t="s">
        <v>2185</v>
      </c>
      <c r="F406" t="s">
        <v>739</v>
      </c>
      <c r="G406">
        <v>35</v>
      </c>
      <c r="H406">
        <v>163.83000000000001</v>
      </c>
      <c r="I406">
        <v>5734.05</v>
      </c>
      <c r="J406">
        <v>18.899999999999999</v>
      </c>
      <c r="K406">
        <v>917.45</v>
      </c>
      <c r="L406">
        <v>5567.76</v>
      </c>
      <c r="M406" t="s">
        <v>4238</v>
      </c>
      <c r="N406" t="s">
        <v>4233</v>
      </c>
      <c r="O406" t="s">
        <v>2456</v>
      </c>
      <c r="P406" t="s">
        <v>2558</v>
      </c>
      <c r="Q406" t="s">
        <v>5131</v>
      </c>
      <c r="R406" t="s">
        <v>4245</v>
      </c>
    </row>
    <row r="407" spans="1:19" x14ac:dyDescent="0.25">
      <c r="A407" t="s">
        <v>5132</v>
      </c>
      <c r="B407" s="2" t="s">
        <v>3226</v>
      </c>
      <c r="C407" t="s">
        <v>3813</v>
      </c>
      <c r="D407" t="s">
        <v>3062</v>
      </c>
      <c r="E407" t="s">
        <v>1923</v>
      </c>
      <c r="F407" t="s">
        <v>510</v>
      </c>
      <c r="G407">
        <v>10</v>
      </c>
      <c r="H407">
        <v>548.22</v>
      </c>
      <c r="I407">
        <v>5482.2</v>
      </c>
      <c r="J407">
        <v>8.5</v>
      </c>
      <c r="K407">
        <v>877.15</v>
      </c>
      <c r="L407">
        <v>5893.36</v>
      </c>
      <c r="M407" t="s">
        <v>4238</v>
      </c>
      <c r="N407" t="s">
        <v>4248</v>
      </c>
      <c r="O407" t="s">
        <v>2388</v>
      </c>
      <c r="P407" t="s">
        <v>2554</v>
      </c>
      <c r="Q407" t="s">
        <v>5133</v>
      </c>
      <c r="R407" t="s">
        <v>4245</v>
      </c>
    </row>
    <row r="408" spans="1:19" hidden="1" x14ac:dyDescent="0.25">
      <c r="A408" t="s">
        <v>5134</v>
      </c>
      <c r="B408" t="s">
        <v>4198</v>
      </c>
      <c r="C408" t="s">
        <v>4198</v>
      </c>
      <c r="D408" t="s">
        <v>2810</v>
      </c>
      <c r="E408" t="s">
        <v>2353</v>
      </c>
      <c r="F408" t="s">
        <v>970</v>
      </c>
      <c r="G408">
        <v>21</v>
      </c>
      <c r="H408">
        <v>256.13</v>
      </c>
      <c r="I408">
        <v>5378.73</v>
      </c>
      <c r="J408">
        <v>13.5</v>
      </c>
      <c r="K408">
        <v>860.6</v>
      </c>
      <c r="L408">
        <v>5513.2</v>
      </c>
      <c r="M408" t="s">
        <v>4232</v>
      </c>
      <c r="N408" t="s">
        <v>1121</v>
      </c>
      <c r="O408" t="s">
        <v>2456</v>
      </c>
      <c r="P408" t="s">
        <v>2486</v>
      </c>
      <c r="Q408" t="s">
        <v>5135</v>
      </c>
      <c r="R408" t="s">
        <v>3425</v>
      </c>
      <c r="S408" t="s">
        <v>3466</v>
      </c>
    </row>
    <row r="409" spans="1:19" hidden="1" x14ac:dyDescent="0.25">
      <c r="A409" t="s">
        <v>5136</v>
      </c>
      <c r="B409" t="s">
        <v>4059</v>
      </c>
      <c r="C409" t="s">
        <v>2663</v>
      </c>
      <c r="D409" t="s">
        <v>3605</v>
      </c>
      <c r="E409" t="s">
        <v>1855</v>
      </c>
      <c r="F409" t="s">
        <v>269</v>
      </c>
      <c r="G409">
        <v>42</v>
      </c>
      <c r="H409">
        <v>792.91</v>
      </c>
      <c r="I409">
        <v>33302.22</v>
      </c>
      <c r="J409">
        <v>7</v>
      </c>
      <c r="K409">
        <v>5328.36</v>
      </c>
      <c r="L409">
        <v>36299.42</v>
      </c>
      <c r="M409" t="s">
        <v>4232</v>
      </c>
      <c r="N409" t="s">
        <v>4233</v>
      </c>
      <c r="O409" t="s">
        <v>2449</v>
      </c>
      <c r="P409" t="s">
        <v>2522</v>
      </c>
      <c r="Q409" t="s">
        <v>5137</v>
      </c>
      <c r="R409" t="s">
        <v>3425</v>
      </c>
    </row>
    <row r="410" spans="1:19" hidden="1" x14ac:dyDescent="0.25">
      <c r="A410" t="s">
        <v>5138</v>
      </c>
      <c r="B410" t="s">
        <v>3749</v>
      </c>
      <c r="C410" t="s">
        <v>3481</v>
      </c>
      <c r="D410" t="s">
        <v>4031</v>
      </c>
      <c r="E410" t="s">
        <v>1829</v>
      </c>
      <c r="F410" t="s">
        <v>525</v>
      </c>
      <c r="G410">
        <v>4</v>
      </c>
      <c r="H410">
        <v>803.46</v>
      </c>
      <c r="I410">
        <v>3213.84</v>
      </c>
      <c r="J410">
        <v>6</v>
      </c>
      <c r="K410">
        <v>514.21</v>
      </c>
      <c r="L410">
        <v>3535.22</v>
      </c>
      <c r="M410" t="s">
        <v>3428</v>
      </c>
      <c r="N410" t="s">
        <v>4233</v>
      </c>
      <c r="O410" t="s">
        <v>2425</v>
      </c>
      <c r="P410" t="s">
        <v>2561</v>
      </c>
      <c r="Q410" t="s">
        <v>5139</v>
      </c>
      <c r="R410" t="s">
        <v>3425</v>
      </c>
      <c r="S410" t="s">
        <v>4235</v>
      </c>
    </row>
    <row r="411" spans="1:19" hidden="1" x14ac:dyDescent="0.25">
      <c r="A411" t="s">
        <v>5140</v>
      </c>
      <c r="B411" t="s">
        <v>4124</v>
      </c>
      <c r="C411" t="s">
        <v>5118</v>
      </c>
      <c r="D411" t="s">
        <v>3803</v>
      </c>
      <c r="E411" t="s">
        <v>2336</v>
      </c>
      <c r="F411" t="s">
        <v>621</v>
      </c>
      <c r="G411">
        <v>9</v>
      </c>
      <c r="H411">
        <v>832.01</v>
      </c>
      <c r="I411">
        <v>7488.09</v>
      </c>
      <c r="J411">
        <v>1.6</v>
      </c>
      <c r="K411">
        <v>1198.0899999999999</v>
      </c>
      <c r="L411">
        <v>8566.3700000000008</v>
      </c>
      <c r="M411" t="s">
        <v>4247</v>
      </c>
      <c r="N411" t="s">
        <v>4228</v>
      </c>
      <c r="O411" t="s">
        <v>2432</v>
      </c>
      <c r="P411" t="s">
        <v>2548</v>
      </c>
      <c r="Q411" t="s">
        <v>5141</v>
      </c>
      <c r="R411" t="s">
        <v>4275</v>
      </c>
    </row>
    <row r="412" spans="1:19" hidden="1" x14ac:dyDescent="0.25">
      <c r="A412" t="s">
        <v>5142</v>
      </c>
      <c r="B412" t="s">
        <v>3078</v>
      </c>
      <c r="C412" t="s">
        <v>5143</v>
      </c>
      <c r="D412" t="s">
        <v>2801</v>
      </c>
      <c r="E412" t="s">
        <v>2194</v>
      </c>
      <c r="F412" t="s">
        <v>152</v>
      </c>
      <c r="G412">
        <v>46</v>
      </c>
      <c r="H412">
        <v>105.69</v>
      </c>
      <c r="I412">
        <v>4861.74</v>
      </c>
      <c r="J412">
        <v>6.7</v>
      </c>
      <c r="K412">
        <v>777.88</v>
      </c>
      <c r="L412">
        <v>5313.88</v>
      </c>
      <c r="M412" t="s">
        <v>4227</v>
      </c>
      <c r="N412" t="s">
        <v>4243</v>
      </c>
      <c r="O412" t="s">
        <v>2416</v>
      </c>
      <c r="P412" t="s">
        <v>2535</v>
      </c>
      <c r="Q412" t="s">
        <v>5144</v>
      </c>
      <c r="R412" t="s">
        <v>3425</v>
      </c>
      <c r="S412" t="s">
        <v>4230</v>
      </c>
    </row>
    <row r="413" spans="1:19" hidden="1" x14ac:dyDescent="0.25">
      <c r="A413" t="s">
        <v>5145</v>
      </c>
      <c r="B413" t="s">
        <v>2874</v>
      </c>
      <c r="C413" t="s">
        <v>3001</v>
      </c>
      <c r="D413" t="s">
        <v>2871</v>
      </c>
      <c r="E413" t="s">
        <v>1940</v>
      </c>
      <c r="F413" t="s">
        <v>591</v>
      </c>
      <c r="G413">
        <v>16</v>
      </c>
      <c r="H413">
        <v>567.83000000000004</v>
      </c>
      <c r="I413">
        <v>9085.2800000000007</v>
      </c>
      <c r="J413">
        <v>11.4</v>
      </c>
      <c r="K413">
        <v>1453.64</v>
      </c>
      <c r="L413">
        <v>9503.2000000000007</v>
      </c>
      <c r="M413" t="s">
        <v>4257</v>
      </c>
      <c r="N413" t="s">
        <v>4233</v>
      </c>
      <c r="O413" t="s">
        <v>2432</v>
      </c>
      <c r="P413" t="s">
        <v>2519</v>
      </c>
      <c r="Q413" t="s">
        <v>5146</v>
      </c>
      <c r="R413" t="s">
        <v>3425</v>
      </c>
    </row>
    <row r="414" spans="1:19" hidden="1" x14ac:dyDescent="0.25">
      <c r="A414" t="s">
        <v>5147</v>
      </c>
      <c r="B414" t="s">
        <v>4038</v>
      </c>
      <c r="C414" t="s">
        <v>3141</v>
      </c>
      <c r="D414" t="s">
        <v>2637</v>
      </c>
      <c r="E414" t="s">
        <v>2076</v>
      </c>
      <c r="F414" t="s">
        <v>410</v>
      </c>
      <c r="G414">
        <v>31</v>
      </c>
      <c r="H414">
        <v>488.93</v>
      </c>
      <c r="I414">
        <v>15156.83</v>
      </c>
      <c r="J414">
        <v>9.1</v>
      </c>
      <c r="K414">
        <v>2425.09</v>
      </c>
      <c r="L414">
        <v>16202.65</v>
      </c>
      <c r="M414" t="s">
        <v>4247</v>
      </c>
      <c r="N414" t="s">
        <v>1520</v>
      </c>
      <c r="O414" t="s">
        <v>2432</v>
      </c>
      <c r="P414" t="s">
        <v>2475</v>
      </c>
      <c r="Q414" t="s">
        <v>5148</v>
      </c>
      <c r="R414" t="s">
        <v>3425</v>
      </c>
    </row>
    <row r="415" spans="1:19" hidden="1" x14ac:dyDescent="0.25">
      <c r="A415" t="s">
        <v>5149</v>
      </c>
      <c r="B415" t="s">
        <v>3717</v>
      </c>
      <c r="C415" t="s">
        <v>3717</v>
      </c>
      <c r="D415" t="s">
        <v>2896</v>
      </c>
      <c r="E415" t="s">
        <v>1932</v>
      </c>
      <c r="F415" t="s">
        <v>432</v>
      </c>
      <c r="G415">
        <v>17</v>
      </c>
      <c r="H415">
        <v>154.94999999999999</v>
      </c>
      <c r="I415">
        <v>2634.15</v>
      </c>
      <c r="J415">
        <v>14.1</v>
      </c>
      <c r="K415">
        <v>421.46</v>
      </c>
      <c r="L415">
        <v>2684.19</v>
      </c>
      <c r="M415" t="s">
        <v>4257</v>
      </c>
      <c r="N415" t="s">
        <v>4228</v>
      </c>
      <c r="O415" t="s">
        <v>2440</v>
      </c>
      <c r="P415" t="s">
        <v>2522</v>
      </c>
      <c r="Q415" t="s">
        <v>5150</v>
      </c>
      <c r="R415" t="s">
        <v>3434</v>
      </c>
      <c r="S415" t="s">
        <v>4235</v>
      </c>
    </row>
    <row r="416" spans="1:19" hidden="1" x14ac:dyDescent="0.25">
      <c r="A416" t="s">
        <v>5151</v>
      </c>
      <c r="B416" t="s">
        <v>4327</v>
      </c>
      <c r="C416" t="s">
        <v>4327</v>
      </c>
      <c r="D416" t="s">
        <v>3895</v>
      </c>
      <c r="E416" t="s">
        <v>1803</v>
      </c>
      <c r="F416" t="s">
        <v>117</v>
      </c>
      <c r="G416">
        <v>24</v>
      </c>
      <c r="H416">
        <v>870.67</v>
      </c>
      <c r="I416">
        <v>20896.080000000002</v>
      </c>
      <c r="J416">
        <v>0.7</v>
      </c>
      <c r="K416">
        <v>3343.37</v>
      </c>
      <c r="L416">
        <v>24093.18</v>
      </c>
      <c r="M416" t="s">
        <v>3428</v>
      </c>
      <c r="N416" t="s">
        <v>1121</v>
      </c>
      <c r="O416" t="s">
        <v>2376</v>
      </c>
      <c r="P416" t="s">
        <v>2515</v>
      </c>
      <c r="Q416" t="s">
        <v>5152</v>
      </c>
      <c r="R416" t="s">
        <v>3429</v>
      </c>
    </row>
    <row r="417" spans="1:19" hidden="1" x14ac:dyDescent="0.25">
      <c r="A417" t="s">
        <v>5153</v>
      </c>
      <c r="B417" t="s">
        <v>3655</v>
      </c>
      <c r="C417" t="s">
        <v>4206</v>
      </c>
      <c r="D417" t="s">
        <v>3530</v>
      </c>
      <c r="E417" t="s">
        <v>1981</v>
      </c>
      <c r="F417" t="s">
        <v>269</v>
      </c>
      <c r="G417">
        <v>33</v>
      </c>
      <c r="H417">
        <v>797.89</v>
      </c>
      <c r="I417">
        <v>26330.37</v>
      </c>
      <c r="J417">
        <v>5.3</v>
      </c>
      <c r="K417">
        <v>4212.8599999999997</v>
      </c>
      <c r="L417">
        <v>29147.72</v>
      </c>
      <c r="M417" t="s">
        <v>4257</v>
      </c>
      <c r="N417" t="s">
        <v>4228</v>
      </c>
      <c r="O417" t="s">
        <v>2456</v>
      </c>
      <c r="P417" t="s">
        <v>2512</v>
      </c>
      <c r="Q417" t="s">
        <v>5154</v>
      </c>
      <c r="R417" t="s">
        <v>3425</v>
      </c>
    </row>
    <row r="418" spans="1:19" hidden="1" x14ac:dyDescent="0.25">
      <c r="A418" t="s">
        <v>5155</v>
      </c>
      <c r="B418" t="s">
        <v>3719</v>
      </c>
      <c r="C418" t="s">
        <v>2859</v>
      </c>
      <c r="D418" t="s">
        <v>2896</v>
      </c>
      <c r="E418" t="s">
        <v>2144</v>
      </c>
      <c r="F418" t="s">
        <v>636</v>
      </c>
      <c r="G418">
        <v>37</v>
      </c>
      <c r="H418">
        <v>737.83</v>
      </c>
      <c r="I418">
        <v>27299.71</v>
      </c>
      <c r="J418">
        <v>8.4</v>
      </c>
      <c r="K418">
        <v>4367.95</v>
      </c>
      <c r="L418">
        <v>29374.48</v>
      </c>
      <c r="M418" t="s">
        <v>4238</v>
      </c>
      <c r="N418" t="s">
        <v>4243</v>
      </c>
      <c r="O418" t="s">
        <v>2456</v>
      </c>
      <c r="P418" t="s">
        <v>2554</v>
      </c>
      <c r="Q418" t="s">
        <v>5156</v>
      </c>
      <c r="R418" t="s">
        <v>3425</v>
      </c>
    </row>
    <row r="419" spans="1:19" x14ac:dyDescent="0.25">
      <c r="A419" t="s">
        <v>5157</v>
      </c>
      <c r="B419" s="2" t="s">
        <v>3892</v>
      </c>
      <c r="C419" t="s">
        <v>3775</v>
      </c>
      <c r="D419" t="s">
        <v>4103</v>
      </c>
      <c r="E419" t="s">
        <v>2068</v>
      </c>
      <c r="F419" t="s">
        <v>799</v>
      </c>
      <c r="G419">
        <v>49</v>
      </c>
      <c r="H419">
        <v>786.56</v>
      </c>
      <c r="I419">
        <v>38541.440000000002</v>
      </c>
      <c r="J419">
        <v>18.8</v>
      </c>
      <c r="K419">
        <v>6166.63</v>
      </c>
      <c r="L419">
        <v>37462.28</v>
      </c>
      <c r="M419" t="s">
        <v>4227</v>
      </c>
      <c r="N419" t="s">
        <v>4248</v>
      </c>
      <c r="O419" t="s">
        <v>2425</v>
      </c>
      <c r="P419" t="s">
        <v>2491</v>
      </c>
      <c r="Q419" t="s">
        <v>5158</v>
      </c>
      <c r="R419" t="s">
        <v>4245</v>
      </c>
    </row>
    <row r="420" spans="1:19" hidden="1" x14ac:dyDescent="0.25">
      <c r="A420" t="s">
        <v>5159</v>
      </c>
      <c r="B420" t="s">
        <v>4748</v>
      </c>
      <c r="C420" t="s">
        <v>4748</v>
      </c>
      <c r="D420" t="s">
        <v>3567</v>
      </c>
      <c r="E420" t="s">
        <v>2016</v>
      </c>
      <c r="F420" t="s">
        <v>448</v>
      </c>
      <c r="G420">
        <v>13</v>
      </c>
      <c r="H420">
        <v>117.02</v>
      </c>
      <c r="I420">
        <v>1521.26</v>
      </c>
      <c r="J420">
        <v>19.399999999999999</v>
      </c>
      <c r="K420">
        <v>243.4</v>
      </c>
      <c r="L420">
        <v>1469.54</v>
      </c>
      <c r="M420" t="s">
        <v>4257</v>
      </c>
      <c r="N420" t="s">
        <v>1520</v>
      </c>
      <c r="O420" t="s">
        <v>2416</v>
      </c>
      <c r="P420" t="s">
        <v>2568</v>
      </c>
      <c r="Q420" t="s">
        <v>5160</v>
      </c>
      <c r="R420" t="s">
        <v>3425</v>
      </c>
      <c r="S420" t="s">
        <v>4292</v>
      </c>
    </row>
    <row r="421" spans="1:19" hidden="1" x14ac:dyDescent="0.25">
      <c r="A421" t="s">
        <v>5161</v>
      </c>
      <c r="B421" t="s">
        <v>3591</v>
      </c>
      <c r="C421" t="s">
        <v>4543</v>
      </c>
      <c r="D421" t="s">
        <v>3488</v>
      </c>
      <c r="E421" t="s">
        <v>1739</v>
      </c>
      <c r="F421" t="s">
        <v>870</v>
      </c>
      <c r="G421">
        <v>33</v>
      </c>
      <c r="H421">
        <v>708.01</v>
      </c>
      <c r="I421">
        <v>23364.33</v>
      </c>
      <c r="J421">
        <v>18</v>
      </c>
      <c r="K421">
        <v>3738.29</v>
      </c>
      <c r="L421">
        <v>22897.040000000001</v>
      </c>
      <c r="M421" t="s">
        <v>4232</v>
      </c>
      <c r="N421" t="s">
        <v>1520</v>
      </c>
      <c r="O421" t="s">
        <v>2440</v>
      </c>
      <c r="P421" t="s">
        <v>2554</v>
      </c>
      <c r="Q421" t="s">
        <v>5162</v>
      </c>
      <c r="R421" t="s">
        <v>3425</v>
      </c>
    </row>
    <row r="422" spans="1:19" hidden="1" x14ac:dyDescent="0.25">
      <c r="A422" t="s">
        <v>5163</v>
      </c>
      <c r="B422" t="s">
        <v>3196</v>
      </c>
      <c r="C422" t="s">
        <v>3196</v>
      </c>
      <c r="D422" t="s">
        <v>3914</v>
      </c>
      <c r="E422" t="s">
        <v>1748</v>
      </c>
      <c r="F422" t="s">
        <v>626</v>
      </c>
      <c r="G422">
        <v>19</v>
      </c>
      <c r="H422">
        <v>708.78</v>
      </c>
      <c r="I422">
        <v>13466.82</v>
      </c>
      <c r="J422">
        <v>9</v>
      </c>
      <c r="K422">
        <v>2154.69</v>
      </c>
      <c r="L422">
        <v>14409.5</v>
      </c>
      <c r="M422" t="s">
        <v>4247</v>
      </c>
      <c r="N422" t="s">
        <v>4233</v>
      </c>
      <c r="O422" t="s">
        <v>2456</v>
      </c>
      <c r="P422" t="s">
        <v>2475</v>
      </c>
      <c r="Q422" t="s">
        <v>5164</v>
      </c>
      <c r="R422" t="s">
        <v>3425</v>
      </c>
      <c r="S422" t="s">
        <v>4235</v>
      </c>
    </row>
    <row r="423" spans="1:19" hidden="1" x14ac:dyDescent="0.25">
      <c r="A423" t="s">
        <v>5165</v>
      </c>
      <c r="B423" t="s">
        <v>3313</v>
      </c>
      <c r="C423" t="s">
        <v>4977</v>
      </c>
      <c r="D423" t="s">
        <v>4977</v>
      </c>
      <c r="E423" t="s">
        <v>1502</v>
      </c>
      <c r="F423" t="s">
        <v>337</v>
      </c>
      <c r="G423">
        <v>35</v>
      </c>
      <c r="H423">
        <v>202.17</v>
      </c>
      <c r="I423">
        <v>7075.95</v>
      </c>
      <c r="J423">
        <v>2.7</v>
      </c>
      <c r="K423">
        <v>1132.1500000000001</v>
      </c>
      <c r="L423">
        <v>8017.05</v>
      </c>
      <c r="M423" t="s">
        <v>4227</v>
      </c>
      <c r="N423" t="s">
        <v>4233</v>
      </c>
      <c r="O423" t="s">
        <v>2398</v>
      </c>
      <c r="P423" t="s">
        <v>2512</v>
      </c>
      <c r="Q423" t="s">
        <v>5166</v>
      </c>
      <c r="R423" t="s">
        <v>3425</v>
      </c>
      <c r="S423" t="s">
        <v>4230</v>
      </c>
    </row>
    <row r="424" spans="1:19" hidden="1" x14ac:dyDescent="0.25">
      <c r="A424" t="s">
        <v>5167</v>
      </c>
      <c r="B424" t="s">
        <v>3626</v>
      </c>
      <c r="C424" t="s">
        <v>3626</v>
      </c>
      <c r="D424" t="s">
        <v>2697</v>
      </c>
      <c r="E424" t="s">
        <v>2007</v>
      </c>
      <c r="F424" t="s">
        <v>703</v>
      </c>
      <c r="G424">
        <v>9</v>
      </c>
      <c r="H424">
        <v>105.86</v>
      </c>
      <c r="I424">
        <v>952.74</v>
      </c>
      <c r="J424">
        <v>15.2</v>
      </c>
      <c r="K424">
        <v>152.44</v>
      </c>
      <c r="L424">
        <v>960.36</v>
      </c>
      <c r="M424" t="s">
        <v>4247</v>
      </c>
      <c r="N424" t="s">
        <v>4243</v>
      </c>
      <c r="O424" t="s">
        <v>2440</v>
      </c>
      <c r="P424" t="s">
        <v>2561</v>
      </c>
      <c r="Q424" t="s">
        <v>5168</v>
      </c>
      <c r="R424" t="s">
        <v>3425</v>
      </c>
    </row>
    <row r="425" spans="1:19" hidden="1" x14ac:dyDescent="0.25">
      <c r="A425" t="s">
        <v>5169</v>
      </c>
      <c r="B425" t="s">
        <v>3439</v>
      </c>
      <c r="C425" t="s">
        <v>3439</v>
      </c>
      <c r="D425" t="s">
        <v>4183</v>
      </c>
      <c r="E425" t="s">
        <v>1687</v>
      </c>
      <c r="F425" t="s">
        <v>453</v>
      </c>
      <c r="G425">
        <v>24</v>
      </c>
      <c r="H425">
        <v>898.26</v>
      </c>
      <c r="I425">
        <v>21558.240000000002</v>
      </c>
      <c r="J425">
        <v>4.8</v>
      </c>
      <c r="K425">
        <v>3449.32</v>
      </c>
      <c r="L425">
        <v>23972.76</v>
      </c>
      <c r="M425" t="s">
        <v>4232</v>
      </c>
      <c r="N425" t="s">
        <v>1520</v>
      </c>
      <c r="O425" t="s">
        <v>2456</v>
      </c>
      <c r="P425" t="s">
        <v>2519</v>
      </c>
      <c r="Q425" t="s">
        <v>5170</v>
      </c>
      <c r="R425" t="s">
        <v>3434</v>
      </c>
      <c r="S425" t="s">
        <v>3466</v>
      </c>
    </row>
    <row r="426" spans="1:19" hidden="1" x14ac:dyDescent="0.25">
      <c r="A426" t="s">
        <v>5171</v>
      </c>
      <c r="B426" t="s">
        <v>4087</v>
      </c>
      <c r="C426" t="s">
        <v>3769</v>
      </c>
      <c r="D426" t="s">
        <v>3777</v>
      </c>
      <c r="E426" t="s">
        <v>1511</v>
      </c>
      <c r="F426" t="s">
        <v>865</v>
      </c>
      <c r="G426">
        <v>47</v>
      </c>
      <c r="H426">
        <v>688.3</v>
      </c>
      <c r="I426">
        <v>32350.1</v>
      </c>
      <c r="J426">
        <v>9.5</v>
      </c>
      <c r="K426">
        <v>5176.0200000000004</v>
      </c>
      <c r="L426">
        <v>34452.86</v>
      </c>
      <c r="M426" t="s">
        <v>4238</v>
      </c>
      <c r="N426" t="s">
        <v>4228</v>
      </c>
      <c r="O426" t="s">
        <v>2432</v>
      </c>
      <c r="P426" t="s">
        <v>2506</v>
      </c>
      <c r="Q426" t="s">
        <v>5172</v>
      </c>
      <c r="R426" t="s">
        <v>4275</v>
      </c>
    </row>
    <row r="427" spans="1:19" hidden="1" x14ac:dyDescent="0.25">
      <c r="A427" t="s">
        <v>5173</v>
      </c>
      <c r="B427" t="s">
        <v>3897</v>
      </c>
      <c r="C427" t="s">
        <v>3790</v>
      </c>
      <c r="D427" t="s">
        <v>3552</v>
      </c>
      <c r="E427" t="s">
        <v>2060</v>
      </c>
      <c r="F427" t="s">
        <v>490</v>
      </c>
      <c r="G427">
        <v>10</v>
      </c>
      <c r="H427">
        <v>248.42</v>
      </c>
      <c r="I427">
        <v>2484.1999999999998</v>
      </c>
      <c r="J427">
        <v>0.3</v>
      </c>
      <c r="K427">
        <v>397.47</v>
      </c>
      <c r="L427">
        <v>2874.22</v>
      </c>
      <c r="M427" t="s">
        <v>3428</v>
      </c>
      <c r="N427" t="s">
        <v>4233</v>
      </c>
      <c r="O427" t="s">
        <v>2388</v>
      </c>
      <c r="P427" t="s">
        <v>2544</v>
      </c>
      <c r="Q427" t="s">
        <v>5174</v>
      </c>
      <c r="R427" t="s">
        <v>3425</v>
      </c>
      <c r="S427" t="s">
        <v>4292</v>
      </c>
    </row>
    <row r="428" spans="1:19" hidden="1" x14ac:dyDescent="0.25">
      <c r="A428" t="s">
        <v>5175</v>
      </c>
      <c r="B428" t="s">
        <v>5176</v>
      </c>
      <c r="C428" t="s">
        <v>4063</v>
      </c>
      <c r="D428" t="s">
        <v>2905</v>
      </c>
      <c r="E428" t="s">
        <v>1932</v>
      </c>
      <c r="F428" t="s">
        <v>784</v>
      </c>
      <c r="G428">
        <v>28</v>
      </c>
      <c r="H428">
        <v>179.37</v>
      </c>
      <c r="I428">
        <v>5022.3599999999997</v>
      </c>
      <c r="J428">
        <v>7.6</v>
      </c>
      <c r="K428">
        <v>803.58</v>
      </c>
      <c r="L428">
        <v>5444.24</v>
      </c>
      <c r="M428" t="s">
        <v>3442</v>
      </c>
      <c r="N428" t="s">
        <v>4228</v>
      </c>
      <c r="O428" t="s">
        <v>2432</v>
      </c>
      <c r="P428" t="s">
        <v>2535</v>
      </c>
      <c r="Q428" t="s">
        <v>5177</v>
      </c>
      <c r="R428" t="s">
        <v>3425</v>
      </c>
    </row>
    <row r="429" spans="1:19" hidden="1" x14ac:dyDescent="0.25">
      <c r="A429" t="s">
        <v>5178</v>
      </c>
      <c r="B429" t="s">
        <v>5179</v>
      </c>
      <c r="C429" t="s">
        <v>2988</v>
      </c>
      <c r="D429" t="s">
        <v>3753</v>
      </c>
      <c r="E429" t="s">
        <v>1524</v>
      </c>
      <c r="F429" t="s">
        <v>875</v>
      </c>
      <c r="G429">
        <v>22</v>
      </c>
      <c r="H429">
        <v>723.55</v>
      </c>
      <c r="I429">
        <v>15918.1</v>
      </c>
      <c r="J429">
        <v>4.7</v>
      </c>
      <c r="K429">
        <v>2546.9</v>
      </c>
      <c r="L429">
        <v>17716.849999999999</v>
      </c>
      <c r="M429" t="s">
        <v>4232</v>
      </c>
      <c r="N429" t="s">
        <v>4248</v>
      </c>
      <c r="O429" t="s">
        <v>2407</v>
      </c>
      <c r="P429" t="s">
        <v>2531</v>
      </c>
      <c r="Q429" t="s">
        <v>5180</v>
      </c>
      <c r="R429" t="s">
        <v>3425</v>
      </c>
      <c r="S429" t="s">
        <v>4230</v>
      </c>
    </row>
    <row r="430" spans="1:19" hidden="1" x14ac:dyDescent="0.25">
      <c r="A430" t="s">
        <v>5181</v>
      </c>
      <c r="B430" t="s">
        <v>3519</v>
      </c>
      <c r="C430" t="s">
        <v>3571</v>
      </c>
      <c r="D430" t="s">
        <v>3565</v>
      </c>
      <c r="E430" t="s">
        <v>2025</v>
      </c>
      <c r="F430" t="s">
        <v>718</v>
      </c>
      <c r="G430">
        <v>39</v>
      </c>
      <c r="H430">
        <v>350.39</v>
      </c>
      <c r="I430">
        <v>13665.21</v>
      </c>
      <c r="J430">
        <v>1.2</v>
      </c>
      <c r="K430">
        <v>2186.4299999999998</v>
      </c>
      <c r="L430">
        <v>15687.66</v>
      </c>
      <c r="M430" t="s">
        <v>4227</v>
      </c>
      <c r="N430" t="s">
        <v>4228</v>
      </c>
      <c r="O430" t="s">
        <v>2376</v>
      </c>
      <c r="P430" t="s">
        <v>2475</v>
      </c>
      <c r="Q430" t="s">
        <v>5182</v>
      </c>
      <c r="R430" t="s">
        <v>3425</v>
      </c>
      <c r="S430" t="s">
        <v>3466</v>
      </c>
    </row>
    <row r="431" spans="1:19" x14ac:dyDescent="0.25">
      <c r="A431" t="s">
        <v>5183</v>
      </c>
      <c r="B431" s="2" t="s">
        <v>2637</v>
      </c>
      <c r="C431" t="s">
        <v>2303</v>
      </c>
      <c r="D431" t="s">
        <v>3995</v>
      </c>
      <c r="E431" t="s">
        <v>1599</v>
      </c>
      <c r="F431" t="s">
        <v>343</v>
      </c>
      <c r="G431">
        <v>49</v>
      </c>
      <c r="H431">
        <v>722.95</v>
      </c>
      <c r="I431">
        <v>35424.550000000003</v>
      </c>
      <c r="J431">
        <v>13.1</v>
      </c>
      <c r="K431">
        <v>5667.93</v>
      </c>
      <c r="L431">
        <v>36451.86</v>
      </c>
      <c r="M431" t="s">
        <v>4257</v>
      </c>
      <c r="N431" t="s">
        <v>1121</v>
      </c>
      <c r="O431" t="s">
        <v>2449</v>
      </c>
      <c r="P431" t="s">
        <v>2527</v>
      </c>
      <c r="Q431" t="s">
        <v>5184</v>
      </c>
      <c r="R431" t="s">
        <v>4245</v>
      </c>
    </row>
    <row r="432" spans="1:19" hidden="1" x14ac:dyDescent="0.25">
      <c r="A432" t="s">
        <v>5185</v>
      </c>
      <c r="B432" t="s">
        <v>3580</v>
      </c>
      <c r="C432" t="s">
        <v>3914</v>
      </c>
      <c r="D432" t="s">
        <v>3530</v>
      </c>
      <c r="E432" t="s">
        <v>2228</v>
      </c>
      <c r="F432" t="s">
        <v>606</v>
      </c>
      <c r="G432">
        <v>32</v>
      </c>
      <c r="H432">
        <v>214.03</v>
      </c>
      <c r="I432">
        <v>6848.96</v>
      </c>
      <c r="J432">
        <v>2.4</v>
      </c>
      <c r="K432">
        <v>1095.83</v>
      </c>
      <c r="L432">
        <v>7780.41</v>
      </c>
      <c r="M432" t="s">
        <v>4247</v>
      </c>
      <c r="N432" t="s">
        <v>4248</v>
      </c>
      <c r="O432" t="s">
        <v>2432</v>
      </c>
      <c r="P432" t="s">
        <v>2491</v>
      </c>
      <c r="Q432" t="s">
        <v>5186</v>
      </c>
      <c r="R432" t="s">
        <v>3425</v>
      </c>
    </row>
    <row r="433" spans="1:19" hidden="1" x14ac:dyDescent="0.25">
      <c r="A433" t="s">
        <v>5187</v>
      </c>
      <c r="B433" t="s">
        <v>3666</v>
      </c>
      <c r="C433" t="s">
        <v>2717</v>
      </c>
      <c r="D433" t="s">
        <v>3018</v>
      </c>
      <c r="E433" t="s">
        <v>2119</v>
      </c>
      <c r="F433" t="s">
        <v>165</v>
      </c>
      <c r="G433">
        <v>31</v>
      </c>
      <c r="H433">
        <v>767.39</v>
      </c>
      <c r="I433">
        <v>23789.09</v>
      </c>
      <c r="J433">
        <v>9.1</v>
      </c>
      <c r="K433">
        <v>3806.25</v>
      </c>
      <c r="L433">
        <v>25430.53</v>
      </c>
      <c r="M433" t="s">
        <v>4257</v>
      </c>
      <c r="N433" t="s">
        <v>1121</v>
      </c>
      <c r="O433" t="s">
        <v>2407</v>
      </c>
      <c r="P433" t="s">
        <v>2568</v>
      </c>
      <c r="Q433" t="s">
        <v>5188</v>
      </c>
      <c r="R433" t="s">
        <v>3425</v>
      </c>
    </row>
    <row r="434" spans="1:19" hidden="1" x14ac:dyDescent="0.25">
      <c r="A434" t="s">
        <v>5189</v>
      </c>
      <c r="B434" t="s">
        <v>2800</v>
      </c>
      <c r="C434" t="s">
        <v>3470</v>
      </c>
      <c r="D434" t="s">
        <v>3711</v>
      </c>
      <c r="E434" t="s">
        <v>1914</v>
      </c>
      <c r="F434" t="s">
        <v>279</v>
      </c>
      <c r="G434">
        <v>6</v>
      </c>
      <c r="H434">
        <v>618.36</v>
      </c>
      <c r="I434">
        <v>3710.16</v>
      </c>
      <c r="J434">
        <v>0.3</v>
      </c>
      <c r="K434">
        <v>593.63</v>
      </c>
      <c r="L434">
        <v>4292.66</v>
      </c>
      <c r="M434" t="s">
        <v>4232</v>
      </c>
      <c r="N434" t="s">
        <v>4248</v>
      </c>
      <c r="O434" t="s">
        <v>2388</v>
      </c>
      <c r="P434" t="s">
        <v>2495</v>
      </c>
      <c r="Q434" t="s">
        <v>5190</v>
      </c>
      <c r="R434" t="s">
        <v>3434</v>
      </c>
      <c r="S434" t="s">
        <v>4292</v>
      </c>
    </row>
    <row r="435" spans="1:19" hidden="1" x14ac:dyDescent="0.25">
      <c r="A435" t="s">
        <v>5191</v>
      </c>
      <c r="B435" t="s">
        <v>4192</v>
      </c>
      <c r="C435" t="s">
        <v>2849</v>
      </c>
      <c r="D435" t="s">
        <v>3031</v>
      </c>
      <c r="E435" t="s">
        <v>2320</v>
      </c>
      <c r="F435" t="s">
        <v>682</v>
      </c>
      <c r="G435">
        <v>31</v>
      </c>
      <c r="H435">
        <v>806.64</v>
      </c>
      <c r="I435">
        <v>25005.84</v>
      </c>
      <c r="J435">
        <v>7.5</v>
      </c>
      <c r="K435">
        <v>4000.93</v>
      </c>
      <c r="L435">
        <v>27131.33</v>
      </c>
      <c r="M435" t="s">
        <v>3442</v>
      </c>
      <c r="N435" t="s">
        <v>1520</v>
      </c>
      <c r="O435" t="s">
        <v>2425</v>
      </c>
      <c r="P435" t="s">
        <v>2522</v>
      </c>
      <c r="Q435" t="s">
        <v>5192</v>
      </c>
      <c r="R435" t="s">
        <v>3425</v>
      </c>
      <c r="S435" t="s">
        <v>3466</v>
      </c>
    </row>
    <row r="436" spans="1:19" hidden="1" x14ac:dyDescent="0.25">
      <c r="A436" t="s">
        <v>5193</v>
      </c>
      <c r="B436" t="s">
        <v>4001</v>
      </c>
      <c r="C436" t="s">
        <v>4001</v>
      </c>
      <c r="D436" t="s">
        <v>3621</v>
      </c>
      <c r="E436" t="s">
        <v>1965</v>
      </c>
      <c r="F436" t="s">
        <v>186</v>
      </c>
      <c r="G436">
        <v>42</v>
      </c>
      <c r="H436">
        <v>472.49</v>
      </c>
      <c r="I436">
        <v>19844.580000000002</v>
      </c>
      <c r="J436">
        <v>16.399999999999999</v>
      </c>
      <c r="K436">
        <v>3175.13</v>
      </c>
      <c r="L436">
        <v>19765.2</v>
      </c>
      <c r="M436" t="s">
        <v>3442</v>
      </c>
      <c r="N436" t="s">
        <v>4248</v>
      </c>
      <c r="O436" t="s">
        <v>2425</v>
      </c>
      <c r="P436" t="s">
        <v>2561</v>
      </c>
      <c r="Q436" t="s">
        <v>5194</v>
      </c>
      <c r="R436" t="s">
        <v>3425</v>
      </c>
      <c r="S436" t="s">
        <v>4235</v>
      </c>
    </row>
    <row r="437" spans="1:19" hidden="1" x14ac:dyDescent="0.25">
      <c r="A437" t="s">
        <v>5195</v>
      </c>
      <c r="B437" t="s">
        <v>5196</v>
      </c>
      <c r="C437" t="s">
        <v>5196</v>
      </c>
      <c r="D437" t="s">
        <v>2884</v>
      </c>
      <c r="E437" t="s">
        <v>1524</v>
      </c>
      <c r="F437" t="s">
        <v>264</v>
      </c>
      <c r="G437">
        <v>7</v>
      </c>
      <c r="H437">
        <v>185.04</v>
      </c>
      <c r="I437">
        <v>1295.28</v>
      </c>
      <c r="J437">
        <v>13.3</v>
      </c>
      <c r="K437">
        <v>207.24</v>
      </c>
      <c r="L437">
        <v>1330.25</v>
      </c>
      <c r="M437" t="s">
        <v>4238</v>
      </c>
      <c r="N437" t="s">
        <v>1520</v>
      </c>
      <c r="O437" t="s">
        <v>2449</v>
      </c>
      <c r="P437" t="s">
        <v>2527</v>
      </c>
      <c r="Q437" t="s">
        <v>5197</v>
      </c>
      <c r="R437" t="s">
        <v>3429</v>
      </c>
      <c r="S437" t="s">
        <v>4292</v>
      </c>
    </row>
    <row r="438" spans="1:19" hidden="1" x14ac:dyDescent="0.25">
      <c r="A438" t="s">
        <v>5198</v>
      </c>
      <c r="B438" t="s">
        <v>4271</v>
      </c>
      <c r="C438" t="s">
        <v>4387</v>
      </c>
      <c r="D438" t="s">
        <v>4387</v>
      </c>
      <c r="E438" t="s">
        <v>2042</v>
      </c>
      <c r="F438" t="s">
        <v>824</v>
      </c>
      <c r="G438">
        <v>28</v>
      </c>
      <c r="H438">
        <v>732.93</v>
      </c>
      <c r="I438">
        <v>20522.04</v>
      </c>
      <c r="J438">
        <v>18.2</v>
      </c>
      <c r="K438">
        <v>3283.53</v>
      </c>
      <c r="L438">
        <v>20070.560000000001</v>
      </c>
      <c r="M438" t="s">
        <v>3442</v>
      </c>
      <c r="N438" t="s">
        <v>1520</v>
      </c>
      <c r="O438" t="s">
        <v>2432</v>
      </c>
      <c r="P438" t="s">
        <v>2481</v>
      </c>
      <c r="Q438" t="s">
        <v>5199</v>
      </c>
      <c r="R438" t="s">
        <v>3434</v>
      </c>
      <c r="S438" t="s">
        <v>4292</v>
      </c>
    </row>
    <row r="439" spans="1:19" hidden="1" x14ac:dyDescent="0.25">
      <c r="A439" t="s">
        <v>5200</v>
      </c>
      <c r="B439" t="s">
        <v>3888</v>
      </c>
      <c r="C439" t="s">
        <v>3888</v>
      </c>
      <c r="D439" t="s">
        <v>3818</v>
      </c>
      <c r="E439" t="s">
        <v>2016</v>
      </c>
      <c r="F439" t="s">
        <v>438</v>
      </c>
      <c r="G439">
        <v>2</v>
      </c>
      <c r="H439">
        <v>508.94</v>
      </c>
      <c r="I439">
        <v>1017.88</v>
      </c>
      <c r="J439">
        <v>4.5999999999999996</v>
      </c>
      <c r="K439">
        <v>162.86000000000001</v>
      </c>
      <c r="L439">
        <v>1133.92</v>
      </c>
      <c r="M439" t="s">
        <v>4257</v>
      </c>
      <c r="N439" t="s">
        <v>4228</v>
      </c>
      <c r="O439" t="s">
        <v>2376</v>
      </c>
      <c r="P439" t="s">
        <v>2538</v>
      </c>
      <c r="Q439" t="s">
        <v>5201</v>
      </c>
      <c r="R439" t="s">
        <v>3429</v>
      </c>
      <c r="S439" t="s">
        <v>4292</v>
      </c>
    </row>
    <row r="440" spans="1:19" hidden="1" x14ac:dyDescent="0.25">
      <c r="A440" t="s">
        <v>5202</v>
      </c>
      <c r="B440" t="s">
        <v>4398</v>
      </c>
      <c r="C440" t="s">
        <v>3489</v>
      </c>
      <c r="D440" t="s">
        <v>3875</v>
      </c>
      <c r="E440" t="s">
        <v>1534</v>
      </c>
      <c r="F440" t="s">
        <v>131</v>
      </c>
      <c r="G440">
        <v>26</v>
      </c>
      <c r="H440">
        <v>557.02</v>
      </c>
      <c r="I440">
        <v>14482.52</v>
      </c>
      <c r="J440">
        <v>14.5</v>
      </c>
      <c r="K440">
        <v>2317.1999999999998</v>
      </c>
      <c r="L440">
        <v>14699.75</v>
      </c>
      <c r="M440" t="s">
        <v>4232</v>
      </c>
      <c r="N440" t="s">
        <v>4243</v>
      </c>
      <c r="O440" t="s">
        <v>2398</v>
      </c>
      <c r="P440" t="s">
        <v>2506</v>
      </c>
      <c r="Q440" t="s">
        <v>5203</v>
      </c>
      <c r="R440" t="s">
        <v>3425</v>
      </c>
      <c r="S440" t="s">
        <v>4292</v>
      </c>
    </row>
    <row r="441" spans="1:19" hidden="1" x14ac:dyDescent="0.25">
      <c r="A441" t="s">
        <v>5204</v>
      </c>
      <c r="B441" t="s">
        <v>3079</v>
      </c>
      <c r="C441" t="s">
        <v>3555</v>
      </c>
      <c r="D441" t="s">
        <v>2776</v>
      </c>
      <c r="E441" t="s">
        <v>2111</v>
      </c>
      <c r="F441" t="s">
        <v>448</v>
      </c>
      <c r="G441">
        <v>33</v>
      </c>
      <c r="H441">
        <v>449.64</v>
      </c>
      <c r="I441">
        <v>14838.12</v>
      </c>
      <c r="J441">
        <v>9</v>
      </c>
      <c r="K441">
        <v>2374.1</v>
      </c>
      <c r="L441">
        <v>15876.79</v>
      </c>
      <c r="M441" t="s">
        <v>3442</v>
      </c>
      <c r="N441" t="s">
        <v>4228</v>
      </c>
      <c r="O441" t="s">
        <v>2449</v>
      </c>
      <c r="P441" t="s">
        <v>2531</v>
      </c>
      <c r="Q441" t="s">
        <v>5205</v>
      </c>
      <c r="R441" t="s">
        <v>3429</v>
      </c>
    </row>
    <row r="442" spans="1:19" hidden="1" x14ac:dyDescent="0.25">
      <c r="A442" t="s">
        <v>5206</v>
      </c>
      <c r="B442" t="s">
        <v>2677</v>
      </c>
      <c r="C442" t="s">
        <v>3177</v>
      </c>
      <c r="D442" t="s">
        <v>2772</v>
      </c>
      <c r="E442" t="s">
        <v>1668</v>
      </c>
      <c r="F442" t="s">
        <v>1026</v>
      </c>
      <c r="G442">
        <v>1</v>
      </c>
      <c r="H442">
        <v>234.54</v>
      </c>
      <c r="I442">
        <v>234.54</v>
      </c>
      <c r="J442">
        <v>20</v>
      </c>
      <c r="K442">
        <v>37.53</v>
      </c>
      <c r="L442">
        <v>225.16</v>
      </c>
      <c r="M442" t="s">
        <v>4247</v>
      </c>
      <c r="N442" t="s">
        <v>1121</v>
      </c>
      <c r="O442" t="s">
        <v>2376</v>
      </c>
      <c r="P442" t="s">
        <v>2525</v>
      </c>
      <c r="Q442" t="s">
        <v>5207</v>
      </c>
      <c r="R442" t="s">
        <v>3425</v>
      </c>
    </row>
    <row r="443" spans="1:19" hidden="1" x14ac:dyDescent="0.25">
      <c r="A443" t="s">
        <v>5208</v>
      </c>
      <c r="B443" t="s">
        <v>4433</v>
      </c>
      <c r="C443" t="s">
        <v>4103</v>
      </c>
      <c r="D443" t="s">
        <v>4500</v>
      </c>
      <c r="E443" t="s">
        <v>2344</v>
      </c>
      <c r="F443" t="s">
        <v>379</v>
      </c>
      <c r="G443">
        <v>1</v>
      </c>
      <c r="H443">
        <v>148.77000000000001</v>
      </c>
      <c r="I443">
        <v>148.77000000000001</v>
      </c>
      <c r="J443">
        <v>0.4</v>
      </c>
      <c r="K443">
        <v>23.8</v>
      </c>
      <c r="L443">
        <v>171.97</v>
      </c>
      <c r="M443" t="s">
        <v>4238</v>
      </c>
      <c r="N443" t="s">
        <v>4248</v>
      </c>
      <c r="O443" t="s">
        <v>2432</v>
      </c>
      <c r="P443" t="s">
        <v>2535</v>
      </c>
      <c r="Q443" t="s">
        <v>5209</v>
      </c>
      <c r="R443" t="s">
        <v>3425</v>
      </c>
    </row>
    <row r="444" spans="1:19" x14ac:dyDescent="0.25">
      <c r="A444" t="s">
        <v>5210</v>
      </c>
      <c r="B444" s="2" t="s">
        <v>3624</v>
      </c>
      <c r="C444" t="s">
        <v>3961</v>
      </c>
      <c r="D444" t="s">
        <v>1695</v>
      </c>
      <c r="E444" t="s">
        <v>1795</v>
      </c>
      <c r="F444" t="s">
        <v>248</v>
      </c>
      <c r="G444">
        <v>26</v>
      </c>
      <c r="H444">
        <v>738.66</v>
      </c>
      <c r="I444">
        <v>19205.16</v>
      </c>
      <c r="J444">
        <v>0.5</v>
      </c>
      <c r="K444">
        <v>3072.83</v>
      </c>
      <c r="L444">
        <v>22181.96</v>
      </c>
      <c r="M444" t="s">
        <v>4238</v>
      </c>
      <c r="N444" t="s">
        <v>4243</v>
      </c>
      <c r="O444" t="s">
        <v>2398</v>
      </c>
      <c r="P444" t="s">
        <v>2512</v>
      </c>
      <c r="Q444" t="s">
        <v>5211</v>
      </c>
      <c r="R444" t="s">
        <v>4245</v>
      </c>
      <c r="S444" t="s">
        <v>3466</v>
      </c>
    </row>
    <row r="445" spans="1:19" hidden="1" x14ac:dyDescent="0.25">
      <c r="A445" t="s">
        <v>5212</v>
      </c>
      <c r="B445" t="s">
        <v>3677</v>
      </c>
      <c r="C445" t="s">
        <v>4030</v>
      </c>
      <c r="D445" t="s">
        <v>3622</v>
      </c>
      <c r="E445" t="s">
        <v>2320</v>
      </c>
      <c r="F445" t="s">
        <v>1031</v>
      </c>
      <c r="G445">
        <v>40</v>
      </c>
      <c r="H445">
        <v>135.78</v>
      </c>
      <c r="I445">
        <v>5431.2</v>
      </c>
      <c r="J445">
        <v>0.2</v>
      </c>
      <c r="K445">
        <v>868.99</v>
      </c>
      <c r="L445">
        <v>6289.33</v>
      </c>
      <c r="M445" t="s">
        <v>4232</v>
      </c>
      <c r="N445" t="s">
        <v>4233</v>
      </c>
      <c r="O445" t="s">
        <v>2449</v>
      </c>
      <c r="P445" t="s">
        <v>2531</v>
      </c>
      <c r="Q445" t="s">
        <v>5213</v>
      </c>
      <c r="R445" t="s">
        <v>3425</v>
      </c>
    </row>
    <row r="446" spans="1:19" hidden="1" x14ac:dyDescent="0.25">
      <c r="A446" t="s">
        <v>5214</v>
      </c>
      <c r="B446" t="s">
        <v>1871</v>
      </c>
      <c r="C446" t="s">
        <v>4387</v>
      </c>
      <c r="D446" t="s">
        <v>4415</v>
      </c>
      <c r="E446" t="s">
        <v>1544</v>
      </c>
      <c r="F446" t="s">
        <v>77</v>
      </c>
      <c r="G446">
        <v>39</v>
      </c>
      <c r="H446">
        <v>752.75</v>
      </c>
      <c r="I446">
        <v>29357.25</v>
      </c>
      <c r="J446">
        <v>19.399999999999999</v>
      </c>
      <c r="K446">
        <v>4697.16</v>
      </c>
      <c r="L446">
        <v>28359.1</v>
      </c>
      <c r="M446" t="s">
        <v>3442</v>
      </c>
      <c r="N446" t="s">
        <v>1121</v>
      </c>
      <c r="O446" t="s">
        <v>2432</v>
      </c>
      <c r="P446" t="s">
        <v>2491</v>
      </c>
      <c r="Q446" t="s">
        <v>5215</v>
      </c>
      <c r="R446" t="s">
        <v>3425</v>
      </c>
      <c r="S446" t="s">
        <v>3466</v>
      </c>
    </row>
    <row r="447" spans="1:19" hidden="1" x14ac:dyDescent="0.25">
      <c r="A447" t="s">
        <v>5216</v>
      </c>
      <c r="B447" t="s">
        <v>5217</v>
      </c>
      <c r="C447" t="s">
        <v>3732</v>
      </c>
      <c r="D447" t="s">
        <v>4078</v>
      </c>
      <c r="E447" t="s">
        <v>1590</v>
      </c>
      <c r="F447" t="s">
        <v>209</v>
      </c>
      <c r="G447">
        <v>34</v>
      </c>
      <c r="H447">
        <v>805.9</v>
      </c>
      <c r="I447">
        <v>27400.6</v>
      </c>
      <c r="J447">
        <v>6.4</v>
      </c>
      <c r="K447">
        <v>4384.1000000000004</v>
      </c>
      <c r="L447">
        <v>30031.06</v>
      </c>
      <c r="M447" t="s">
        <v>4227</v>
      </c>
      <c r="N447" t="s">
        <v>4248</v>
      </c>
      <c r="O447" t="s">
        <v>2449</v>
      </c>
      <c r="P447" t="s">
        <v>2495</v>
      </c>
      <c r="Q447" t="s">
        <v>5218</v>
      </c>
      <c r="R447" t="s">
        <v>3425</v>
      </c>
    </row>
    <row r="448" spans="1:19" hidden="1" x14ac:dyDescent="0.25">
      <c r="A448" t="s">
        <v>5219</v>
      </c>
      <c r="B448" t="s">
        <v>2801</v>
      </c>
      <c r="C448" t="s">
        <v>5143</v>
      </c>
      <c r="D448" t="s">
        <v>3039</v>
      </c>
      <c r="E448" t="s">
        <v>2211</v>
      </c>
      <c r="F448" t="s">
        <v>438</v>
      </c>
      <c r="G448">
        <v>43</v>
      </c>
      <c r="H448">
        <v>109.63</v>
      </c>
      <c r="I448">
        <v>4714.09</v>
      </c>
      <c r="J448">
        <v>7.3</v>
      </c>
      <c r="K448">
        <v>754.25</v>
      </c>
      <c r="L448">
        <v>5124.21</v>
      </c>
      <c r="M448" t="s">
        <v>3428</v>
      </c>
      <c r="N448" t="s">
        <v>1520</v>
      </c>
      <c r="O448" t="s">
        <v>2376</v>
      </c>
      <c r="P448" t="s">
        <v>2535</v>
      </c>
      <c r="Q448" t="s">
        <v>5220</v>
      </c>
      <c r="R448" t="s">
        <v>3434</v>
      </c>
      <c r="S448" t="s">
        <v>4292</v>
      </c>
    </row>
    <row r="449" spans="1:19" hidden="1" x14ac:dyDescent="0.25">
      <c r="A449" t="s">
        <v>5221</v>
      </c>
      <c r="B449" t="s">
        <v>3545</v>
      </c>
      <c r="C449" t="s">
        <v>3545</v>
      </c>
      <c r="D449" t="s">
        <v>1756</v>
      </c>
      <c r="E449" t="s">
        <v>2152</v>
      </c>
      <c r="F449" t="s">
        <v>1015</v>
      </c>
      <c r="G449">
        <v>18</v>
      </c>
      <c r="H449">
        <v>790.58</v>
      </c>
      <c r="I449">
        <v>14230.44</v>
      </c>
      <c r="J449">
        <v>8.6</v>
      </c>
      <c r="K449">
        <v>2276.87</v>
      </c>
      <c r="L449">
        <v>15283.49</v>
      </c>
      <c r="M449" t="s">
        <v>4257</v>
      </c>
      <c r="N449" t="s">
        <v>4228</v>
      </c>
      <c r="O449" t="s">
        <v>2398</v>
      </c>
      <c r="P449" t="s">
        <v>2515</v>
      </c>
      <c r="Q449" t="s">
        <v>5222</v>
      </c>
      <c r="R449" t="s">
        <v>3425</v>
      </c>
    </row>
    <row r="450" spans="1:19" hidden="1" x14ac:dyDescent="0.25">
      <c r="A450" t="s">
        <v>5223</v>
      </c>
      <c r="B450" t="s">
        <v>4180</v>
      </c>
      <c r="C450" t="s">
        <v>4732</v>
      </c>
      <c r="D450" t="s">
        <v>4500</v>
      </c>
      <c r="E450" t="s">
        <v>2270</v>
      </c>
      <c r="F450" t="s">
        <v>759</v>
      </c>
      <c r="G450">
        <v>10</v>
      </c>
      <c r="H450">
        <v>836.52</v>
      </c>
      <c r="I450">
        <v>8365.2000000000007</v>
      </c>
      <c r="J450">
        <v>13.1</v>
      </c>
      <c r="K450">
        <v>1338.43</v>
      </c>
      <c r="L450">
        <v>8607.7900000000009</v>
      </c>
      <c r="M450" t="s">
        <v>4238</v>
      </c>
      <c r="N450" t="s">
        <v>4248</v>
      </c>
      <c r="O450" t="s">
        <v>2376</v>
      </c>
      <c r="P450" t="s">
        <v>2495</v>
      </c>
      <c r="Q450" t="s">
        <v>5224</v>
      </c>
      <c r="R450" t="s">
        <v>3425</v>
      </c>
      <c r="S450" t="s">
        <v>4230</v>
      </c>
    </row>
    <row r="451" spans="1:19" hidden="1" x14ac:dyDescent="0.25">
      <c r="A451" t="s">
        <v>5225</v>
      </c>
      <c r="B451" t="s">
        <v>2524</v>
      </c>
      <c r="C451" t="s">
        <v>2958</v>
      </c>
      <c r="D451" t="s">
        <v>3589</v>
      </c>
      <c r="E451" t="s">
        <v>2068</v>
      </c>
      <c r="F451" t="s">
        <v>165</v>
      </c>
      <c r="G451">
        <v>32</v>
      </c>
      <c r="H451">
        <v>309.66000000000003</v>
      </c>
      <c r="I451">
        <v>9909.1200000000008</v>
      </c>
      <c r="J451">
        <v>6.5</v>
      </c>
      <c r="K451">
        <v>1585.46</v>
      </c>
      <c r="L451">
        <v>10850.49</v>
      </c>
      <c r="M451" t="s">
        <v>4238</v>
      </c>
      <c r="N451" t="s">
        <v>4248</v>
      </c>
      <c r="O451" t="s">
        <v>2407</v>
      </c>
      <c r="P451" t="s">
        <v>2531</v>
      </c>
      <c r="Q451" t="s">
        <v>5226</v>
      </c>
      <c r="R451" t="s">
        <v>3425</v>
      </c>
      <c r="S451" t="s">
        <v>4230</v>
      </c>
    </row>
    <row r="452" spans="1:19" hidden="1" x14ac:dyDescent="0.25">
      <c r="A452" t="s">
        <v>5227</v>
      </c>
      <c r="B452" t="s">
        <v>2866</v>
      </c>
      <c r="C452" t="s">
        <v>3961</v>
      </c>
      <c r="D452" t="s">
        <v>4262</v>
      </c>
      <c r="E452" t="s">
        <v>2016</v>
      </c>
      <c r="F452" t="s">
        <v>69</v>
      </c>
      <c r="G452">
        <v>1</v>
      </c>
      <c r="H452">
        <v>335.73</v>
      </c>
      <c r="I452">
        <v>335.73</v>
      </c>
      <c r="J452">
        <v>3.2</v>
      </c>
      <c r="K452">
        <v>53.72</v>
      </c>
      <c r="L452">
        <v>378.71</v>
      </c>
      <c r="M452" t="s">
        <v>4247</v>
      </c>
      <c r="N452" t="s">
        <v>4248</v>
      </c>
      <c r="O452" t="s">
        <v>2388</v>
      </c>
      <c r="P452" t="s">
        <v>2544</v>
      </c>
      <c r="Q452" t="s">
        <v>5228</v>
      </c>
      <c r="R452" t="s">
        <v>3425</v>
      </c>
      <c r="S452" t="s">
        <v>4230</v>
      </c>
    </row>
    <row r="453" spans="1:19" hidden="1" x14ac:dyDescent="0.25">
      <c r="A453" t="s">
        <v>5229</v>
      </c>
      <c r="B453" t="s">
        <v>2033</v>
      </c>
      <c r="C453" t="s">
        <v>2033</v>
      </c>
      <c r="D453" t="s">
        <v>3717</v>
      </c>
      <c r="E453" t="s">
        <v>1899</v>
      </c>
      <c r="F453" t="s">
        <v>834</v>
      </c>
      <c r="G453">
        <v>2</v>
      </c>
      <c r="H453">
        <v>329.49</v>
      </c>
      <c r="I453">
        <v>658.98</v>
      </c>
      <c r="J453">
        <v>17.3</v>
      </c>
      <c r="K453">
        <v>105.44</v>
      </c>
      <c r="L453">
        <v>650.41999999999996</v>
      </c>
      <c r="M453" t="s">
        <v>4257</v>
      </c>
      <c r="N453" t="s">
        <v>4233</v>
      </c>
      <c r="O453" t="s">
        <v>2440</v>
      </c>
      <c r="P453" t="s">
        <v>2551</v>
      </c>
      <c r="Q453" t="s">
        <v>5230</v>
      </c>
      <c r="R453" t="s">
        <v>3425</v>
      </c>
      <c r="S453" t="s">
        <v>4292</v>
      </c>
    </row>
    <row r="454" spans="1:19" hidden="1" x14ac:dyDescent="0.25">
      <c r="A454" t="s">
        <v>5231</v>
      </c>
      <c r="B454" t="s">
        <v>2628</v>
      </c>
      <c r="C454" t="s">
        <v>4059</v>
      </c>
      <c r="D454" t="s">
        <v>3301</v>
      </c>
      <c r="E454" t="s">
        <v>1981</v>
      </c>
      <c r="F454" t="s">
        <v>631</v>
      </c>
      <c r="G454">
        <v>2</v>
      </c>
      <c r="H454">
        <v>143.03</v>
      </c>
      <c r="I454">
        <v>286.06</v>
      </c>
      <c r="J454">
        <v>2.6</v>
      </c>
      <c r="K454">
        <v>45.77</v>
      </c>
      <c r="L454">
        <v>324.39</v>
      </c>
      <c r="M454" t="s">
        <v>4257</v>
      </c>
      <c r="N454" t="s">
        <v>4233</v>
      </c>
      <c r="O454" t="s">
        <v>2388</v>
      </c>
      <c r="P454" t="s">
        <v>2564</v>
      </c>
      <c r="Q454" t="s">
        <v>5232</v>
      </c>
      <c r="R454" t="s">
        <v>3425</v>
      </c>
    </row>
    <row r="455" spans="1:19" hidden="1" x14ac:dyDescent="0.25">
      <c r="A455" t="s">
        <v>5233</v>
      </c>
      <c r="B455" t="s">
        <v>2984</v>
      </c>
      <c r="C455" t="s">
        <v>2984</v>
      </c>
      <c r="D455" t="s">
        <v>2524</v>
      </c>
      <c r="E455" t="s">
        <v>2135</v>
      </c>
      <c r="F455" t="s">
        <v>1056</v>
      </c>
      <c r="G455">
        <v>41</v>
      </c>
      <c r="H455">
        <v>441.77</v>
      </c>
      <c r="I455">
        <v>18112.57</v>
      </c>
      <c r="J455">
        <v>7</v>
      </c>
      <c r="K455">
        <v>2898.01</v>
      </c>
      <c r="L455">
        <v>19742.7</v>
      </c>
      <c r="M455" t="s">
        <v>4227</v>
      </c>
      <c r="N455" t="s">
        <v>4228</v>
      </c>
      <c r="O455" t="s">
        <v>2425</v>
      </c>
      <c r="P455" t="s">
        <v>2475</v>
      </c>
      <c r="Q455" t="s">
        <v>5234</v>
      </c>
      <c r="R455" t="s">
        <v>4275</v>
      </c>
    </row>
    <row r="456" spans="1:19" hidden="1" x14ac:dyDescent="0.25">
      <c r="A456" t="s">
        <v>5235</v>
      </c>
      <c r="B456" t="s">
        <v>2722</v>
      </c>
      <c r="C456" t="s">
        <v>4027</v>
      </c>
      <c r="D456" t="s">
        <v>2854</v>
      </c>
      <c r="E456" t="s">
        <v>2353</v>
      </c>
      <c r="F456" t="s">
        <v>1051</v>
      </c>
      <c r="G456">
        <v>49</v>
      </c>
      <c r="H456">
        <v>306.83999999999997</v>
      </c>
      <c r="I456">
        <v>15035.16</v>
      </c>
      <c r="J456">
        <v>7.6</v>
      </c>
      <c r="K456">
        <v>2405.63</v>
      </c>
      <c r="L456">
        <v>16298.12</v>
      </c>
      <c r="M456" t="s">
        <v>3442</v>
      </c>
      <c r="N456" t="s">
        <v>1121</v>
      </c>
      <c r="O456" t="s">
        <v>2440</v>
      </c>
      <c r="P456" t="s">
        <v>2531</v>
      </c>
      <c r="Q456" t="s">
        <v>5236</v>
      </c>
      <c r="R456" t="s">
        <v>3434</v>
      </c>
      <c r="S456" t="s">
        <v>4235</v>
      </c>
    </row>
    <row r="457" spans="1:19" hidden="1" x14ac:dyDescent="0.25">
      <c r="A457" t="s">
        <v>5237</v>
      </c>
      <c r="B457" t="s">
        <v>4657</v>
      </c>
      <c r="C457" t="s">
        <v>2683</v>
      </c>
      <c r="D457" t="s">
        <v>2655</v>
      </c>
      <c r="E457" t="s">
        <v>1511</v>
      </c>
      <c r="F457" t="s">
        <v>228</v>
      </c>
      <c r="G457">
        <v>40</v>
      </c>
      <c r="H457">
        <v>170.49</v>
      </c>
      <c r="I457">
        <v>6819.6</v>
      </c>
      <c r="J457">
        <v>4.7</v>
      </c>
      <c r="K457">
        <v>1091.1400000000001</v>
      </c>
      <c r="L457">
        <v>7590.22</v>
      </c>
      <c r="M457" t="s">
        <v>4247</v>
      </c>
      <c r="N457" t="s">
        <v>4243</v>
      </c>
      <c r="O457" t="s">
        <v>2407</v>
      </c>
      <c r="P457" t="s">
        <v>2564</v>
      </c>
      <c r="Q457" t="s">
        <v>5238</v>
      </c>
      <c r="R457" t="s">
        <v>3425</v>
      </c>
      <c r="S457" t="s">
        <v>4292</v>
      </c>
    </row>
    <row r="458" spans="1:19" x14ac:dyDescent="0.25">
      <c r="A458" t="s">
        <v>5239</v>
      </c>
      <c r="B458" s="2" t="s">
        <v>5240</v>
      </c>
      <c r="C458" t="s">
        <v>3086</v>
      </c>
      <c r="D458" t="s">
        <v>3717</v>
      </c>
      <c r="E458" t="s">
        <v>1775</v>
      </c>
      <c r="F458" t="s">
        <v>555</v>
      </c>
      <c r="G458">
        <v>36</v>
      </c>
      <c r="H458">
        <v>868.88</v>
      </c>
      <c r="I458">
        <v>31279.68</v>
      </c>
      <c r="J458">
        <v>1.7</v>
      </c>
      <c r="K458">
        <v>5004.75</v>
      </c>
      <c r="L458">
        <v>35752.68</v>
      </c>
      <c r="M458" t="s">
        <v>4227</v>
      </c>
      <c r="N458" t="s">
        <v>4233</v>
      </c>
      <c r="O458" t="s">
        <v>2398</v>
      </c>
      <c r="P458" t="s">
        <v>2535</v>
      </c>
      <c r="Q458" t="s">
        <v>5241</v>
      </c>
      <c r="R458" t="s">
        <v>4245</v>
      </c>
    </row>
    <row r="459" spans="1:19" x14ac:dyDescent="0.25">
      <c r="A459" t="s">
        <v>5242</v>
      </c>
      <c r="B459" s="2" t="s">
        <v>2787</v>
      </c>
      <c r="C459" t="s">
        <v>3698</v>
      </c>
      <c r="D459" t="s">
        <v>3698</v>
      </c>
      <c r="E459" t="s">
        <v>2076</v>
      </c>
      <c r="F459" t="s">
        <v>611</v>
      </c>
      <c r="G459">
        <v>27</v>
      </c>
      <c r="H459">
        <v>662.87</v>
      </c>
      <c r="I459">
        <v>17897.490000000002</v>
      </c>
      <c r="J459">
        <v>7.7</v>
      </c>
      <c r="K459">
        <v>2863.6</v>
      </c>
      <c r="L459">
        <v>19382.98</v>
      </c>
      <c r="M459" t="s">
        <v>4238</v>
      </c>
      <c r="N459" t="s">
        <v>1121</v>
      </c>
      <c r="O459" t="s">
        <v>2416</v>
      </c>
      <c r="P459" t="s">
        <v>2486</v>
      </c>
      <c r="Q459" t="s">
        <v>5243</v>
      </c>
      <c r="R459" t="s">
        <v>4245</v>
      </c>
      <c r="S459" t="s">
        <v>4292</v>
      </c>
    </row>
    <row r="460" spans="1:19" hidden="1" x14ac:dyDescent="0.25">
      <c r="A460" t="s">
        <v>5244</v>
      </c>
      <c r="B460" t="s">
        <v>3399</v>
      </c>
      <c r="C460" t="s">
        <v>3399</v>
      </c>
      <c r="D460" t="s">
        <v>4076</v>
      </c>
      <c r="E460" t="s">
        <v>2194</v>
      </c>
      <c r="F460" t="s">
        <v>485</v>
      </c>
      <c r="G460">
        <v>31</v>
      </c>
      <c r="H460">
        <v>473.67</v>
      </c>
      <c r="I460">
        <v>14683.77</v>
      </c>
      <c r="J460">
        <v>1.6</v>
      </c>
      <c r="K460">
        <v>2349.4</v>
      </c>
      <c r="L460">
        <v>16798.23</v>
      </c>
      <c r="M460" t="s">
        <v>3442</v>
      </c>
      <c r="N460" t="s">
        <v>4248</v>
      </c>
      <c r="O460" t="s">
        <v>2376</v>
      </c>
      <c r="P460" t="s">
        <v>2481</v>
      </c>
      <c r="Q460" t="s">
        <v>5245</v>
      </c>
      <c r="R460" t="s">
        <v>3434</v>
      </c>
      <c r="S460" t="s">
        <v>3466</v>
      </c>
    </row>
    <row r="461" spans="1:19" hidden="1" x14ac:dyDescent="0.25">
      <c r="A461" t="s">
        <v>5246</v>
      </c>
      <c r="B461" t="s">
        <v>3309</v>
      </c>
      <c r="C461" t="s">
        <v>2839</v>
      </c>
      <c r="D461" t="s">
        <v>2772</v>
      </c>
      <c r="E461" t="s">
        <v>1846</v>
      </c>
      <c r="F461" t="s">
        <v>284</v>
      </c>
      <c r="G461">
        <v>9</v>
      </c>
      <c r="H461">
        <v>288.23</v>
      </c>
      <c r="I461">
        <v>2594.0700000000002</v>
      </c>
      <c r="J461">
        <v>17.3</v>
      </c>
      <c r="K461">
        <v>415.05</v>
      </c>
      <c r="L461">
        <v>2560.35</v>
      </c>
      <c r="M461" t="s">
        <v>4227</v>
      </c>
      <c r="N461" t="s">
        <v>4243</v>
      </c>
      <c r="O461" t="s">
        <v>2432</v>
      </c>
      <c r="P461" t="s">
        <v>2564</v>
      </c>
      <c r="Q461" t="s">
        <v>5247</v>
      </c>
      <c r="R461" t="s">
        <v>3425</v>
      </c>
    </row>
    <row r="462" spans="1:19" hidden="1" x14ac:dyDescent="0.25">
      <c r="A462" t="s">
        <v>5248</v>
      </c>
      <c r="B462" t="s">
        <v>3171</v>
      </c>
      <c r="C462" t="s">
        <v>2972</v>
      </c>
      <c r="D462" t="s">
        <v>3914</v>
      </c>
      <c r="E462" t="s">
        <v>1678</v>
      </c>
      <c r="F462" t="s">
        <v>198</v>
      </c>
      <c r="G462">
        <v>22</v>
      </c>
      <c r="H462">
        <v>732.5</v>
      </c>
      <c r="I462">
        <v>16115</v>
      </c>
      <c r="J462">
        <v>8.6999999999999993</v>
      </c>
      <c r="K462">
        <v>2578.4</v>
      </c>
      <c r="L462">
        <v>17291.400000000001</v>
      </c>
      <c r="M462" t="s">
        <v>4227</v>
      </c>
      <c r="N462" t="s">
        <v>4248</v>
      </c>
      <c r="O462" t="s">
        <v>2456</v>
      </c>
      <c r="P462" t="s">
        <v>2501</v>
      </c>
      <c r="Q462" t="s">
        <v>5249</v>
      </c>
      <c r="R462" t="s">
        <v>3434</v>
      </c>
    </row>
    <row r="463" spans="1:19" hidden="1" x14ac:dyDescent="0.25">
      <c r="A463" t="s">
        <v>5250</v>
      </c>
      <c r="B463" t="s">
        <v>3976</v>
      </c>
      <c r="C463" t="s">
        <v>3723</v>
      </c>
      <c r="D463" t="s">
        <v>3614</v>
      </c>
      <c r="E463" t="s">
        <v>2353</v>
      </c>
      <c r="F463" t="s">
        <v>253</v>
      </c>
      <c r="G463">
        <v>7</v>
      </c>
      <c r="H463">
        <v>636.46</v>
      </c>
      <c r="I463">
        <v>4455.22</v>
      </c>
      <c r="J463">
        <v>12.2</v>
      </c>
      <c r="K463">
        <v>712.84</v>
      </c>
      <c r="L463">
        <v>4624.5200000000004</v>
      </c>
      <c r="M463" t="s">
        <v>4232</v>
      </c>
      <c r="N463" t="s">
        <v>4233</v>
      </c>
      <c r="O463" t="s">
        <v>2449</v>
      </c>
      <c r="P463" t="s">
        <v>2495</v>
      </c>
      <c r="Q463" t="s">
        <v>5251</v>
      </c>
      <c r="R463" t="s">
        <v>3425</v>
      </c>
      <c r="S463" t="s">
        <v>4235</v>
      </c>
    </row>
    <row r="464" spans="1:19" hidden="1" x14ac:dyDescent="0.25">
      <c r="A464" t="s">
        <v>5252</v>
      </c>
      <c r="B464" t="s">
        <v>3533</v>
      </c>
      <c r="C464" t="s">
        <v>2961</v>
      </c>
      <c r="D464" t="s">
        <v>2622</v>
      </c>
      <c r="E464" t="s">
        <v>1766</v>
      </c>
      <c r="F464" t="s">
        <v>500</v>
      </c>
      <c r="G464">
        <v>15</v>
      </c>
      <c r="H464">
        <v>369.89</v>
      </c>
      <c r="I464">
        <v>5548.35</v>
      </c>
      <c r="J464">
        <v>11.7</v>
      </c>
      <c r="K464">
        <v>887.74</v>
      </c>
      <c r="L464">
        <v>5786.93</v>
      </c>
      <c r="M464" t="s">
        <v>4257</v>
      </c>
      <c r="N464" t="s">
        <v>4228</v>
      </c>
      <c r="O464" t="s">
        <v>2449</v>
      </c>
      <c r="P464" t="s">
        <v>2515</v>
      </c>
      <c r="Q464" t="s">
        <v>5253</v>
      </c>
      <c r="R464" t="s">
        <v>3434</v>
      </c>
    </row>
    <row r="465" spans="1:19" hidden="1" x14ac:dyDescent="0.25">
      <c r="A465" t="s">
        <v>5254</v>
      </c>
      <c r="B465" t="s">
        <v>3709</v>
      </c>
      <c r="C465" t="s">
        <v>4540</v>
      </c>
      <c r="D465" t="s">
        <v>3160</v>
      </c>
      <c r="E465" t="s">
        <v>1899</v>
      </c>
      <c r="F465" t="s">
        <v>215</v>
      </c>
      <c r="G465">
        <v>7</v>
      </c>
      <c r="H465">
        <v>894.37</v>
      </c>
      <c r="I465">
        <v>6260.59</v>
      </c>
      <c r="J465">
        <v>3.6</v>
      </c>
      <c r="K465">
        <v>1001.69</v>
      </c>
      <c r="L465">
        <v>7036.9</v>
      </c>
      <c r="M465" t="s">
        <v>3442</v>
      </c>
      <c r="N465" t="s">
        <v>4243</v>
      </c>
      <c r="O465" t="s">
        <v>2416</v>
      </c>
      <c r="P465" t="s">
        <v>2486</v>
      </c>
      <c r="Q465" t="s">
        <v>5255</v>
      </c>
      <c r="R465" t="s">
        <v>3425</v>
      </c>
    </row>
    <row r="466" spans="1:19" hidden="1" x14ac:dyDescent="0.25">
      <c r="A466" t="s">
        <v>5256</v>
      </c>
      <c r="B466" t="s">
        <v>4630</v>
      </c>
      <c r="C466" t="s">
        <v>4139</v>
      </c>
      <c r="D466" t="s">
        <v>4398</v>
      </c>
      <c r="E466" t="s">
        <v>2287</v>
      </c>
      <c r="F466" t="s">
        <v>621</v>
      </c>
      <c r="G466">
        <v>4</v>
      </c>
      <c r="H466">
        <v>348.76</v>
      </c>
      <c r="I466">
        <v>1395.04</v>
      </c>
      <c r="J466">
        <v>14.9</v>
      </c>
      <c r="K466">
        <v>223.21</v>
      </c>
      <c r="L466">
        <v>1410.39</v>
      </c>
      <c r="M466" t="s">
        <v>4238</v>
      </c>
      <c r="N466" t="s">
        <v>1121</v>
      </c>
      <c r="O466" t="s">
        <v>2440</v>
      </c>
      <c r="P466" t="s">
        <v>2495</v>
      </c>
      <c r="Q466" t="s">
        <v>5257</v>
      </c>
      <c r="R466" t="s">
        <v>3425</v>
      </c>
    </row>
    <row r="467" spans="1:19" x14ac:dyDescent="0.25">
      <c r="A467" t="s">
        <v>5258</v>
      </c>
      <c r="B467" s="2" t="s">
        <v>4182</v>
      </c>
      <c r="C467" t="s">
        <v>4182</v>
      </c>
      <c r="D467" t="s">
        <v>4183</v>
      </c>
      <c r="E467" t="s">
        <v>1687</v>
      </c>
      <c r="F467" t="s">
        <v>152</v>
      </c>
      <c r="G467">
        <v>45</v>
      </c>
      <c r="H467">
        <v>261.32</v>
      </c>
      <c r="I467">
        <v>11759.4</v>
      </c>
      <c r="J467">
        <v>11.9</v>
      </c>
      <c r="K467">
        <v>1881.5</v>
      </c>
      <c r="L467">
        <v>12241.53</v>
      </c>
      <c r="M467" t="s">
        <v>4257</v>
      </c>
      <c r="N467" t="s">
        <v>4248</v>
      </c>
      <c r="O467" t="s">
        <v>2376</v>
      </c>
      <c r="P467" t="s">
        <v>2475</v>
      </c>
      <c r="Q467" t="s">
        <v>5259</v>
      </c>
      <c r="R467" t="s">
        <v>4245</v>
      </c>
    </row>
    <row r="468" spans="1:19" hidden="1" x14ac:dyDescent="0.25">
      <c r="A468" t="s">
        <v>5260</v>
      </c>
      <c r="B468" t="s">
        <v>5261</v>
      </c>
      <c r="C468" t="s">
        <v>4737</v>
      </c>
      <c r="D468" t="s">
        <v>3727</v>
      </c>
      <c r="E468" t="s">
        <v>1775</v>
      </c>
      <c r="F468" t="s">
        <v>228</v>
      </c>
      <c r="G468">
        <v>49</v>
      </c>
      <c r="H468">
        <v>651.89</v>
      </c>
      <c r="I468">
        <v>31942.61</v>
      </c>
      <c r="J468">
        <v>15</v>
      </c>
      <c r="K468">
        <v>5110.82</v>
      </c>
      <c r="L468">
        <v>32262.04</v>
      </c>
      <c r="M468" t="s">
        <v>4247</v>
      </c>
      <c r="N468" t="s">
        <v>4228</v>
      </c>
      <c r="O468" t="s">
        <v>2432</v>
      </c>
      <c r="P468" t="s">
        <v>2481</v>
      </c>
      <c r="Q468" t="s">
        <v>5262</v>
      </c>
      <c r="R468" t="s">
        <v>4275</v>
      </c>
    </row>
    <row r="469" spans="1:19" hidden="1" x14ac:dyDescent="0.25">
      <c r="A469" t="s">
        <v>5263</v>
      </c>
      <c r="B469" t="s">
        <v>3780</v>
      </c>
      <c r="C469" t="s">
        <v>5264</v>
      </c>
      <c r="D469" t="s">
        <v>4470</v>
      </c>
      <c r="E469" t="s">
        <v>2304</v>
      </c>
      <c r="F469" t="s">
        <v>759</v>
      </c>
      <c r="G469">
        <v>17</v>
      </c>
      <c r="H469">
        <v>178.82</v>
      </c>
      <c r="I469">
        <v>3039.94</v>
      </c>
      <c r="J469">
        <v>13</v>
      </c>
      <c r="K469">
        <v>486.39</v>
      </c>
      <c r="L469">
        <v>3131.14</v>
      </c>
      <c r="M469" t="s">
        <v>4232</v>
      </c>
      <c r="N469" t="s">
        <v>4248</v>
      </c>
      <c r="O469" t="s">
        <v>2425</v>
      </c>
      <c r="P469" t="s">
        <v>2475</v>
      </c>
      <c r="Q469" t="s">
        <v>5265</v>
      </c>
      <c r="R469" t="s">
        <v>3425</v>
      </c>
    </row>
    <row r="470" spans="1:19" x14ac:dyDescent="0.25">
      <c r="A470" t="s">
        <v>5266</v>
      </c>
      <c r="B470" s="2" t="s">
        <v>3499</v>
      </c>
      <c r="C470" t="s">
        <v>3499</v>
      </c>
      <c r="D470" t="s">
        <v>2754</v>
      </c>
      <c r="E470" t="s">
        <v>1999</v>
      </c>
      <c r="F470" t="s">
        <v>545</v>
      </c>
      <c r="G470">
        <v>15</v>
      </c>
      <c r="H470">
        <v>370.16</v>
      </c>
      <c r="I470">
        <v>5552.4</v>
      </c>
      <c r="J470">
        <v>3.3</v>
      </c>
      <c r="K470">
        <v>888.38</v>
      </c>
      <c r="L470">
        <v>6257.55</v>
      </c>
      <c r="M470" t="s">
        <v>3442</v>
      </c>
      <c r="N470" t="s">
        <v>4228</v>
      </c>
      <c r="O470" t="s">
        <v>2449</v>
      </c>
      <c r="P470" t="s">
        <v>2558</v>
      </c>
      <c r="Q470" t="s">
        <v>5267</v>
      </c>
      <c r="R470" t="s">
        <v>4245</v>
      </c>
    </row>
    <row r="471" spans="1:19" hidden="1" x14ac:dyDescent="0.25">
      <c r="A471" t="s">
        <v>5268</v>
      </c>
      <c r="B471" t="s">
        <v>3518</v>
      </c>
      <c r="C471" t="s">
        <v>3518</v>
      </c>
      <c r="D471" t="s">
        <v>3683</v>
      </c>
      <c r="E471" t="s">
        <v>2361</v>
      </c>
      <c r="F471" t="s">
        <v>708</v>
      </c>
      <c r="G471">
        <v>39</v>
      </c>
      <c r="H471">
        <v>708.36</v>
      </c>
      <c r="I471">
        <v>27626.04</v>
      </c>
      <c r="J471">
        <v>14.3</v>
      </c>
      <c r="K471">
        <v>4420.17</v>
      </c>
      <c r="L471">
        <v>28095.69</v>
      </c>
      <c r="M471" t="s">
        <v>4257</v>
      </c>
      <c r="N471" t="s">
        <v>1520</v>
      </c>
      <c r="O471" t="s">
        <v>2376</v>
      </c>
      <c r="P471" t="s">
        <v>2544</v>
      </c>
      <c r="Q471" t="s">
        <v>5269</v>
      </c>
      <c r="R471" t="s">
        <v>3425</v>
      </c>
    </row>
    <row r="472" spans="1:19" hidden="1" x14ac:dyDescent="0.25">
      <c r="A472" t="s">
        <v>5270</v>
      </c>
      <c r="B472" t="s">
        <v>3081</v>
      </c>
      <c r="C472" t="s">
        <v>2791</v>
      </c>
      <c r="D472" t="s">
        <v>3831</v>
      </c>
      <c r="E472" t="s">
        <v>1731</v>
      </c>
      <c r="F472" t="s">
        <v>980</v>
      </c>
      <c r="G472">
        <v>39</v>
      </c>
      <c r="H472">
        <v>803.29</v>
      </c>
      <c r="I472">
        <v>31328.31</v>
      </c>
      <c r="J472">
        <v>11.8</v>
      </c>
      <c r="K472">
        <v>5012.53</v>
      </c>
      <c r="L472">
        <v>32644.1</v>
      </c>
      <c r="M472" t="s">
        <v>3428</v>
      </c>
      <c r="N472" t="s">
        <v>4233</v>
      </c>
      <c r="O472" t="s">
        <v>2449</v>
      </c>
      <c r="P472" t="s">
        <v>2506</v>
      </c>
      <c r="Q472" t="s">
        <v>5271</v>
      </c>
      <c r="R472" t="s">
        <v>3425</v>
      </c>
    </row>
    <row r="473" spans="1:19" hidden="1" x14ac:dyDescent="0.25">
      <c r="A473" t="s">
        <v>5272</v>
      </c>
      <c r="B473" t="s">
        <v>3278</v>
      </c>
      <c r="C473" t="s">
        <v>2853</v>
      </c>
      <c r="D473" t="s">
        <v>4198</v>
      </c>
      <c r="E473" t="s">
        <v>2007</v>
      </c>
      <c r="F473" t="s">
        <v>646</v>
      </c>
      <c r="G473">
        <v>36</v>
      </c>
      <c r="H473">
        <v>790.63</v>
      </c>
      <c r="I473">
        <v>28462.68</v>
      </c>
      <c r="J473">
        <v>18</v>
      </c>
      <c r="K473">
        <v>4554.03</v>
      </c>
      <c r="L473">
        <v>27893.43</v>
      </c>
      <c r="M473" t="s">
        <v>4227</v>
      </c>
      <c r="N473" t="s">
        <v>4228</v>
      </c>
      <c r="O473" t="s">
        <v>2376</v>
      </c>
      <c r="P473" t="s">
        <v>2558</v>
      </c>
      <c r="Q473" t="s">
        <v>5273</v>
      </c>
      <c r="R473" t="s">
        <v>4275</v>
      </c>
      <c r="S473" t="s">
        <v>3466</v>
      </c>
    </row>
    <row r="474" spans="1:19" hidden="1" x14ac:dyDescent="0.25">
      <c r="A474" t="s">
        <v>5274</v>
      </c>
      <c r="B474" t="s">
        <v>2252</v>
      </c>
      <c r="C474" t="s">
        <v>2712</v>
      </c>
      <c r="D474" t="s">
        <v>3666</v>
      </c>
      <c r="E474" t="s">
        <v>2068</v>
      </c>
      <c r="F474" t="s">
        <v>103</v>
      </c>
      <c r="G474">
        <v>1</v>
      </c>
      <c r="H474">
        <v>235.77</v>
      </c>
      <c r="I474">
        <v>235.77</v>
      </c>
      <c r="J474">
        <v>5.0999999999999996</v>
      </c>
      <c r="K474">
        <v>37.72</v>
      </c>
      <c r="L474">
        <v>261.47000000000003</v>
      </c>
      <c r="M474" t="s">
        <v>4238</v>
      </c>
      <c r="N474" t="s">
        <v>1121</v>
      </c>
      <c r="O474" t="s">
        <v>2407</v>
      </c>
      <c r="P474" t="s">
        <v>2527</v>
      </c>
      <c r="Q474" t="s">
        <v>5275</v>
      </c>
      <c r="R474" t="s">
        <v>3425</v>
      </c>
    </row>
    <row r="475" spans="1:19" hidden="1" x14ac:dyDescent="0.25">
      <c r="A475" t="s">
        <v>5276</v>
      </c>
      <c r="B475" t="s">
        <v>3942</v>
      </c>
      <c r="C475" t="s">
        <v>3495</v>
      </c>
      <c r="D475" t="s">
        <v>3446</v>
      </c>
      <c r="E475" t="s">
        <v>1949</v>
      </c>
      <c r="F475" t="s">
        <v>860</v>
      </c>
      <c r="G475">
        <v>3</v>
      </c>
      <c r="H475">
        <v>731.47</v>
      </c>
      <c r="I475">
        <v>2194.41</v>
      </c>
      <c r="J475">
        <v>7.7</v>
      </c>
      <c r="K475">
        <v>351.11</v>
      </c>
      <c r="L475">
        <v>2376.5500000000002</v>
      </c>
      <c r="M475" t="s">
        <v>4227</v>
      </c>
      <c r="N475" t="s">
        <v>1520</v>
      </c>
      <c r="O475" t="s">
        <v>2416</v>
      </c>
      <c r="P475" t="s">
        <v>2527</v>
      </c>
      <c r="Q475" t="s">
        <v>5277</v>
      </c>
      <c r="R475" t="s">
        <v>3425</v>
      </c>
      <c r="S475" t="s">
        <v>4235</v>
      </c>
    </row>
    <row r="476" spans="1:19" hidden="1" x14ac:dyDescent="0.25">
      <c r="A476" t="s">
        <v>5278</v>
      </c>
      <c r="B476" t="s">
        <v>4124</v>
      </c>
      <c r="C476" t="s">
        <v>4124</v>
      </c>
      <c r="D476" t="s">
        <v>3897</v>
      </c>
      <c r="E476" t="s">
        <v>1999</v>
      </c>
      <c r="F476" t="s">
        <v>985</v>
      </c>
      <c r="G476">
        <v>44</v>
      </c>
      <c r="H476">
        <v>385.21</v>
      </c>
      <c r="I476">
        <v>16949.240000000002</v>
      </c>
      <c r="J476">
        <v>8.6999999999999993</v>
      </c>
      <c r="K476">
        <v>2711.88</v>
      </c>
      <c r="L476">
        <v>18186.54</v>
      </c>
      <c r="M476" t="s">
        <v>4232</v>
      </c>
      <c r="N476" t="s">
        <v>4248</v>
      </c>
      <c r="O476" t="s">
        <v>2398</v>
      </c>
      <c r="P476" t="s">
        <v>2486</v>
      </c>
      <c r="Q476" t="s">
        <v>5279</v>
      </c>
      <c r="R476" t="s">
        <v>3425</v>
      </c>
      <c r="S476" t="s">
        <v>4235</v>
      </c>
    </row>
    <row r="477" spans="1:19" hidden="1" x14ac:dyDescent="0.25">
      <c r="A477" t="s">
        <v>5280</v>
      </c>
      <c r="B477" t="s">
        <v>2975</v>
      </c>
      <c r="C477" t="s">
        <v>2759</v>
      </c>
      <c r="D477" t="s">
        <v>2968</v>
      </c>
      <c r="E477" t="s">
        <v>1846</v>
      </c>
      <c r="F477" t="s">
        <v>284</v>
      </c>
      <c r="G477">
        <v>25</v>
      </c>
      <c r="H477">
        <v>158.16</v>
      </c>
      <c r="I477">
        <v>3954</v>
      </c>
      <c r="J477">
        <v>9.6</v>
      </c>
      <c r="K477">
        <v>632.64</v>
      </c>
      <c r="L477">
        <v>4207.0600000000004</v>
      </c>
      <c r="M477" t="s">
        <v>4227</v>
      </c>
      <c r="N477" t="s">
        <v>4233</v>
      </c>
      <c r="O477" t="s">
        <v>2449</v>
      </c>
      <c r="P477" t="s">
        <v>2568</v>
      </c>
      <c r="Q477" t="s">
        <v>5281</v>
      </c>
      <c r="R477" t="s">
        <v>3434</v>
      </c>
    </row>
    <row r="478" spans="1:19" hidden="1" x14ac:dyDescent="0.25">
      <c r="A478" t="s">
        <v>5282</v>
      </c>
      <c r="B478" t="s">
        <v>2964</v>
      </c>
      <c r="C478" t="s">
        <v>5078</v>
      </c>
      <c r="D478" t="s">
        <v>3174</v>
      </c>
      <c r="E478" t="s">
        <v>2278</v>
      </c>
      <c r="F478" t="s">
        <v>1071</v>
      </c>
      <c r="G478">
        <v>45</v>
      </c>
      <c r="H478">
        <v>190</v>
      </c>
      <c r="I478">
        <v>8550</v>
      </c>
      <c r="J478">
        <v>10.8</v>
      </c>
      <c r="K478">
        <v>1368</v>
      </c>
      <c r="L478">
        <v>8994.6</v>
      </c>
      <c r="M478" t="s">
        <v>4232</v>
      </c>
      <c r="N478" t="s">
        <v>4248</v>
      </c>
      <c r="O478" t="s">
        <v>2449</v>
      </c>
      <c r="P478" t="s">
        <v>2486</v>
      </c>
      <c r="Q478" t="s">
        <v>5283</v>
      </c>
      <c r="R478" t="s">
        <v>3425</v>
      </c>
      <c r="S478" t="s">
        <v>4292</v>
      </c>
    </row>
    <row r="479" spans="1:19" x14ac:dyDescent="0.25">
      <c r="A479" t="s">
        <v>5284</v>
      </c>
      <c r="B479" s="2" t="s">
        <v>4829</v>
      </c>
      <c r="C479" t="s">
        <v>2768</v>
      </c>
      <c r="D479" t="s">
        <v>3275</v>
      </c>
      <c r="E479" t="s">
        <v>1619</v>
      </c>
      <c r="F479" t="s">
        <v>1061</v>
      </c>
      <c r="G479">
        <v>28</v>
      </c>
      <c r="H479">
        <v>580.54999999999995</v>
      </c>
      <c r="I479">
        <v>16255.4</v>
      </c>
      <c r="J479">
        <v>16.2</v>
      </c>
      <c r="K479">
        <v>2600.86</v>
      </c>
      <c r="L479">
        <v>16222.89</v>
      </c>
      <c r="M479" t="s">
        <v>3442</v>
      </c>
      <c r="N479" t="s">
        <v>4233</v>
      </c>
      <c r="O479" t="s">
        <v>2398</v>
      </c>
      <c r="P479" t="s">
        <v>2491</v>
      </c>
      <c r="Q479" t="s">
        <v>5285</v>
      </c>
      <c r="R479" t="s">
        <v>4245</v>
      </c>
      <c r="S479" t="s">
        <v>4230</v>
      </c>
    </row>
    <row r="480" spans="1:19" hidden="1" x14ac:dyDescent="0.25">
      <c r="A480" t="s">
        <v>5286</v>
      </c>
      <c r="B480" t="s">
        <v>2859</v>
      </c>
      <c r="C480" t="s">
        <v>5287</v>
      </c>
      <c r="D480" t="s">
        <v>3192</v>
      </c>
      <c r="E480" t="s">
        <v>2344</v>
      </c>
      <c r="F480" t="s">
        <v>1026</v>
      </c>
      <c r="G480">
        <v>36</v>
      </c>
      <c r="H480">
        <v>891.33</v>
      </c>
      <c r="I480">
        <v>32087.88</v>
      </c>
      <c r="J480">
        <v>14</v>
      </c>
      <c r="K480">
        <v>5134.0600000000004</v>
      </c>
      <c r="L480">
        <v>32729.64</v>
      </c>
      <c r="M480" t="s">
        <v>4247</v>
      </c>
      <c r="N480" t="s">
        <v>4228</v>
      </c>
      <c r="O480" t="s">
        <v>2425</v>
      </c>
      <c r="P480" t="s">
        <v>2512</v>
      </c>
      <c r="Q480" t="s">
        <v>5288</v>
      </c>
      <c r="R480" t="s">
        <v>3425</v>
      </c>
      <c r="S480" t="s">
        <v>4230</v>
      </c>
    </row>
    <row r="481" spans="1:19" hidden="1" x14ac:dyDescent="0.25">
      <c r="A481" t="s">
        <v>5289</v>
      </c>
      <c r="B481" t="s">
        <v>3655</v>
      </c>
      <c r="C481" t="s">
        <v>2244</v>
      </c>
      <c r="D481" t="s">
        <v>3530</v>
      </c>
      <c r="E481" t="s">
        <v>1502</v>
      </c>
      <c r="F481" t="s">
        <v>248</v>
      </c>
      <c r="G481">
        <v>49</v>
      </c>
      <c r="H481">
        <v>320.91000000000003</v>
      </c>
      <c r="I481">
        <v>15724.59</v>
      </c>
      <c r="J481">
        <v>10</v>
      </c>
      <c r="K481">
        <v>2515.9299999999998</v>
      </c>
      <c r="L481">
        <v>16668.060000000001</v>
      </c>
      <c r="M481" t="s">
        <v>4232</v>
      </c>
      <c r="N481" t="s">
        <v>4228</v>
      </c>
      <c r="O481" t="s">
        <v>2432</v>
      </c>
      <c r="P481" t="s">
        <v>2491</v>
      </c>
      <c r="Q481" t="s">
        <v>5290</v>
      </c>
      <c r="R481" t="s">
        <v>3425</v>
      </c>
      <c r="S481" t="s">
        <v>4230</v>
      </c>
    </row>
    <row r="482" spans="1:19" hidden="1" x14ac:dyDescent="0.25">
      <c r="A482" t="s">
        <v>5291</v>
      </c>
      <c r="B482" t="s">
        <v>3608</v>
      </c>
      <c r="C482" t="s">
        <v>3608</v>
      </c>
      <c r="D482" t="s">
        <v>3617</v>
      </c>
      <c r="E482" t="s">
        <v>1872</v>
      </c>
      <c r="F482" t="s">
        <v>1066</v>
      </c>
      <c r="G482">
        <v>49</v>
      </c>
      <c r="H482">
        <v>831.52</v>
      </c>
      <c r="I482">
        <v>40744.480000000003</v>
      </c>
      <c r="J482">
        <v>2.2000000000000002</v>
      </c>
      <c r="K482">
        <v>6519.12</v>
      </c>
      <c r="L482">
        <v>46367.22</v>
      </c>
      <c r="M482" t="s">
        <v>3428</v>
      </c>
      <c r="N482" t="s">
        <v>1520</v>
      </c>
      <c r="O482" t="s">
        <v>2425</v>
      </c>
      <c r="P482" t="s">
        <v>2491</v>
      </c>
      <c r="Q482" t="s">
        <v>5292</v>
      </c>
      <c r="R482" t="s">
        <v>4275</v>
      </c>
      <c r="S482" t="s">
        <v>3466</v>
      </c>
    </row>
    <row r="483" spans="1:19" hidden="1" x14ac:dyDescent="0.25">
      <c r="A483" t="s">
        <v>5293</v>
      </c>
      <c r="B483" t="s">
        <v>5264</v>
      </c>
      <c r="C483" t="s">
        <v>5264</v>
      </c>
      <c r="D483" t="s">
        <v>3602</v>
      </c>
      <c r="E483" t="s">
        <v>2068</v>
      </c>
      <c r="F483" t="s">
        <v>215</v>
      </c>
      <c r="G483">
        <v>22</v>
      </c>
      <c r="H483">
        <v>389.82</v>
      </c>
      <c r="I483">
        <v>8576.0400000000009</v>
      </c>
      <c r="J483">
        <v>3.1</v>
      </c>
      <c r="K483">
        <v>1372.17</v>
      </c>
      <c r="L483">
        <v>9682.35</v>
      </c>
      <c r="M483" t="s">
        <v>4247</v>
      </c>
      <c r="N483" t="s">
        <v>4228</v>
      </c>
      <c r="O483" t="s">
        <v>2440</v>
      </c>
      <c r="P483" t="s">
        <v>2501</v>
      </c>
      <c r="Q483" t="s">
        <v>5294</v>
      </c>
      <c r="R483" t="s">
        <v>3425</v>
      </c>
      <c r="S483" t="s">
        <v>4292</v>
      </c>
    </row>
    <row r="484" spans="1:19" hidden="1" x14ac:dyDescent="0.25">
      <c r="A484" t="s">
        <v>5295</v>
      </c>
      <c r="B484" t="s">
        <v>3870</v>
      </c>
      <c r="C484" t="s">
        <v>3976</v>
      </c>
      <c r="D484" t="s">
        <v>3975</v>
      </c>
      <c r="E484" t="s">
        <v>1838</v>
      </c>
      <c r="F484" t="s">
        <v>667</v>
      </c>
      <c r="G484">
        <v>49</v>
      </c>
      <c r="H484">
        <v>690.52</v>
      </c>
      <c r="I484">
        <v>33835.480000000003</v>
      </c>
      <c r="J484">
        <v>19.8</v>
      </c>
      <c r="K484">
        <v>5413.68</v>
      </c>
      <c r="L484">
        <v>32549.73</v>
      </c>
      <c r="M484" t="s">
        <v>4238</v>
      </c>
      <c r="N484" t="s">
        <v>1520</v>
      </c>
      <c r="O484" t="s">
        <v>2440</v>
      </c>
      <c r="P484" t="s">
        <v>2495</v>
      </c>
      <c r="Q484" t="s">
        <v>5296</v>
      </c>
      <c r="R484" t="s">
        <v>3425</v>
      </c>
      <c r="S484" t="s">
        <v>3466</v>
      </c>
    </row>
    <row r="485" spans="1:19" x14ac:dyDescent="0.25">
      <c r="A485" t="s">
        <v>5297</v>
      </c>
      <c r="B485" s="2" t="s">
        <v>2817</v>
      </c>
      <c r="C485" t="s">
        <v>2817</v>
      </c>
      <c r="D485" t="s">
        <v>2883</v>
      </c>
      <c r="E485" t="s">
        <v>1619</v>
      </c>
      <c r="F485" t="s">
        <v>87</v>
      </c>
      <c r="G485">
        <v>30</v>
      </c>
      <c r="H485">
        <v>262.86</v>
      </c>
      <c r="I485">
        <v>7885.8</v>
      </c>
      <c r="J485">
        <v>16.5</v>
      </c>
      <c r="K485">
        <v>1261.73</v>
      </c>
      <c r="L485">
        <v>7846.37</v>
      </c>
      <c r="M485" t="s">
        <v>3428</v>
      </c>
      <c r="N485" t="s">
        <v>4248</v>
      </c>
      <c r="O485" t="s">
        <v>2440</v>
      </c>
      <c r="P485" t="s">
        <v>2544</v>
      </c>
      <c r="Q485" t="s">
        <v>5298</v>
      </c>
      <c r="R485" t="s">
        <v>4245</v>
      </c>
    </row>
    <row r="486" spans="1:19" hidden="1" x14ac:dyDescent="0.25">
      <c r="A486" t="s">
        <v>5299</v>
      </c>
      <c r="B486" t="s">
        <v>3489</v>
      </c>
      <c r="C486" t="s">
        <v>3489</v>
      </c>
      <c r="D486" t="s">
        <v>3972</v>
      </c>
      <c r="E486" t="s">
        <v>1748</v>
      </c>
      <c r="F486" t="s">
        <v>215</v>
      </c>
      <c r="G486">
        <v>32</v>
      </c>
      <c r="H486">
        <v>354.44</v>
      </c>
      <c r="I486">
        <v>11342.08</v>
      </c>
      <c r="J486">
        <v>19.600000000000001</v>
      </c>
      <c r="K486">
        <v>1814.73</v>
      </c>
      <c r="L486">
        <v>10933.76</v>
      </c>
      <c r="M486" t="s">
        <v>3442</v>
      </c>
      <c r="N486" t="s">
        <v>1520</v>
      </c>
      <c r="O486" t="s">
        <v>2416</v>
      </c>
      <c r="P486" t="s">
        <v>2486</v>
      </c>
      <c r="Q486" t="s">
        <v>5300</v>
      </c>
      <c r="R486" t="s">
        <v>4275</v>
      </c>
      <c r="S486" t="s">
        <v>3466</v>
      </c>
    </row>
    <row r="487" spans="1:19" x14ac:dyDescent="0.25">
      <c r="A487" t="s">
        <v>5301</v>
      </c>
      <c r="B487" s="2" t="s">
        <v>2609</v>
      </c>
      <c r="C487" t="s">
        <v>5302</v>
      </c>
      <c r="D487" t="s">
        <v>3806</v>
      </c>
      <c r="E487" t="s">
        <v>2245</v>
      </c>
      <c r="F487" t="s">
        <v>332</v>
      </c>
      <c r="G487">
        <v>25</v>
      </c>
      <c r="H487">
        <v>139.85</v>
      </c>
      <c r="I487">
        <v>3496.25</v>
      </c>
      <c r="J487">
        <v>11.3</v>
      </c>
      <c r="K487">
        <v>559.4</v>
      </c>
      <c r="L487">
        <v>3660.57</v>
      </c>
      <c r="M487" t="s">
        <v>4238</v>
      </c>
      <c r="N487" t="s">
        <v>1520</v>
      </c>
      <c r="O487" t="s">
        <v>2449</v>
      </c>
      <c r="P487" t="s">
        <v>2527</v>
      </c>
      <c r="Q487" t="s">
        <v>5303</v>
      </c>
      <c r="R487" t="s">
        <v>4245</v>
      </c>
    </row>
    <row r="488" spans="1:19" x14ac:dyDescent="0.25">
      <c r="A488" t="s">
        <v>5304</v>
      </c>
      <c r="B488" s="2" t="s">
        <v>3937</v>
      </c>
      <c r="C488" t="s">
        <v>1863</v>
      </c>
      <c r="D488" t="s">
        <v>2755</v>
      </c>
      <c r="E488" t="s">
        <v>2127</v>
      </c>
      <c r="F488" t="s">
        <v>774</v>
      </c>
      <c r="G488">
        <v>20</v>
      </c>
      <c r="H488">
        <v>897.63</v>
      </c>
      <c r="I488">
        <v>17952.599999999999</v>
      </c>
      <c r="J488">
        <v>9</v>
      </c>
      <c r="K488">
        <v>2872.42</v>
      </c>
      <c r="L488">
        <v>19209.29</v>
      </c>
      <c r="M488" t="s">
        <v>4257</v>
      </c>
      <c r="N488" t="s">
        <v>1520</v>
      </c>
      <c r="O488" t="s">
        <v>2432</v>
      </c>
      <c r="P488" t="s">
        <v>2558</v>
      </c>
      <c r="Q488" t="s">
        <v>5305</v>
      </c>
      <c r="R488" t="s">
        <v>4245</v>
      </c>
    </row>
    <row r="489" spans="1:19" hidden="1" x14ac:dyDescent="0.25">
      <c r="A489" t="s">
        <v>5306</v>
      </c>
      <c r="B489" t="s">
        <v>2632</v>
      </c>
      <c r="C489" t="s">
        <v>2859</v>
      </c>
      <c r="D489" t="s">
        <v>3192</v>
      </c>
      <c r="E489" t="s">
        <v>2287</v>
      </c>
      <c r="F489" t="s">
        <v>363</v>
      </c>
      <c r="G489">
        <v>22</v>
      </c>
      <c r="H489">
        <v>266.60000000000002</v>
      </c>
      <c r="I489">
        <v>5865.2</v>
      </c>
      <c r="J489">
        <v>11</v>
      </c>
      <c r="K489">
        <v>938.43</v>
      </c>
      <c r="L489">
        <v>6158.46</v>
      </c>
      <c r="M489" t="s">
        <v>4247</v>
      </c>
      <c r="N489" t="s">
        <v>1121</v>
      </c>
      <c r="O489" t="s">
        <v>2425</v>
      </c>
      <c r="P489" t="s">
        <v>2551</v>
      </c>
      <c r="Q489" t="s">
        <v>5307</v>
      </c>
      <c r="R489" t="s">
        <v>3429</v>
      </c>
      <c r="S489" t="s">
        <v>3466</v>
      </c>
    </row>
    <row r="490" spans="1:19" hidden="1" x14ac:dyDescent="0.25">
      <c r="A490" t="s">
        <v>5308</v>
      </c>
      <c r="B490" t="s">
        <v>3462</v>
      </c>
      <c r="C490" t="s">
        <v>3883</v>
      </c>
      <c r="D490" t="s">
        <v>3772</v>
      </c>
      <c r="E490" t="s">
        <v>2177</v>
      </c>
      <c r="F490" t="s">
        <v>139</v>
      </c>
      <c r="G490">
        <v>27</v>
      </c>
      <c r="H490">
        <v>816.74</v>
      </c>
      <c r="I490">
        <v>22051.98</v>
      </c>
      <c r="J490">
        <v>13.9</v>
      </c>
      <c r="K490">
        <v>3528.32</v>
      </c>
      <c r="L490">
        <v>22515.07</v>
      </c>
      <c r="M490" t="s">
        <v>4247</v>
      </c>
      <c r="N490" t="s">
        <v>1121</v>
      </c>
      <c r="O490" t="s">
        <v>2398</v>
      </c>
      <c r="P490" t="s">
        <v>2481</v>
      </c>
      <c r="Q490" t="s">
        <v>5309</v>
      </c>
      <c r="R490" t="s">
        <v>4275</v>
      </c>
    </row>
    <row r="491" spans="1:19" x14ac:dyDescent="0.25">
      <c r="A491" t="s">
        <v>5310</v>
      </c>
      <c r="B491" s="2" t="s">
        <v>3574</v>
      </c>
      <c r="C491" t="s">
        <v>3765</v>
      </c>
      <c r="D491" t="s">
        <v>3901</v>
      </c>
      <c r="E491" t="s">
        <v>1803</v>
      </c>
      <c r="F491" t="s">
        <v>38</v>
      </c>
      <c r="G491">
        <v>23</v>
      </c>
      <c r="H491">
        <v>730.57</v>
      </c>
      <c r="I491">
        <v>16803.11</v>
      </c>
      <c r="J491">
        <v>13.7</v>
      </c>
      <c r="K491">
        <v>2688.5</v>
      </c>
      <c r="L491">
        <v>17189.580000000002</v>
      </c>
      <c r="M491" t="s">
        <v>3442</v>
      </c>
      <c r="N491" t="s">
        <v>4228</v>
      </c>
      <c r="O491" t="s">
        <v>2432</v>
      </c>
      <c r="P491" t="s">
        <v>2564</v>
      </c>
      <c r="Q491" t="s">
        <v>5311</v>
      </c>
      <c r="R491" t="s">
        <v>4245</v>
      </c>
      <c r="S491" t="s">
        <v>4235</v>
      </c>
    </row>
    <row r="492" spans="1:19" hidden="1" x14ac:dyDescent="0.25">
      <c r="A492" t="s">
        <v>5312</v>
      </c>
      <c r="B492" t="s">
        <v>3622</v>
      </c>
      <c r="C492" t="s">
        <v>3750</v>
      </c>
      <c r="D492" t="s">
        <v>4087</v>
      </c>
      <c r="E492" t="s">
        <v>1795</v>
      </c>
      <c r="F492" t="s">
        <v>1106</v>
      </c>
      <c r="G492">
        <v>1</v>
      </c>
      <c r="H492">
        <v>351.42</v>
      </c>
      <c r="I492">
        <v>351.42</v>
      </c>
      <c r="J492">
        <v>13.6</v>
      </c>
      <c r="K492">
        <v>56.23</v>
      </c>
      <c r="L492">
        <v>359.86</v>
      </c>
      <c r="M492" t="s">
        <v>3428</v>
      </c>
      <c r="N492" t="s">
        <v>4233</v>
      </c>
      <c r="O492" t="s">
        <v>2440</v>
      </c>
      <c r="P492" t="s">
        <v>2541</v>
      </c>
      <c r="Q492" t="s">
        <v>5313</v>
      </c>
      <c r="R492" t="s">
        <v>4275</v>
      </c>
      <c r="S492" t="s">
        <v>4230</v>
      </c>
    </row>
    <row r="493" spans="1:19" x14ac:dyDescent="0.25">
      <c r="A493" t="s">
        <v>5314</v>
      </c>
      <c r="B493" s="2" t="s">
        <v>1964</v>
      </c>
      <c r="C493" t="s">
        <v>3275</v>
      </c>
      <c r="D493" t="s">
        <v>2776</v>
      </c>
      <c r="E493" t="s">
        <v>1795</v>
      </c>
      <c r="F493" t="s">
        <v>300</v>
      </c>
      <c r="G493">
        <v>28</v>
      </c>
      <c r="H493">
        <v>780.43</v>
      </c>
      <c r="I493">
        <v>21852.04</v>
      </c>
      <c r="J493">
        <v>11.7</v>
      </c>
      <c r="K493">
        <v>3496.33</v>
      </c>
      <c r="L493">
        <v>22791.68</v>
      </c>
      <c r="M493" t="s">
        <v>4238</v>
      </c>
      <c r="N493" t="s">
        <v>4228</v>
      </c>
      <c r="O493" t="s">
        <v>2416</v>
      </c>
      <c r="P493" t="s">
        <v>2495</v>
      </c>
      <c r="Q493" t="s">
        <v>5315</v>
      </c>
      <c r="R493" t="s">
        <v>4245</v>
      </c>
    </row>
    <row r="494" spans="1:19" hidden="1" x14ac:dyDescent="0.25">
      <c r="A494" t="s">
        <v>5316</v>
      </c>
      <c r="B494" t="s">
        <v>3556</v>
      </c>
      <c r="C494" t="s">
        <v>2750</v>
      </c>
      <c r="D494" t="s">
        <v>3271</v>
      </c>
      <c r="E494" t="s">
        <v>1956</v>
      </c>
      <c r="F494" t="s">
        <v>1071</v>
      </c>
      <c r="G494">
        <v>9</v>
      </c>
      <c r="H494">
        <v>464.35</v>
      </c>
      <c r="I494">
        <v>4179.1499999999996</v>
      </c>
      <c r="J494">
        <v>4.0999999999999996</v>
      </c>
      <c r="K494">
        <v>668.66</v>
      </c>
      <c r="L494">
        <v>4676.46</v>
      </c>
      <c r="M494" t="s">
        <v>4247</v>
      </c>
      <c r="N494" t="s">
        <v>1121</v>
      </c>
      <c r="O494" t="s">
        <v>2440</v>
      </c>
      <c r="P494" t="s">
        <v>2491</v>
      </c>
      <c r="Q494" t="s">
        <v>5317</v>
      </c>
      <c r="R494" t="s">
        <v>3429</v>
      </c>
    </row>
    <row r="495" spans="1:19" hidden="1" x14ac:dyDescent="0.25">
      <c r="A495" t="s">
        <v>5318</v>
      </c>
      <c r="B495" t="s">
        <v>3144</v>
      </c>
      <c r="C495" t="s">
        <v>3399</v>
      </c>
      <c r="D495" t="s">
        <v>3399</v>
      </c>
      <c r="E495" t="s">
        <v>2051</v>
      </c>
      <c r="F495" t="s">
        <v>228</v>
      </c>
      <c r="G495">
        <v>28</v>
      </c>
      <c r="H495">
        <v>231.51</v>
      </c>
      <c r="I495">
        <v>6482.28</v>
      </c>
      <c r="J495">
        <v>15.6</v>
      </c>
      <c r="K495">
        <v>1037.1600000000001</v>
      </c>
      <c r="L495">
        <v>6508.2</v>
      </c>
      <c r="M495" t="s">
        <v>4227</v>
      </c>
      <c r="N495" t="s">
        <v>4248</v>
      </c>
      <c r="O495" t="s">
        <v>2449</v>
      </c>
      <c r="P495" t="s">
        <v>2527</v>
      </c>
      <c r="Q495" t="s">
        <v>5319</v>
      </c>
      <c r="R495" t="s">
        <v>4275</v>
      </c>
    </row>
    <row r="496" spans="1:19" hidden="1" x14ac:dyDescent="0.25">
      <c r="A496" t="s">
        <v>5320</v>
      </c>
      <c r="B496" t="s">
        <v>4019</v>
      </c>
      <c r="C496" t="s">
        <v>3357</v>
      </c>
      <c r="D496" t="s">
        <v>3357</v>
      </c>
      <c r="E496" t="s">
        <v>1619</v>
      </c>
      <c r="F496" t="s">
        <v>651</v>
      </c>
      <c r="G496">
        <v>38</v>
      </c>
      <c r="H496">
        <v>106.29</v>
      </c>
      <c r="I496">
        <v>4039.02</v>
      </c>
      <c r="J496">
        <v>11.7</v>
      </c>
      <c r="K496">
        <v>646.24</v>
      </c>
      <c r="L496">
        <v>4212.6899999999996</v>
      </c>
      <c r="M496" t="s">
        <v>3442</v>
      </c>
      <c r="N496" t="s">
        <v>4243</v>
      </c>
      <c r="O496" t="s">
        <v>2432</v>
      </c>
      <c r="P496" t="s">
        <v>2548</v>
      </c>
      <c r="Q496" t="s">
        <v>5321</v>
      </c>
      <c r="R496" t="s">
        <v>3434</v>
      </c>
    </row>
    <row r="497" spans="1:19" hidden="1" x14ac:dyDescent="0.25">
      <c r="A497" t="s">
        <v>5322</v>
      </c>
      <c r="B497" t="s">
        <v>2733</v>
      </c>
      <c r="C497" t="s">
        <v>2733</v>
      </c>
      <c r="D497" t="s">
        <v>3582</v>
      </c>
      <c r="E497" t="s">
        <v>2253</v>
      </c>
      <c r="F497" t="s">
        <v>616</v>
      </c>
      <c r="G497">
        <v>18</v>
      </c>
      <c r="H497">
        <v>496.36</v>
      </c>
      <c r="I497">
        <v>8934.48</v>
      </c>
      <c r="J497">
        <v>1.5</v>
      </c>
      <c r="K497">
        <v>1429.52</v>
      </c>
      <c r="L497">
        <v>10229.98</v>
      </c>
      <c r="M497" t="s">
        <v>4257</v>
      </c>
      <c r="N497" t="s">
        <v>1520</v>
      </c>
      <c r="O497" t="s">
        <v>2440</v>
      </c>
      <c r="P497" t="s">
        <v>2568</v>
      </c>
      <c r="Q497" t="s">
        <v>5323</v>
      </c>
      <c r="R497" t="s">
        <v>3429</v>
      </c>
    </row>
    <row r="498" spans="1:19" hidden="1" x14ac:dyDescent="0.25">
      <c r="A498" t="s">
        <v>5324</v>
      </c>
      <c r="B498" t="s">
        <v>2646</v>
      </c>
      <c r="C498" t="s">
        <v>3952</v>
      </c>
      <c r="D498" t="s">
        <v>2781</v>
      </c>
      <c r="E498" t="s">
        <v>2007</v>
      </c>
      <c r="F498" t="s">
        <v>1111</v>
      </c>
      <c r="G498">
        <v>3</v>
      </c>
      <c r="H498">
        <v>810.54</v>
      </c>
      <c r="I498">
        <v>2431.62</v>
      </c>
      <c r="J498">
        <v>13.7</v>
      </c>
      <c r="K498">
        <v>389.06</v>
      </c>
      <c r="L498">
        <v>2487.5500000000002</v>
      </c>
      <c r="M498" t="s">
        <v>3442</v>
      </c>
      <c r="N498" t="s">
        <v>1121</v>
      </c>
      <c r="O498" t="s">
        <v>2398</v>
      </c>
      <c r="P498" t="s">
        <v>2531</v>
      </c>
      <c r="Q498" t="s">
        <v>5325</v>
      </c>
      <c r="R498" t="s">
        <v>3425</v>
      </c>
      <c r="S498" t="s">
        <v>4292</v>
      </c>
    </row>
    <row r="499" spans="1:19" hidden="1" x14ac:dyDescent="0.25">
      <c r="A499" t="s">
        <v>5326</v>
      </c>
      <c r="B499" t="s">
        <v>5327</v>
      </c>
      <c r="C499" t="s">
        <v>3316</v>
      </c>
      <c r="D499" t="s">
        <v>2654</v>
      </c>
      <c r="E499" t="s">
        <v>1820</v>
      </c>
      <c r="F499" t="s">
        <v>591</v>
      </c>
      <c r="G499">
        <v>37</v>
      </c>
      <c r="H499">
        <v>279.10000000000002</v>
      </c>
      <c r="I499">
        <v>10326.700000000001</v>
      </c>
      <c r="J499">
        <v>2.2999999999999998</v>
      </c>
      <c r="K499">
        <v>1652.27</v>
      </c>
      <c r="L499">
        <v>11741.46</v>
      </c>
      <c r="M499" t="s">
        <v>4227</v>
      </c>
      <c r="N499" t="s">
        <v>1520</v>
      </c>
      <c r="O499" t="s">
        <v>2432</v>
      </c>
      <c r="P499" t="s">
        <v>2512</v>
      </c>
      <c r="Q499" t="s">
        <v>5328</v>
      </c>
      <c r="R499" t="s">
        <v>3425</v>
      </c>
    </row>
    <row r="500" spans="1:19" hidden="1" x14ac:dyDescent="0.25">
      <c r="A500" t="s">
        <v>5329</v>
      </c>
      <c r="B500" t="s">
        <v>2494</v>
      </c>
      <c r="C500" t="s">
        <v>4038</v>
      </c>
      <c r="D500" t="s">
        <v>2193</v>
      </c>
      <c r="E500" t="s">
        <v>2320</v>
      </c>
      <c r="F500" t="s">
        <v>616</v>
      </c>
      <c r="G500">
        <v>49</v>
      </c>
      <c r="H500">
        <v>843.7</v>
      </c>
      <c r="I500">
        <v>41341.300000000003</v>
      </c>
      <c r="J500">
        <v>5.2</v>
      </c>
      <c r="K500">
        <v>6614.61</v>
      </c>
      <c r="L500">
        <v>45806.16</v>
      </c>
      <c r="M500" t="s">
        <v>4247</v>
      </c>
      <c r="N500" t="s">
        <v>4228</v>
      </c>
      <c r="O500" t="s">
        <v>2449</v>
      </c>
      <c r="P500" t="s">
        <v>2522</v>
      </c>
      <c r="Q500" t="s">
        <v>5330</v>
      </c>
      <c r="R500" t="s">
        <v>3425</v>
      </c>
    </row>
    <row r="501" spans="1:19" hidden="1" x14ac:dyDescent="0.25">
      <c r="A501" t="s">
        <v>5331</v>
      </c>
      <c r="B501" t="s">
        <v>5332</v>
      </c>
      <c r="C501" t="s">
        <v>5332</v>
      </c>
      <c r="D501" t="s">
        <v>3628</v>
      </c>
      <c r="E501" t="s">
        <v>2025</v>
      </c>
      <c r="F501" t="s">
        <v>1010</v>
      </c>
      <c r="G501">
        <v>11</v>
      </c>
      <c r="H501">
        <v>893.05</v>
      </c>
      <c r="I501">
        <v>9823.5499999999993</v>
      </c>
      <c r="J501">
        <v>9.9</v>
      </c>
      <c r="K501">
        <v>1571.77</v>
      </c>
      <c r="L501">
        <v>10422.790000000001</v>
      </c>
      <c r="M501" t="s">
        <v>4232</v>
      </c>
      <c r="N501" t="s">
        <v>4233</v>
      </c>
      <c r="O501" t="s">
        <v>2432</v>
      </c>
      <c r="P501" t="s">
        <v>2512</v>
      </c>
      <c r="Q501" t="s">
        <v>5333</v>
      </c>
      <c r="R501" t="s">
        <v>3429</v>
      </c>
    </row>
    <row r="502" spans="1:19" hidden="1" x14ac:dyDescent="0.25">
      <c r="A502" t="s">
        <v>5334</v>
      </c>
      <c r="B502" t="s">
        <v>3065</v>
      </c>
      <c r="C502" t="s">
        <v>2609</v>
      </c>
      <c r="D502" t="s">
        <v>3009</v>
      </c>
      <c r="E502" t="s">
        <v>1650</v>
      </c>
      <c r="F502" t="s">
        <v>662</v>
      </c>
      <c r="G502">
        <v>46</v>
      </c>
      <c r="H502">
        <v>435.83</v>
      </c>
      <c r="I502">
        <v>20048.18</v>
      </c>
      <c r="J502">
        <v>7.9</v>
      </c>
      <c r="K502">
        <v>3207.71</v>
      </c>
      <c r="L502">
        <v>21672.080000000002</v>
      </c>
      <c r="M502" t="s">
        <v>4238</v>
      </c>
      <c r="N502" t="s">
        <v>1121</v>
      </c>
      <c r="O502" t="s">
        <v>2449</v>
      </c>
      <c r="P502" t="s">
        <v>2554</v>
      </c>
      <c r="Q502" t="s">
        <v>5335</v>
      </c>
      <c r="R502" t="s">
        <v>3425</v>
      </c>
      <c r="S502" t="s">
        <v>3466</v>
      </c>
    </row>
    <row r="503" spans="1:19" hidden="1" x14ac:dyDescent="0.25">
      <c r="A503" t="s">
        <v>5336</v>
      </c>
      <c r="B503" t="s">
        <v>4447</v>
      </c>
      <c r="C503" t="s">
        <v>4447</v>
      </c>
      <c r="D503" t="s">
        <v>2918</v>
      </c>
      <c r="E503" t="s">
        <v>1803</v>
      </c>
      <c r="F503" t="s">
        <v>910</v>
      </c>
      <c r="G503">
        <v>48</v>
      </c>
      <c r="H503">
        <v>601.28</v>
      </c>
      <c r="I503">
        <v>28861.439999999999</v>
      </c>
      <c r="J503">
        <v>7.5</v>
      </c>
      <c r="K503">
        <v>4617.83</v>
      </c>
      <c r="L503">
        <v>31314.66</v>
      </c>
      <c r="M503" t="s">
        <v>4238</v>
      </c>
      <c r="N503" t="s">
        <v>4228</v>
      </c>
      <c r="O503" t="s">
        <v>2432</v>
      </c>
      <c r="P503" t="s">
        <v>2519</v>
      </c>
      <c r="Q503" t="s">
        <v>5337</v>
      </c>
      <c r="R503" t="s">
        <v>3429</v>
      </c>
      <c r="S503" t="s">
        <v>3466</v>
      </c>
    </row>
    <row r="504" spans="1:19" hidden="1" x14ac:dyDescent="0.25">
      <c r="A504" t="s">
        <v>5338</v>
      </c>
      <c r="B504" t="s">
        <v>3223</v>
      </c>
      <c r="C504" t="s">
        <v>3223</v>
      </c>
      <c r="D504" t="s">
        <v>2777</v>
      </c>
      <c r="E504" t="s">
        <v>1914</v>
      </c>
      <c r="F504" t="s">
        <v>1076</v>
      </c>
      <c r="G504">
        <v>27</v>
      </c>
      <c r="H504">
        <v>777.19</v>
      </c>
      <c r="I504">
        <v>20984.13</v>
      </c>
      <c r="J504">
        <v>0.4</v>
      </c>
      <c r="K504">
        <v>3357.46</v>
      </c>
      <c r="L504">
        <v>24257.65</v>
      </c>
      <c r="M504" t="s">
        <v>4247</v>
      </c>
      <c r="N504" t="s">
        <v>4233</v>
      </c>
      <c r="O504" t="s">
        <v>2456</v>
      </c>
      <c r="P504" t="s">
        <v>2501</v>
      </c>
      <c r="Q504" t="s">
        <v>5339</v>
      </c>
      <c r="R504" t="s">
        <v>3425</v>
      </c>
    </row>
    <row r="505" spans="1:19" hidden="1" x14ac:dyDescent="0.25">
      <c r="A505" t="s">
        <v>5340</v>
      </c>
      <c r="B505" t="s">
        <v>1522</v>
      </c>
      <c r="C505" t="s">
        <v>1522</v>
      </c>
      <c r="D505" t="s">
        <v>2628</v>
      </c>
      <c r="E505" t="s">
        <v>2353</v>
      </c>
      <c r="F505" t="s">
        <v>180</v>
      </c>
      <c r="G505">
        <v>24</v>
      </c>
      <c r="H505">
        <v>721.3</v>
      </c>
      <c r="I505">
        <v>17311.2</v>
      </c>
      <c r="J505">
        <v>18.899999999999999</v>
      </c>
      <c r="K505">
        <v>2769.79</v>
      </c>
      <c r="L505">
        <v>16809.169999999998</v>
      </c>
      <c r="M505" t="s">
        <v>4227</v>
      </c>
      <c r="N505" t="s">
        <v>4228</v>
      </c>
      <c r="O505" t="s">
        <v>2456</v>
      </c>
      <c r="P505" t="s">
        <v>2481</v>
      </c>
      <c r="Q505" t="s">
        <v>5341</v>
      </c>
      <c r="R505" t="s">
        <v>3425</v>
      </c>
    </row>
    <row r="506" spans="1:19" hidden="1" x14ac:dyDescent="0.25">
      <c r="A506" t="s">
        <v>5342</v>
      </c>
      <c r="B506" t="s">
        <v>2923</v>
      </c>
      <c r="C506" t="s">
        <v>4128</v>
      </c>
      <c r="D506" t="s">
        <v>3995</v>
      </c>
      <c r="E506" t="s">
        <v>1899</v>
      </c>
      <c r="F506" t="s">
        <v>348</v>
      </c>
      <c r="G506">
        <v>16</v>
      </c>
      <c r="H506">
        <v>265.02999999999997</v>
      </c>
      <c r="I506">
        <v>4240.4799999999996</v>
      </c>
      <c r="J506">
        <v>0.1</v>
      </c>
      <c r="K506">
        <v>678.48</v>
      </c>
      <c r="L506">
        <v>4914.72</v>
      </c>
      <c r="M506" t="s">
        <v>4257</v>
      </c>
      <c r="N506" t="s">
        <v>4233</v>
      </c>
      <c r="O506" t="s">
        <v>2398</v>
      </c>
      <c r="P506" t="s">
        <v>2525</v>
      </c>
      <c r="Q506" t="s">
        <v>5343</v>
      </c>
      <c r="R506" t="s">
        <v>4275</v>
      </c>
    </row>
    <row r="507" spans="1:19" hidden="1" x14ac:dyDescent="0.25">
      <c r="A507" t="s">
        <v>5344</v>
      </c>
      <c r="B507" t="s">
        <v>3039</v>
      </c>
      <c r="C507" t="s">
        <v>3039</v>
      </c>
      <c r="D507" t="s">
        <v>2609</v>
      </c>
      <c r="E507" t="s">
        <v>1629</v>
      </c>
      <c r="F507" t="s">
        <v>905</v>
      </c>
      <c r="G507">
        <v>47</v>
      </c>
      <c r="H507">
        <v>280.99</v>
      </c>
      <c r="I507">
        <v>13206.53</v>
      </c>
      <c r="J507">
        <v>6.8</v>
      </c>
      <c r="K507">
        <v>2113.04</v>
      </c>
      <c r="L507">
        <v>14421.53</v>
      </c>
      <c r="M507" t="s">
        <v>4238</v>
      </c>
      <c r="N507" t="s">
        <v>1520</v>
      </c>
      <c r="O507" t="s">
        <v>2456</v>
      </c>
      <c r="P507" t="s">
        <v>2541</v>
      </c>
      <c r="Q507" t="s">
        <v>5345</v>
      </c>
      <c r="R507" t="s">
        <v>3425</v>
      </c>
    </row>
    <row r="508" spans="1:19" hidden="1" x14ac:dyDescent="0.25">
      <c r="A508" t="s">
        <v>5346</v>
      </c>
      <c r="B508" t="s">
        <v>3127</v>
      </c>
      <c r="C508" t="s">
        <v>2193</v>
      </c>
      <c r="D508" t="s">
        <v>2193</v>
      </c>
      <c r="E508" t="s">
        <v>1722</v>
      </c>
      <c r="F508" t="s">
        <v>306</v>
      </c>
      <c r="G508">
        <v>19</v>
      </c>
      <c r="H508">
        <v>779.84</v>
      </c>
      <c r="I508">
        <v>14816.96</v>
      </c>
      <c r="J508">
        <v>7.9</v>
      </c>
      <c r="K508">
        <v>2370.71</v>
      </c>
      <c r="L508">
        <v>16017.13</v>
      </c>
      <c r="M508" t="s">
        <v>4257</v>
      </c>
      <c r="N508" t="s">
        <v>4228</v>
      </c>
      <c r="O508" t="s">
        <v>2376</v>
      </c>
      <c r="P508" t="s">
        <v>2525</v>
      </c>
      <c r="Q508" t="s">
        <v>5347</v>
      </c>
      <c r="R508" t="s">
        <v>3425</v>
      </c>
      <c r="S508" t="s">
        <v>4292</v>
      </c>
    </row>
    <row r="509" spans="1:19" hidden="1" x14ac:dyDescent="0.25">
      <c r="A509" t="s">
        <v>5348</v>
      </c>
      <c r="B509" t="s">
        <v>2937</v>
      </c>
      <c r="C509" t="s">
        <v>2703</v>
      </c>
      <c r="D509" t="s">
        <v>3315</v>
      </c>
      <c r="E509" t="s">
        <v>2336</v>
      </c>
      <c r="F509" t="s">
        <v>453</v>
      </c>
      <c r="G509">
        <v>6</v>
      </c>
      <c r="H509">
        <v>229.35</v>
      </c>
      <c r="I509">
        <v>1376.1</v>
      </c>
      <c r="J509">
        <v>11.6</v>
      </c>
      <c r="K509">
        <v>220.18</v>
      </c>
      <c r="L509">
        <v>1436.65</v>
      </c>
      <c r="M509" t="s">
        <v>4232</v>
      </c>
      <c r="N509" t="s">
        <v>1520</v>
      </c>
      <c r="O509" t="s">
        <v>2425</v>
      </c>
      <c r="P509" t="s">
        <v>2551</v>
      </c>
      <c r="Q509" t="s">
        <v>5349</v>
      </c>
      <c r="R509" t="s">
        <v>3425</v>
      </c>
    </row>
    <row r="510" spans="1:19" hidden="1" x14ac:dyDescent="0.25">
      <c r="A510" t="s">
        <v>5350</v>
      </c>
      <c r="B510" t="s">
        <v>5351</v>
      </c>
      <c r="C510" t="s">
        <v>2550</v>
      </c>
      <c r="D510" t="s">
        <v>3921</v>
      </c>
      <c r="E510" t="s">
        <v>2060</v>
      </c>
      <c r="F510" t="s">
        <v>621</v>
      </c>
      <c r="G510">
        <v>13</v>
      </c>
      <c r="H510">
        <v>160.19999999999999</v>
      </c>
      <c r="I510">
        <v>2082.6</v>
      </c>
      <c r="J510">
        <v>9.1999999999999993</v>
      </c>
      <c r="K510">
        <v>333.22</v>
      </c>
      <c r="L510">
        <v>2224.2199999999998</v>
      </c>
      <c r="M510" t="s">
        <v>3442</v>
      </c>
      <c r="N510" t="s">
        <v>4233</v>
      </c>
      <c r="O510" t="s">
        <v>2376</v>
      </c>
      <c r="P510" t="s">
        <v>2527</v>
      </c>
      <c r="Q510" t="s">
        <v>5352</v>
      </c>
      <c r="R510" t="s">
        <v>3425</v>
      </c>
      <c r="S510" t="s">
        <v>3466</v>
      </c>
    </row>
    <row r="511" spans="1:19" hidden="1" x14ac:dyDescent="0.25">
      <c r="A511" t="s">
        <v>5353</v>
      </c>
      <c r="B511" t="s">
        <v>2610</v>
      </c>
      <c r="C511" t="s">
        <v>2610</v>
      </c>
      <c r="D511" t="s">
        <v>3119</v>
      </c>
      <c r="E511" t="s">
        <v>1890</v>
      </c>
      <c r="F511" t="s">
        <v>910</v>
      </c>
      <c r="G511">
        <v>7</v>
      </c>
      <c r="H511">
        <v>568.77</v>
      </c>
      <c r="I511">
        <v>3981.39</v>
      </c>
      <c r="J511">
        <v>3.6</v>
      </c>
      <c r="K511">
        <v>637.02</v>
      </c>
      <c r="L511">
        <v>4475.08</v>
      </c>
      <c r="M511" t="s">
        <v>3442</v>
      </c>
      <c r="N511" t="s">
        <v>4233</v>
      </c>
      <c r="O511" t="s">
        <v>2440</v>
      </c>
      <c r="P511" t="s">
        <v>2525</v>
      </c>
      <c r="Q511" t="s">
        <v>5354</v>
      </c>
      <c r="R511" t="s">
        <v>3429</v>
      </c>
      <c r="S511" t="s">
        <v>4292</v>
      </c>
    </row>
    <row r="512" spans="1:19" x14ac:dyDescent="0.25">
      <c r="A512" t="s">
        <v>5355</v>
      </c>
      <c r="B512" s="2" t="s">
        <v>2737</v>
      </c>
      <c r="C512" t="s">
        <v>2632</v>
      </c>
      <c r="D512" t="s">
        <v>3998</v>
      </c>
      <c r="E512" t="s">
        <v>2034</v>
      </c>
      <c r="F512" t="s">
        <v>515</v>
      </c>
      <c r="G512">
        <v>10</v>
      </c>
      <c r="H512">
        <v>634.22</v>
      </c>
      <c r="I512">
        <v>6342.2</v>
      </c>
      <c r="J512">
        <v>10.199999999999999</v>
      </c>
      <c r="K512">
        <v>1014.75</v>
      </c>
      <c r="L512">
        <v>6710.05</v>
      </c>
      <c r="M512" t="s">
        <v>4257</v>
      </c>
      <c r="N512" t="s">
        <v>1121</v>
      </c>
      <c r="O512" t="s">
        <v>2376</v>
      </c>
      <c r="P512" t="s">
        <v>2551</v>
      </c>
      <c r="Q512" t="s">
        <v>5356</v>
      </c>
      <c r="R512" t="s">
        <v>4245</v>
      </c>
    </row>
    <row r="513" spans="1:19" hidden="1" x14ac:dyDescent="0.25">
      <c r="A513" t="s">
        <v>5357</v>
      </c>
      <c r="B513" t="s">
        <v>5358</v>
      </c>
      <c r="C513" t="s">
        <v>3587</v>
      </c>
      <c r="D513" t="s">
        <v>5359</v>
      </c>
      <c r="E513" t="s">
        <v>1511</v>
      </c>
      <c r="F513" t="s">
        <v>38</v>
      </c>
      <c r="G513">
        <v>37</v>
      </c>
      <c r="H513">
        <v>574.47</v>
      </c>
      <c r="I513">
        <v>21255.39</v>
      </c>
      <c r="J513">
        <v>13.2</v>
      </c>
      <c r="K513">
        <v>3400.86</v>
      </c>
      <c r="L513">
        <v>21850.54</v>
      </c>
      <c r="M513" t="s">
        <v>4238</v>
      </c>
      <c r="N513" t="s">
        <v>1121</v>
      </c>
      <c r="O513" t="s">
        <v>2416</v>
      </c>
      <c r="P513" t="s">
        <v>2481</v>
      </c>
      <c r="Q513" t="s">
        <v>5360</v>
      </c>
      <c r="R513" t="s">
        <v>3425</v>
      </c>
    </row>
    <row r="514" spans="1:19" hidden="1" x14ac:dyDescent="0.25">
      <c r="A514" t="s">
        <v>5361</v>
      </c>
      <c r="B514" t="s">
        <v>3558</v>
      </c>
      <c r="C514" t="s">
        <v>3558</v>
      </c>
      <c r="D514" t="s">
        <v>2884</v>
      </c>
      <c r="E514" t="s">
        <v>1907</v>
      </c>
      <c r="F514" t="s">
        <v>995</v>
      </c>
      <c r="G514">
        <v>15</v>
      </c>
      <c r="H514">
        <v>788.05</v>
      </c>
      <c r="I514">
        <v>11820.75</v>
      </c>
      <c r="J514">
        <v>7.1</v>
      </c>
      <c r="K514">
        <v>1891.32</v>
      </c>
      <c r="L514">
        <v>12872.8</v>
      </c>
      <c r="M514" t="s">
        <v>3442</v>
      </c>
      <c r="N514" t="s">
        <v>4243</v>
      </c>
      <c r="O514" t="s">
        <v>2398</v>
      </c>
      <c r="P514" t="s">
        <v>2491</v>
      </c>
      <c r="Q514" t="s">
        <v>5362</v>
      </c>
      <c r="R514" t="s">
        <v>3425</v>
      </c>
    </row>
    <row r="515" spans="1:19" hidden="1" x14ac:dyDescent="0.25">
      <c r="A515" t="s">
        <v>5363</v>
      </c>
      <c r="B515" t="s">
        <v>3589</v>
      </c>
      <c r="C515" t="s">
        <v>3051</v>
      </c>
      <c r="D515" t="s">
        <v>3545</v>
      </c>
      <c r="E515" t="s">
        <v>2085</v>
      </c>
      <c r="F515" t="s">
        <v>677</v>
      </c>
      <c r="G515">
        <v>32</v>
      </c>
      <c r="H515">
        <v>833.86</v>
      </c>
      <c r="I515">
        <v>26683.52</v>
      </c>
      <c r="J515">
        <v>9.1999999999999993</v>
      </c>
      <c r="K515">
        <v>4269.3599999999997</v>
      </c>
      <c r="L515">
        <v>28498</v>
      </c>
      <c r="M515" t="s">
        <v>4232</v>
      </c>
      <c r="N515" t="s">
        <v>1121</v>
      </c>
      <c r="O515" t="s">
        <v>2425</v>
      </c>
      <c r="P515" t="s">
        <v>2561</v>
      </c>
      <c r="Q515" t="s">
        <v>5364</v>
      </c>
      <c r="R515" t="s">
        <v>3425</v>
      </c>
    </row>
    <row r="516" spans="1:19" hidden="1" x14ac:dyDescent="0.25">
      <c r="A516" t="s">
        <v>5365</v>
      </c>
      <c r="B516" t="s">
        <v>5366</v>
      </c>
      <c r="C516" t="s">
        <v>3433</v>
      </c>
      <c r="D516" t="s">
        <v>4083</v>
      </c>
      <c r="E516" t="s">
        <v>1599</v>
      </c>
      <c r="F516" t="s">
        <v>754</v>
      </c>
      <c r="G516">
        <v>35</v>
      </c>
      <c r="H516">
        <v>289.01</v>
      </c>
      <c r="I516">
        <v>10115.35</v>
      </c>
      <c r="J516">
        <v>16.399999999999999</v>
      </c>
      <c r="K516">
        <v>1618.46</v>
      </c>
      <c r="L516">
        <v>10074.89</v>
      </c>
      <c r="M516" t="s">
        <v>4232</v>
      </c>
      <c r="N516" t="s">
        <v>4233</v>
      </c>
      <c r="O516" t="s">
        <v>2456</v>
      </c>
      <c r="P516" t="s">
        <v>2501</v>
      </c>
      <c r="Q516" t="s">
        <v>5367</v>
      </c>
      <c r="R516" t="s">
        <v>3434</v>
      </c>
      <c r="S516" t="s">
        <v>3466</v>
      </c>
    </row>
    <row r="517" spans="1:19" hidden="1" x14ac:dyDescent="0.25">
      <c r="A517" t="s">
        <v>5368</v>
      </c>
      <c r="B517" t="s">
        <v>3688</v>
      </c>
      <c r="C517" t="s">
        <v>3629</v>
      </c>
      <c r="D517" t="s">
        <v>5369</v>
      </c>
      <c r="E517" t="s">
        <v>2060</v>
      </c>
      <c r="F517" t="s">
        <v>117</v>
      </c>
      <c r="G517">
        <v>28</v>
      </c>
      <c r="H517">
        <v>494.17</v>
      </c>
      <c r="I517">
        <v>13836.76</v>
      </c>
      <c r="J517">
        <v>7.6</v>
      </c>
      <c r="K517">
        <v>2213.88</v>
      </c>
      <c r="L517">
        <v>14999.05</v>
      </c>
      <c r="M517" t="s">
        <v>3442</v>
      </c>
      <c r="N517" t="s">
        <v>1121</v>
      </c>
      <c r="O517" t="s">
        <v>2456</v>
      </c>
      <c r="P517" t="s">
        <v>2548</v>
      </c>
      <c r="Q517" t="s">
        <v>5370</v>
      </c>
      <c r="R517" t="s">
        <v>3425</v>
      </c>
      <c r="S517" t="s">
        <v>4230</v>
      </c>
    </row>
    <row r="518" spans="1:19" hidden="1" x14ac:dyDescent="0.25">
      <c r="A518" t="s">
        <v>5371</v>
      </c>
      <c r="B518" t="s">
        <v>3733</v>
      </c>
      <c r="C518" t="s">
        <v>3818</v>
      </c>
      <c r="D518" t="s">
        <v>3895</v>
      </c>
      <c r="E518" t="s">
        <v>2194</v>
      </c>
      <c r="F518" t="s">
        <v>146</v>
      </c>
      <c r="G518">
        <v>11</v>
      </c>
      <c r="H518">
        <v>372.23</v>
      </c>
      <c r="I518">
        <v>4094.53</v>
      </c>
      <c r="J518">
        <v>14.3</v>
      </c>
      <c r="K518">
        <v>655.12</v>
      </c>
      <c r="L518">
        <v>4164.13</v>
      </c>
      <c r="M518" t="s">
        <v>4227</v>
      </c>
      <c r="N518" t="s">
        <v>4233</v>
      </c>
      <c r="O518" t="s">
        <v>2449</v>
      </c>
      <c r="P518" t="s">
        <v>2522</v>
      </c>
      <c r="Q518" t="s">
        <v>5372</v>
      </c>
      <c r="R518" t="s">
        <v>3429</v>
      </c>
      <c r="S518" t="s">
        <v>3466</v>
      </c>
    </row>
    <row r="519" spans="1:19" hidden="1" x14ac:dyDescent="0.25">
      <c r="A519" t="s">
        <v>5373</v>
      </c>
      <c r="B519" t="s">
        <v>2033</v>
      </c>
      <c r="C519" t="s">
        <v>2632</v>
      </c>
      <c r="D519" t="s">
        <v>2632</v>
      </c>
      <c r="E519" t="s">
        <v>1659</v>
      </c>
      <c r="F519" t="s">
        <v>626</v>
      </c>
      <c r="G519">
        <v>12</v>
      </c>
      <c r="H519">
        <v>114.39</v>
      </c>
      <c r="I519">
        <v>1372.68</v>
      </c>
      <c r="J519">
        <v>10.199999999999999</v>
      </c>
      <c r="K519">
        <v>219.63</v>
      </c>
      <c r="L519">
        <v>1452.3</v>
      </c>
      <c r="M519" t="s">
        <v>4247</v>
      </c>
      <c r="N519" t="s">
        <v>4228</v>
      </c>
      <c r="O519" t="s">
        <v>2398</v>
      </c>
      <c r="P519" t="s">
        <v>2525</v>
      </c>
      <c r="Q519" t="s">
        <v>5374</v>
      </c>
      <c r="R519" t="s">
        <v>4275</v>
      </c>
    </row>
    <row r="520" spans="1:19" hidden="1" x14ac:dyDescent="0.25">
      <c r="A520" t="s">
        <v>5375</v>
      </c>
      <c r="B520" t="s">
        <v>3955</v>
      </c>
      <c r="C520" t="s">
        <v>3955</v>
      </c>
      <c r="D520" t="s">
        <v>3157</v>
      </c>
      <c r="E520" t="s">
        <v>2152</v>
      </c>
      <c r="F520" t="s">
        <v>611</v>
      </c>
      <c r="G520">
        <v>11</v>
      </c>
      <c r="H520">
        <v>544.36</v>
      </c>
      <c r="I520">
        <v>5987.96</v>
      </c>
      <c r="J520">
        <v>3.5</v>
      </c>
      <c r="K520">
        <v>958.07</v>
      </c>
      <c r="L520">
        <v>6736.45</v>
      </c>
      <c r="M520" t="s">
        <v>4257</v>
      </c>
      <c r="N520" t="s">
        <v>4228</v>
      </c>
      <c r="O520" t="s">
        <v>2398</v>
      </c>
      <c r="P520" t="s">
        <v>2525</v>
      </c>
      <c r="Q520" t="s">
        <v>5376</v>
      </c>
      <c r="R520" t="s">
        <v>3425</v>
      </c>
      <c r="S520" t="s">
        <v>4292</v>
      </c>
    </row>
    <row r="521" spans="1:19" hidden="1" x14ac:dyDescent="0.25">
      <c r="A521" t="s">
        <v>5377</v>
      </c>
      <c r="B521" t="s">
        <v>3196</v>
      </c>
      <c r="C521" t="s">
        <v>3171</v>
      </c>
      <c r="D521" t="s">
        <v>3464</v>
      </c>
      <c r="E521" t="s">
        <v>2007</v>
      </c>
      <c r="F521" t="s">
        <v>321</v>
      </c>
      <c r="G521">
        <v>36</v>
      </c>
      <c r="H521">
        <v>428.95</v>
      </c>
      <c r="I521">
        <v>15442.2</v>
      </c>
      <c r="J521">
        <v>11.8</v>
      </c>
      <c r="K521">
        <v>2470.75</v>
      </c>
      <c r="L521">
        <v>16090.77</v>
      </c>
      <c r="M521" t="s">
        <v>4257</v>
      </c>
      <c r="N521" t="s">
        <v>4233</v>
      </c>
      <c r="O521" t="s">
        <v>2398</v>
      </c>
      <c r="P521" t="s">
        <v>2501</v>
      </c>
      <c r="Q521" t="s">
        <v>5378</v>
      </c>
      <c r="R521" t="s">
        <v>3434</v>
      </c>
    </row>
    <row r="522" spans="1:19" hidden="1" x14ac:dyDescent="0.25">
      <c r="A522" t="s">
        <v>5379</v>
      </c>
      <c r="B522" t="s">
        <v>3925</v>
      </c>
      <c r="C522" t="s">
        <v>2767</v>
      </c>
      <c r="D522" t="s">
        <v>3192</v>
      </c>
      <c r="E522" t="s">
        <v>2169</v>
      </c>
      <c r="F522" t="s">
        <v>51</v>
      </c>
      <c r="G522">
        <v>1</v>
      </c>
      <c r="H522">
        <v>584.39</v>
      </c>
      <c r="I522">
        <v>584.39</v>
      </c>
      <c r="J522">
        <v>13.1</v>
      </c>
      <c r="K522">
        <v>93.5</v>
      </c>
      <c r="L522">
        <v>601.33000000000004</v>
      </c>
      <c r="M522" t="s">
        <v>4247</v>
      </c>
      <c r="N522" t="s">
        <v>1520</v>
      </c>
      <c r="O522" t="s">
        <v>2376</v>
      </c>
      <c r="P522" t="s">
        <v>2495</v>
      </c>
      <c r="Q522" t="s">
        <v>5380</v>
      </c>
      <c r="R522" t="s">
        <v>3425</v>
      </c>
      <c r="S522" t="s">
        <v>4292</v>
      </c>
    </row>
    <row r="523" spans="1:19" hidden="1" x14ac:dyDescent="0.25">
      <c r="A523" t="s">
        <v>5381</v>
      </c>
      <c r="B523" t="s">
        <v>2697</v>
      </c>
      <c r="C523" t="s">
        <v>2989</v>
      </c>
      <c r="D523" t="s">
        <v>3386</v>
      </c>
      <c r="E523" t="s">
        <v>1890</v>
      </c>
      <c r="F523" t="s">
        <v>139</v>
      </c>
      <c r="G523">
        <v>38</v>
      </c>
      <c r="H523">
        <v>389.05</v>
      </c>
      <c r="I523">
        <v>14783.9</v>
      </c>
      <c r="J523">
        <v>3.9</v>
      </c>
      <c r="K523">
        <v>2365.42</v>
      </c>
      <c r="L523">
        <v>16572.75</v>
      </c>
      <c r="M523" t="s">
        <v>4227</v>
      </c>
      <c r="N523" t="s">
        <v>4243</v>
      </c>
      <c r="O523" t="s">
        <v>2376</v>
      </c>
      <c r="P523" t="s">
        <v>2475</v>
      </c>
      <c r="Q523" t="s">
        <v>5382</v>
      </c>
      <c r="R523" t="s">
        <v>3425</v>
      </c>
    </row>
    <row r="524" spans="1:19" hidden="1" x14ac:dyDescent="0.25">
      <c r="A524" t="s">
        <v>5383</v>
      </c>
      <c r="B524" t="s">
        <v>4366</v>
      </c>
      <c r="C524" t="s">
        <v>3705</v>
      </c>
      <c r="D524" t="s">
        <v>3870</v>
      </c>
      <c r="E524" t="s">
        <v>2320</v>
      </c>
      <c r="F524" t="s">
        <v>1086</v>
      </c>
      <c r="G524">
        <v>6</v>
      </c>
      <c r="H524">
        <v>559.94000000000005</v>
      </c>
      <c r="I524">
        <v>3359.64</v>
      </c>
      <c r="J524">
        <v>4.9000000000000004</v>
      </c>
      <c r="K524">
        <v>537.54</v>
      </c>
      <c r="L524">
        <v>3732.56</v>
      </c>
      <c r="M524" t="s">
        <v>4232</v>
      </c>
      <c r="N524" t="s">
        <v>1121</v>
      </c>
      <c r="O524" t="s">
        <v>2398</v>
      </c>
      <c r="P524" t="s">
        <v>2501</v>
      </c>
      <c r="Q524" t="s">
        <v>5384</v>
      </c>
      <c r="R524" t="s">
        <v>3425</v>
      </c>
    </row>
    <row r="525" spans="1:19" hidden="1" x14ac:dyDescent="0.25">
      <c r="A525" t="s">
        <v>5385</v>
      </c>
      <c r="B525" t="s">
        <v>4398</v>
      </c>
      <c r="C525" t="s">
        <v>3489</v>
      </c>
      <c r="D525" t="s">
        <v>3504</v>
      </c>
      <c r="E525" t="s">
        <v>1932</v>
      </c>
      <c r="F525" t="s">
        <v>38</v>
      </c>
      <c r="G525">
        <v>45</v>
      </c>
      <c r="H525">
        <v>137.41999999999999</v>
      </c>
      <c r="I525">
        <v>6183.9</v>
      </c>
      <c r="J525">
        <v>19.3</v>
      </c>
      <c r="K525">
        <v>989.42</v>
      </c>
      <c r="L525">
        <v>5979.83</v>
      </c>
      <c r="M525" t="s">
        <v>3428</v>
      </c>
      <c r="N525" t="s">
        <v>4243</v>
      </c>
      <c r="O525" t="s">
        <v>2376</v>
      </c>
      <c r="P525" t="s">
        <v>2522</v>
      </c>
      <c r="Q525" t="s">
        <v>5386</v>
      </c>
      <c r="R525" t="s">
        <v>3429</v>
      </c>
    </row>
    <row r="526" spans="1:19" hidden="1" x14ac:dyDescent="0.25">
      <c r="A526" t="s">
        <v>5387</v>
      </c>
      <c r="B526" t="s">
        <v>3582</v>
      </c>
      <c r="C526" t="s">
        <v>3395</v>
      </c>
      <c r="D526" t="s">
        <v>3189</v>
      </c>
      <c r="E526" t="s">
        <v>2262</v>
      </c>
      <c r="F526" t="s">
        <v>1071</v>
      </c>
      <c r="G526">
        <v>27</v>
      </c>
      <c r="H526">
        <v>764.76</v>
      </c>
      <c r="I526">
        <v>20648.52</v>
      </c>
      <c r="J526">
        <v>1.1000000000000001</v>
      </c>
      <c r="K526">
        <v>3303.76</v>
      </c>
      <c r="L526">
        <v>23725.15</v>
      </c>
      <c r="M526" t="s">
        <v>4227</v>
      </c>
      <c r="N526" t="s">
        <v>1121</v>
      </c>
      <c r="O526" t="s">
        <v>2449</v>
      </c>
      <c r="P526" t="s">
        <v>2561</v>
      </c>
      <c r="Q526" t="s">
        <v>5388</v>
      </c>
      <c r="R526" t="s">
        <v>3425</v>
      </c>
    </row>
    <row r="527" spans="1:19" hidden="1" x14ac:dyDescent="0.25">
      <c r="A527" t="s">
        <v>5389</v>
      </c>
      <c r="B527" t="s">
        <v>3226</v>
      </c>
      <c r="C527" t="s">
        <v>3226</v>
      </c>
      <c r="D527" t="s">
        <v>2755</v>
      </c>
      <c r="E527" t="s">
        <v>2144</v>
      </c>
      <c r="F527" t="s">
        <v>525</v>
      </c>
      <c r="G527">
        <v>15</v>
      </c>
      <c r="H527">
        <v>470.42</v>
      </c>
      <c r="I527">
        <v>7056.3</v>
      </c>
      <c r="J527">
        <v>4</v>
      </c>
      <c r="K527">
        <v>1129.01</v>
      </c>
      <c r="L527">
        <v>7903.06</v>
      </c>
      <c r="M527" t="s">
        <v>4238</v>
      </c>
      <c r="N527" t="s">
        <v>1520</v>
      </c>
      <c r="O527" t="s">
        <v>2398</v>
      </c>
      <c r="P527" t="s">
        <v>2512</v>
      </c>
      <c r="Q527" t="s">
        <v>5390</v>
      </c>
      <c r="R527" t="s">
        <v>3425</v>
      </c>
    </row>
    <row r="528" spans="1:19" hidden="1" x14ac:dyDescent="0.25">
      <c r="A528" t="s">
        <v>5391</v>
      </c>
      <c r="B528" t="s">
        <v>3655</v>
      </c>
      <c r="C528" t="s">
        <v>4206</v>
      </c>
      <c r="D528" t="s">
        <v>3531</v>
      </c>
      <c r="E528" t="s">
        <v>1965</v>
      </c>
      <c r="F528" t="s">
        <v>240</v>
      </c>
      <c r="G528">
        <v>1</v>
      </c>
      <c r="H528">
        <v>614.33000000000004</v>
      </c>
      <c r="I528">
        <v>614.33000000000004</v>
      </c>
      <c r="J528">
        <v>15.9</v>
      </c>
      <c r="K528">
        <v>98.29</v>
      </c>
      <c r="L528">
        <v>614.94000000000005</v>
      </c>
      <c r="M528" t="s">
        <v>4257</v>
      </c>
      <c r="N528" t="s">
        <v>1520</v>
      </c>
      <c r="O528" t="s">
        <v>2416</v>
      </c>
      <c r="P528" t="s">
        <v>2495</v>
      </c>
      <c r="Q528" t="s">
        <v>5392</v>
      </c>
      <c r="R528" t="s">
        <v>3425</v>
      </c>
      <c r="S528" t="s">
        <v>4235</v>
      </c>
    </row>
    <row r="529" spans="1:19" hidden="1" x14ac:dyDescent="0.25">
      <c r="A529" t="s">
        <v>5393</v>
      </c>
      <c r="B529" t="s">
        <v>3910</v>
      </c>
      <c r="C529" t="s">
        <v>2792</v>
      </c>
      <c r="D529" t="s">
        <v>3019</v>
      </c>
      <c r="E529" t="s">
        <v>1899</v>
      </c>
      <c r="F529" t="s">
        <v>458</v>
      </c>
      <c r="G529">
        <v>19</v>
      </c>
      <c r="H529">
        <v>193.04</v>
      </c>
      <c r="I529">
        <v>3667.76</v>
      </c>
      <c r="J529">
        <v>15</v>
      </c>
      <c r="K529">
        <v>586.84</v>
      </c>
      <c r="L529">
        <v>3704.44</v>
      </c>
      <c r="M529" t="s">
        <v>3428</v>
      </c>
      <c r="N529" t="s">
        <v>4243</v>
      </c>
      <c r="O529" t="s">
        <v>2432</v>
      </c>
      <c r="P529" t="s">
        <v>2541</v>
      </c>
      <c r="Q529" t="s">
        <v>5394</v>
      </c>
      <c r="R529" t="s">
        <v>3429</v>
      </c>
    </row>
    <row r="530" spans="1:19" x14ac:dyDescent="0.25">
      <c r="A530" t="s">
        <v>5395</v>
      </c>
      <c r="B530" s="2" t="s">
        <v>3357</v>
      </c>
      <c r="C530" t="s">
        <v>3357</v>
      </c>
      <c r="D530" t="s">
        <v>2763</v>
      </c>
      <c r="E530" t="s">
        <v>1981</v>
      </c>
      <c r="F530" t="s">
        <v>1000</v>
      </c>
      <c r="G530">
        <v>14</v>
      </c>
      <c r="H530">
        <v>732.03</v>
      </c>
      <c r="I530">
        <v>10248.42</v>
      </c>
      <c r="J530">
        <v>12.1</v>
      </c>
      <c r="K530">
        <v>1639.75</v>
      </c>
      <c r="L530">
        <v>10648.11</v>
      </c>
      <c r="M530" t="s">
        <v>4227</v>
      </c>
      <c r="N530" t="s">
        <v>1520</v>
      </c>
      <c r="O530" t="s">
        <v>2388</v>
      </c>
      <c r="P530" t="s">
        <v>2538</v>
      </c>
      <c r="Q530" t="s">
        <v>5396</v>
      </c>
      <c r="R530" t="s">
        <v>4245</v>
      </c>
    </row>
    <row r="531" spans="1:19" hidden="1" x14ac:dyDescent="0.25">
      <c r="A531" t="s">
        <v>5397</v>
      </c>
      <c r="B531" t="s">
        <v>2622</v>
      </c>
      <c r="C531" t="s">
        <v>2749</v>
      </c>
      <c r="D531" t="s">
        <v>2749</v>
      </c>
      <c r="E531" t="s">
        <v>1599</v>
      </c>
      <c r="F531" t="s">
        <v>744</v>
      </c>
      <c r="G531">
        <v>40</v>
      </c>
      <c r="H531">
        <v>592.4</v>
      </c>
      <c r="I531">
        <v>23696</v>
      </c>
      <c r="J531">
        <v>3.8</v>
      </c>
      <c r="K531">
        <v>3791.36</v>
      </c>
      <c r="L531">
        <v>26586.91</v>
      </c>
      <c r="M531" t="s">
        <v>3442</v>
      </c>
      <c r="N531" t="s">
        <v>4248</v>
      </c>
      <c r="O531" t="s">
        <v>2449</v>
      </c>
      <c r="P531" t="s">
        <v>2512</v>
      </c>
      <c r="Q531" t="s">
        <v>5398</v>
      </c>
      <c r="R531" t="s">
        <v>3434</v>
      </c>
      <c r="S531" t="s">
        <v>4292</v>
      </c>
    </row>
    <row r="532" spans="1:19" hidden="1" x14ac:dyDescent="0.25">
      <c r="A532" t="s">
        <v>5399</v>
      </c>
      <c r="B532" t="s">
        <v>3937</v>
      </c>
      <c r="C532" t="s">
        <v>1863</v>
      </c>
      <c r="D532" t="s">
        <v>5327</v>
      </c>
      <c r="E532" t="s">
        <v>1578</v>
      </c>
      <c r="F532" t="s">
        <v>1096</v>
      </c>
      <c r="G532">
        <v>32</v>
      </c>
      <c r="H532">
        <v>234.57</v>
      </c>
      <c r="I532">
        <v>7506.24</v>
      </c>
      <c r="J532">
        <v>5.4</v>
      </c>
      <c r="K532">
        <v>1201</v>
      </c>
      <c r="L532">
        <v>8301.9</v>
      </c>
      <c r="M532" t="s">
        <v>3442</v>
      </c>
      <c r="N532" t="s">
        <v>4228</v>
      </c>
      <c r="O532" t="s">
        <v>2432</v>
      </c>
      <c r="P532" t="s">
        <v>2548</v>
      </c>
      <c r="Q532" t="s">
        <v>5400</v>
      </c>
      <c r="R532" t="s">
        <v>3425</v>
      </c>
    </row>
    <row r="533" spans="1:19" hidden="1" x14ac:dyDescent="0.25">
      <c r="A533" t="s">
        <v>5401</v>
      </c>
      <c r="B533" t="s">
        <v>2599</v>
      </c>
      <c r="C533" t="s">
        <v>2218</v>
      </c>
      <c r="D533" t="s">
        <v>2900</v>
      </c>
      <c r="E533" t="s">
        <v>1907</v>
      </c>
      <c r="F533" t="s">
        <v>485</v>
      </c>
      <c r="G533">
        <v>50</v>
      </c>
      <c r="H533">
        <v>528.85</v>
      </c>
      <c r="I533">
        <v>26442.5</v>
      </c>
      <c r="J533">
        <v>14.9</v>
      </c>
      <c r="K533">
        <v>4230.8</v>
      </c>
      <c r="L533">
        <v>26733.37</v>
      </c>
      <c r="M533" t="s">
        <v>4232</v>
      </c>
      <c r="N533" t="s">
        <v>4228</v>
      </c>
      <c r="O533" t="s">
        <v>2376</v>
      </c>
      <c r="P533" t="s">
        <v>2515</v>
      </c>
      <c r="Q533" t="s">
        <v>5402</v>
      </c>
      <c r="R533" t="s">
        <v>3425</v>
      </c>
    </row>
    <row r="534" spans="1:19" hidden="1" x14ac:dyDescent="0.25">
      <c r="A534" t="s">
        <v>5403</v>
      </c>
      <c r="B534" t="s">
        <v>3879</v>
      </c>
      <c r="C534" t="s">
        <v>3879</v>
      </c>
      <c r="D534" t="s">
        <v>2810</v>
      </c>
      <c r="E534" t="s">
        <v>2085</v>
      </c>
      <c r="F534" t="s">
        <v>667</v>
      </c>
      <c r="G534">
        <v>47</v>
      </c>
      <c r="H534">
        <v>664.88</v>
      </c>
      <c r="I534">
        <v>31249.360000000001</v>
      </c>
      <c r="J534">
        <v>1.3</v>
      </c>
      <c r="K534">
        <v>4999.8999999999996</v>
      </c>
      <c r="L534">
        <v>35843.019999999997</v>
      </c>
      <c r="M534" t="s">
        <v>4227</v>
      </c>
      <c r="N534" t="s">
        <v>1121</v>
      </c>
      <c r="O534" t="s">
        <v>2449</v>
      </c>
      <c r="P534" t="s">
        <v>2522</v>
      </c>
      <c r="Q534" t="s">
        <v>5404</v>
      </c>
      <c r="R534" t="s">
        <v>3434</v>
      </c>
    </row>
    <row r="535" spans="1:19" hidden="1" x14ac:dyDescent="0.25">
      <c r="A535" t="s">
        <v>5405</v>
      </c>
      <c r="B535" t="s">
        <v>2550</v>
      </c>
      <c r="C535" t="s">
        <v>2550</v>
      </c>
      <c r="D535" t="s">
        <v>3574</v>
      </c>
      <c r="E535" t="s">
        <v>1599</v>
      </c>
      <c r="F535" t="s">
        <v>611</v>
      </c>
      <c r="G535">
        <v>47</v>
      </c>
      <c r="H535">
        <v>322.82</v>
      </c>
      <c r="I535">
        <v>15172.54</v>
      </c>
      <c r="J535">
        <v>6.4</v>
      </c>
      <c r="K535">
        <v>2427.61</v>
      </c>
      <c r="L535">
        <v>16629.11</v>
      </c>
      <c r="M535" t="s">
        <v>4238</v>
      </c>
      <c r="N535" t="s">
        <v>4233</v>
      </c>
      <c r="O535" t="s">
        <v>2456</v>
      </c>
      <c r="P535" t="s">
        <v>2568</v>
      </c>
      <c r="Q535" t="s">
        <v>5406</v>
      </c>
      <c r="R535" t="s">
        <v>3425</v>
      </c>
      <c r="S535" t="s">
        <v>4292</v>
      </c>
    </row>
    <row r="536" spans="1:19" hidden="1" x14ac:dyDescent="0.25">
      <c r="A536" t="s">
        <v>5407</v>
      </c>
      <c r="B536" t="s">
        <v>3784</v>
      </c>
      <c r="C536" t="s">
        <v>3576</v>
      </c>
      <c r="D536" t="s">
        <v>3834</v>
      </c>
      <c r="E536" t="s">
        <v>2253</v>
      </c>
      <c r="F536" t="s">
        <v>657</v>
      </c>
      <c r="G536">
        <v>4</v>
      </c>
      <c r="H536">
        <v>343.78</v>
      </c>
      <c r="I536">
        <v>1375.12</v>
      </c>
      <c r="J536">
        <v>16.899999999999999</v>
      </c>
      <c r="K536">
        <v>220.02</v>
      </c>
      <c r="L536">
        <v>1362.74</v>
      </c>
      <c r="M536" t="s">
        <v>4257</v>
      </c>
      <c r="N536" t="s">
        <v>4248</v>
      </c>
      <c r="O536" t="s">
        <v>2407</v>
      </c>
      <c r="P536" t="s">
        <v>2535</v>
      </c>
      <c r="Q536" t="s">
        <v>5408</v>
      </c>
      <c r="R536" t="s">
        <v>3425</v>
      </c>
      <c r="S536" t="s">
        <v>3466</v>
      </c>
    </row>
    <row r="537" spans="1:19" hidden="1" x14ac:dyDescent="0.25">
      <c r="A537" t="s">
        <v>5409</v>
      </c>
      <c r="B537" t="s">
        <v>3966</v>
      </c>
      <c r="C537" t="s">
        <v>3682</v>
      </c>
      <c r="D537" t="s">
        <v>4952</v>
      </c>
      <c r="E537" t="s">
        <v>1544</v>
      </c>
      <c r="F537" t="s">
        <v>616</v>
      </c>
      <c r="G537">
        <v>47</v>
      </c>
      <c r="H537">
        <v>400.14</v>
      </c>
      <c r="I537">
        <v>18806.580000000002</v>
      </c>
      <c r="J537">
        <v>10.8</v>
      </c>
      <c r="K537">
        <v>3009.05</v>
      </c>
      <c r="L537">
        <v>19784.52</v>
      </c>
      <c r="M537" t="s">
        <v>3428</v>
      </c>
      <c r="N537" t="s">
        <v>4248</v>
      </c>
      <c r="O537" t="s">
        <v>2432</v>
      </c>
      <c r="P537" t="s">
        <v>2535</v>
      </c>
      <c r="Q537" t="s">
        <v>5410</v>
      </c>
      <c r="R537" t="s">
        <v>3425</v>
      </c>
      <c r="S537" t="s">
        <v>4235</v>
      </c>
    </row>
    <row r="538" spans="1:19" x14ac:dyDescent="0.25">
      <c r="A538" t="s">
        <v>5411</v>
      </c>
      <c r="B538" s="2" t="s">
        <v>2895</v>
      </c>
      <c r="C538" t="s">
        <v>3114</v>
      </c>
      <c r="D538" t="s">
        <v>4213</v>
      </c>
      <c r="E538" t="s">
        <v>2119</v>
      </c>
      <c r="F538" t="s">
        <v>165</v>
      </c>
      <c r="G538">
        <v>24</v>
      </c>
      <c r="H538">
        <v>627.29999999999995</v>
      </c>
      <c r="I538">
        <v>15055.2</v>
      </c>
      <c r="J538">
        <v>17.600000000000001</v>
      </c>
      <c r="K538">
        <v>2408.83</v>
      </c>
      <c r="L538">
        <v>14814.31</v>
      </c>
      <c r="M538" t="s">
        <v>4232</v>
      </c>
      <c r="N538" t="s">
        <v>4243</v>
      </c>
      <c r="O538" t="s">
        <v>2456</v>
      </c>
      <c r="P538" t="s">
        <v>2548</v>
      </c>
      <c r="Q538" t="s">
        <v>5412</v>
      </c>
      <c r="R538" t="s">
        <v>4245</v>
      </c>
      <c r="S538" t="s">
        <v>3466</v>
      </c>
    </row>
    <row r="539" spans="1:19" hidden="1" x14ac:dyDescent="0.25">
      <c r="A539" t="s">
        <v>5413</v>
      </c>
      <c r="B539" t="s">
        <v>4387</v>
      </c>
      <c r="C539" t="s">
        <v>4433</v>
      </c>
      <c r="D539" t="s">
        <v>4500</v>
      </c>
      <c r="E539" t="s">
        <v>2278</v>
      </c>
      <c r="F539" t="s">
        <v>311</v>
      </c>
      <c r="G539">
        <v>37</v>
      </c>
      <c r="H539">
        <v>774.5</v>
      </c>
      <c r="I539">
        <v>28656.5</v>
      </c>
      <c r="J539">
        <v>0.2</v>
      </c>
      <c r="K539">
        <v>4585.04</v>
      </c>
      <c r="L539">
        <v>33184.230000000003</v>
      </c>
      <c r="M539" t="s">
        <v>4257</v>
      </c>
      <c r="N539" t="s">
        <v>4243</v>
      </c>
      <c r="O539" t="s">
        <v>2440</v>
      </c>
      <c r="P539" t="s">
        <v>2554</v>
      </c>
      <c r="Q539" t="s">
        <v>5414</v>
      </c>
      <c r="R539" t="s">
        <v>3425</v>
      </c>
      <c r="S539" t="s">
        <v>4292</v>
      </c>
    </row>
    <row r="540" spans="1:19" hidden="1" x14ac:dyDescent="0.25">
      <c r="A540" t="s">
        <v>5415</v>
      </c>
      <c r="B540" t="s">
        <v>2668</v>
      </c>
      <c r="C540" t="s">
        <v>2668</v>
      </c>
      <c r="D540" t="s">
        <v>3082</v>
      </c>
      <c r="E540" t="s">
        <v>1775</v>
      </c>
      <c r="F540" t="s">
        <v>576</v>
      </c>
      <c r="G540">
        <v>27</v>
      </c>
      <c r="H540">
        <v>702.32</v>
      </c>
      <c r="I540">
        <v>18962.64</v>
      </c>
      <c r="J540">
        <v>8.6</v>
      </c>
      <c r="K540">
        <v>3034.02</v>
      </c>
      <c r="L540">
        <v>20365.87</v>
      </c>
      <c r="M540" t="s">
        <v>4247</v>
      </c>
      <c r="N540" t="s">
        <v>1121</v>
      </c>
      <c r="O540" t="s">
        <v>2440</v>
      </c>
      <c r="P540" t="s">
        <v>2515</v>
      </c>
      <c r="Q540" t="s">
        <v>5416</v>
      </c>
      <c r="R540" t="s">
        <v>3425</v>
      </c>
    </row>
    <row r="541" spans="1:19" hidden="1" x14ac:dyDescent="0.25">
      <c r="A541" t="s">
        <v>5417</v>
      </c>
      <c r="B541" t="s">
        <v>2810</v>
      </c>
      <c r="C541" t="s">
        <v>4422</v>
      </c>
      <c r="D541" t="s">
        <v>2805</v>
      </c>
      <c r="E541" t="s">
        <v>1511</v>
      </c>
      <c r="F541" t="s">
        <v>616</v>
      </c>
      <c r="G541">
        <v>31</v>
      </c>
      <c r="H541">
        <v>615.69000000000005</v>
      </c>
      <c r="I541">
        <v>19086.39</v>
      </c>
      <c r="J541">
        <v>13.3</v>
      </c>
      <c r="K541">
        <v>3053.82</v>
      </c>
      <c r="L541">
        <v>19601.72</v>
      </c>
      <c r="M541" t="s">
        <v>4247</v>
      </c>
      <c r="N541" t="s">
        <v>4233</v>
      </c>
      <c r="O541" t="s">
        <v>2449</v>
      </c>
      <c r="P541" t="s">
        <v>2495</v>
      </c>
      <c r="Q541" t="s">
        <v>5418</v>
      </c>
      <c r="R541" t="s">
        <v>3429</v>
      </c>
      <c r="S541" t="s">
        <v>3466</v>
      </c>
    </row>
    <row r="542" spans="1:19" hidden="1" x14ac:dyDescent="0.25">
      <c r="A542" t="s">
        <v>5419</v>
      </c>
      <c r="B542" t="s">
        <v>3932</v>
      </c>
      <c r="C542" t="s">
        <v>3976</v>
      </c>
      <c r="D542" t="s">
        <v>3456</v>
      </c>
      <c r="E542" t="s">
        <v>2144</v>
      </c>
      <c r="F542" t="s">
        <v>935</v>
      </c>
      <c r="G542">
        <v>18</v>
      </c>
      <c r="H542">
        <v>720.88</v>
      </c>
      <c r="I542">
        <v>12975.84</v>
      </c>
      <c r="J542">
        <v>12.3</v>
      </c>
      <c r="K542">
        <v>2076.13</v>
      </c>
      <c r="L542">
        <v>13455.94</v>
      </c>
      <c r="M542" t="s">
        <v>4247</v>
      </c>
      <c r="N542" t="s">
        <v>4228</v>
      </c>
      <c r="O542" t="s">
        <v>2432</v>
      </c>
      <c r="P542" t="s">
        <v>2522</v>
      </c>
      <c r="Q542" t="s">
        <v>5420</v>
      </c>
      <c r="R542" t="s">
        <v>3425</v>
      </c>
      <c r="S542" t="s">
        <v>4235</v>
      </c>
    </row>
    <row r="543" spans="1:19" hidden="1" x14ac:dyDescent="0.25">
      <c r="A543" t="s">
        <v>5421</v>
      </c>
      <c r="B543" t="s">
        <v>3824</v>
      </c>
      <c r="C543" t="s">
        <v>3788</v>
      </c>
      <c r="D543" t="s">
        <v>5118</v>
      </c>
      <c r="E543" t="s">
        <v>2034</v>
      </c>
      <c r="F543" t="s">
        <v>1076</v>
      </c>
      <c r="G543">
        <v>14</v>
      </c>
      <c r="H543">
        <v>558.11</v>
      </c>
      <c r="I543">
        <v>7813.54</v>
      </c>
      <c r="J543">
        <v>4.0999999999999996</v>
      </c>
      <c r="K543">
        <v>1250.17</v>
      </c>
      <c r="L543">
        <v>8743.35</v>
      </c>
      <c r="M543" t="s">
        <v>4232</v>
      </c>
      <c r="N543" t="s">
        <v>4243</v>
      </c>
      <c r="O543" t="s">
        <v>2456</v>
      </c>
      <c r="P543" t="s">
        <v>2541</v>
      </c>
      <c r="Q543" t="s">
        <v>5422</v>
      </c>
      <c r="R543" t="s">
        <v>3429</v>
      </c>
    </row>
    <row r="544" spans="1:19" hidden="1" x14ac:dyDescent="0.25">
      <c r="A544" t="s">
        <v>5423</v>
      </c>
      <c r="B544" t="s">
        <v>4328</v>
      </c>
      <c r="C544" t="s">
        <v>3895</v>
      </c>
      <c r="D544" t="s">
        <v>3824</v>
      </c>
      <c r="E544" t="s">
        <v>2320</v>
      </c>
      <c r="F544" t="s">
        <v>510</v>
      </c>
      <c r="G544">
        <v>41</v>
      </c>
      <c r="H544">
        <v>358.12</v>
      </c>
      <c r="I544">
        <v>14682.92</v>
      </c>
      <c r="J544">
        <v>0.4</v>
      </c>
      <c r="K544">
        <v>2349.27</v>
      </c>
      <c r="L544">
        <v>16973.46</v>
      </c>
      <c r="M544" t="s">
        <v>3442</v>
      </c>
      <c r="N544" t="s">
        <v>1121</v>
      </c>
      <c r="O544" t="s">
        <v>2388</v>
      </c>
      <c r="P544" t="s">
        <v>2561</v>
      </c>
      <c r="Q544" t="s">
        <v>5424</v>
      </c>
      <c r="R544" t="s">
        <v>3434</v>
      </c>
      <c r="S544" t="s">
        <v>4235</v>
      </c>
    </row>
    <row r="545" spans="1:19" hidden="1" x14ac:dyDescent="0.25">
      <c r="A545" t="s">
        <v>5425</v>
      </c>
      <c r="B545" t="s">
        <v>4602</v>
      </c>
      <c r="C545" t="s">
        <v>4583</v>
      </c>
      <c r="D545" t="s">
        <v>3896</v>
      </c>
      <c r="E545" t="s">
        <v>2344</v>
      </c>
      <c r="F545" t="s">
        <v>1010</v>
      </c>
      <c r="G545">
        <v>49</v>
      </c>
      <c r="H545">
        <v>162.19999999999999</v>
      </c>
      <c r="I545">
        <v>7947.8</v>
      </c>
      <c r="J545">
        <v>17.3</v>
      </c>
      <c r="K545">
        <v>1271.6500000000001</v>
      </c>
      <c r="L545">
        <v>7844.48</v>
      </c>
      <c r="M545" t="s">
        <v>3428</v>
      </c>
      <c r="N545" t="s">
        <v>1520</v>
      </c>
      <c r="O545" t="s">
        <v>2407</v>
      </c>
      <c r="P545" t="s">
        <v>2501</v>
      </c>
      <c r="Q545" t="s">
        <v>5426</v>
      </c>
      <c r="R545" t="s">
        <v>3425</v>
      </c>
      <c r="S545" t="s">
        <v>4235</v>
      </c>
    </row>
    <row r="546" spans="1:19" hidden="1" x14ac:dyDescent="0.25">
      <c r="A546" t="s">
        <v>5427</v>
      </c>
      <c r="B546" t="s">
        <v>4829</v>
      </c>
      <c r="C546" t="s">
        <v>5010</v>
      </c>
      <c r="D546" t="s">
        <v>4503</v>
      </c>
      <c r="E546" t="s">
        <v>2344</v>
      </c>
      <c r="F546" t="s">
        <v>306</v>
      </c>
      <c r="G546">
        <v>37</v>
      </c>
      <c r="H546">
        <v>844.75</v>
      </c>
      <c r="I546">
        <v>31255.75</v>
      </c>
      <c r="J546">
        <v>13.5</v>
      </c>
      <c r="K546">
        <v>5000.92</v>
      </c>
      <c r="L546">
        <v>32037.14</v>
      </c>
      <c r="M546" t="s">
        <v>4238</v>
      </c>
      <c r="N546" t="s">
        <v>4228</v>
      </c>
      <c r="O546" t="s">
        <v>2456</v>
      </c>
      <c r="P546" t="s">
        <v>2501</v>
      </c>
      <c r="Q546" t="s">
        <v>5428</v>
      </c>
      <c r="R546" t="s">
        <v>3425</v>
      </c>
      <c r="S546" t="s">
        <v>3466</v>
      </c>
    </row>
    <row r="547" spans="1:19" hidden="1" x14ac:dyDescent="0.25">
      <c r="A547" t="s">
        <v>5429</v>
      </c>
      <c r="B547" t="s">
        <v>4116</v>
      </c>
      <c r="C547" t="s">
        <v>4299</v>
      </c>
      <c r="D547" t="s">
        <v>4621</v>
      </c>
      <c r="E547" t="s">
        <v>1640</v>
      </c>
      <c r="F547" t="s">
        <v>829</v>
      </c>
      <c r="G547">
        <v>10</v>
      </c>
      <c r="H547">
        <v>434.94</v>
      </c>
      <c r="I547">
        <v>4349.3999999999996</v>
      </c>
      <c r="J547">
        <v>6.5</v>
      </c>
      <c r="K547">
        <v>695.9</v>
      </c>
      <c r="L547">
        <v>4762.59</v>
      </c>
      <c r="M547" t="s">
        <v>4238</v>
      </c>
      <c r="N547" t="s">
        <v>1121</v>
      </c>
      <c r="O547" t="s">
        <v>2440</v>
      </c>
      <c r="P547" t="s">
        <v>2486</v>
      </c>
      <c r="Q547" t="s">
        <v>5430</v>
      </c>
      <c r="R547" t="s">
        <v>3429</v>
      </c>
      <c r="S547" t="s">
        <v>4292</v>
      </c>
    </row>
    <row r="548" spans="1:19" hidden="1" x14ac:dyDescent="0.25">
      <c r="A548" t="s">
        <v>5431</v>
      </c>
      <c r="B548" t="s">
        <v>2805</v>
      </c>
      <c r="C548" t="s">
        <v>4226</v>
      </c>
      <c r="D548" t="s">
        <v>2776</v>
      </c>
      <c r="E548" t="s">
        <v>2185</v>
      </c>
      <c r="F548" t="s">
        <v>443</v>
      </c>
      <c r="G548">
        <v>11</v>
      </c>
      <c r="H548">
        <v>424.18</v>
      </c>
      <c r="I548">
        <v>4665.9799999999996</v>
      </c>
      <c r="J548">
        <v>5.8</v>
      </c>
      <c r="K548">
        <v>746.56</v>
      </c>
      <c r="L548">
        <v>5141.91</v>
      </c>
      <c r="M548" t="s">
        <v>4247</v>
      </c>
      <c r="N548" t="s">
        <v>4228</v>
      </c>
      <c r="O548" t="s">
        <v>2449</v>
      </c>
      <c r="P548" t="s">
        <v>2558</v>
      </c>
      <c r="Q548" t="s">
        <v>5432</v>
      </c>
      <c r="R548" t="s">
        <v>3425</v>
      </c>
      <c r="S548" t="s">
        <v>4230</v>
      </c>
    </row>
    <row r="549" spans="1:19" hidden="1" x14ac:dyDescent="0.25">
      <c r="A549" t="s">
        <v>5433</v>
      </c>
      <c r="B549" t="s">
        <v>4607</v>
      </c>
      <c r="C549" t="s">
        <v>2848</v>
      </c>
      <c r="D549" t="s">
        <v>3915</v>
      </c>
      <c r="E549" t="s">
        <v>1846</v>
      </c>
      <c r="F549" t="s">
        <v>990</v>
      </c>
      <c r="G549">
        <v>41</v>
      </c>
      <c r="H549">
        <v>581.20000000000005</v>
      </c>
      <c r="I549">
        <v>23829.200000000001</v>
      </c>
      <c r="J549">
        <v>0.4</v>
      </c>
      <c r="K549">
        <v>3812.67</v>
      </c>
      <c r="L549">
        <v>27546.55</v>
      </c>
      <c r="M549" t="s">
        <v>4232</v>
      </c>
      <c r="N549" t="s">
        <v>4228</v>
      </c>
      <c r="O549" t="s">
        <v>2432</v>
      </c>
      <c r="P549" t="s">
        <v>2535</v>
      </c>
      <c r="Q549" t="s">
        <v>5434</v>
      </c>
      <c r="R549" t="s">
        <v>4275</v>
      </c>
      <c r="S549" t="s">
        <v>3466</v>
      </c>
    </row>
    <row r="550" spans="1:19" hidden="1" x14ac:dyDescent="0.25">
      <c r="A550" t="s">
        <v>5435</v>
      </c>
      <c r="B550" t="s">
        <v>4540</v>
      </c>
      <c r="C550" t="s">
        <v>4039</v>
      </c>
      <c r="D550" t="s">
        <v>2193</v>
      </c>
      <c r="E550" t="s">
        <v>1722</v>
      </c>
      <c r="F550" t="s">
        <v>24</v>
      </c>
      <c r="G550">
        <v>24</v>
      </c>
      <c r="H550">
        <v>306.77</v>
      </c>
      <c r="I550">
        <v>7362.48</v>
      </c>
      <c r="J550">
        <v>12.1</v>
      </c>
      <c r="K550">
        <v>1178</v>
      </c>
      <c r="L550">
        <v>7649.62</v>
      </c>
      <c r="M550" t="s">
        <v>4232</v>
      </c>
      <c r="N550" t="s">
        <v>4228</v>
      </c>
      <c r="O550" t="s">
        <v>2416</v>
      </c>
      <c r="P550" t="s">
        <v>2558</v>
      </c>
      <c r="Q550" t="s">
        <v>5436</v>
      </c>
      <c r="R550" t="s">
        <v>3425</v>
      </c>
    </row>
    <row r="551" spans="1:19" hidden="1" x14ac:dyDescent="0.25">
      <c r="A551" t="s">
        <v>5437</v>
      </c>
      <c r="B551" t="s">
        <v>4142</v>
      </c>
      <c r="C551" t="s">
        <v>5028</v>
      </c>
      <c r="D551" t="s">
        <v>3499</v>
      </c>
      <c r="E551" t="s">
        <v>2270</v>
      </c>
      <c r="F551" t="s">
        <v>980</v>
      </c>
      <c r="G551">
        <v>48</v>
      </c>
      <c r="H551">
        <v>160.28</v>
      </c>
      <c r="I551">
        <v>7693.44</v>
      </c>
      <c r="J551">
        <v>14.5</v>
      </c>
      <c r="K551">
        <v>1230.95</v>
      </c>
      <c r="L551">
        <v>7808.84</v>
      </c>
      <c r="M551" t="s">
        <v>4232</v>
      </c>
      <c r="N551" t="s">
        <v>4233</v>
      </c>
      <c r="O551" t="s">
        <v>2432</v>
      </c>
      <c r="P551" t="s">
        <v>2554</v>
      </c>
      <c r="Q551" t="s">
        <v>5438</v>
      </c>
      <c r="R551" t="s">
        <v>3425</v>
      </c>
    </row>
    <row r="552" spans="1:19" hidden="1" x14ac:dyDescent="0.25">
      <c r="A552" t="s">
        <v>5439</v>
      </c>
      <c r="B552" t="s">
        <v>3371</v>
      </c>
      <c r="C552" t="s">
        <v>3371</v>
      </c>
      <c r="D552" t="s">
        <v>3057</v>
      </c>
      <c r="E552" t="s">
        <v>1890</v>
      </c>
      <c r="F552" t="s">
        <v>940</v>
      </c>
      <c r="G552">
        <v>34</v>
      </c>
      <c r="H552">
        <v>563.91999999999996</v>
      </c>
      <c r="I552">
        <v>19173.28</v>
      </c>
      <c r="J552">
        <v>15.1</v>
      </c>
      <c r="K552">
        <v>3067.72</v>
      </c>
      <c r="L552">
        <v>19345.830000000002</v>
      </c>
      <c r="M552" t="s">
        <v>4247</v>
      </c>
      <c r="N552" t="s">
        <v>4248</v>
      </c>
      <c r="O552" t="s">
        <v>2456</v>
      </c>
      <c r="P552" t="s">
        <v>2564</v>
      </c>
      <c r="Q552" t="s">
        <v>5440</v>
      </c>
      <c r="R552" t="s">
        <v>3425</v>
      </c>
      <c r="S552" t="s">
        <v>4230</v>
      </c>
    </row>
    <row r="553" spans="1:19" hidden="1" x14ac:dyDescent="0.25">
      <c r="A553" t="s">
        <v>5441</v>
      </c>
      <c r="B553" t="s">
        <v>3918</v>
      </c>
      <c r="C553" t="s">
        <v>2777</v>
      </c>
      <c r="D553" t="s">
        <v>2750</v>
      </c>
      <c r="E553" t="s">
        <v>1475</v>
      </c>
      <c r="F553" t="s">
        <v>358</v>
      </c>
      <c r="G553">
        <v>29</v>
      </c>
      <c r="H553">
        <v>719.77</v>
      </c>
      <c r="I553">
        <v>20873.330000000002</v>
      </c>
      <c r="J553">
        <v>2.2999999999999998</v>
      </c>
      <c r="K553">
        <v>3339.73</v>
      </c>
      <c r="L553">
        <v>23732.97</v>
      </c>
      <c r="M553" t="s">
        <v>4247</v>
      </c>
      <c r="N553" t="s">
        <v>4248</v>
      </c>
      <c r="O553" t="s">
        <v>2376</v>
      </c>
      <c r="P553" t="s">
        <v>2535</v>
      </c>
      <c r="Q553" t="s">
        <v>5442</v>
      </c>
      <c r="R553" t="s">
        <v>3425</v>
      </c>
    </row>
    <row r="554" spans="1:19" hidden="1" x14ac:dyDescent="0.25">
      <c r="A554" t="s">
        <v>5443</v>
      </c>
      <c r="B554" t="s">
        <v>3626</v>
      </c>
      <c r="C554" t="s">
        <v>1639</v>
      </c>
      <c r="D554" t="s">
        <v>1639</v>
      </c>
      <c r="E554" t="s">
        <v>2076</v>
      </c>
      <c r="F554" t="s">
        <v>920</v>
      </c>
      <c r="G554">
        <v>35</v>
      </c>
      <c r="H554">
        <v>125.16</v>
      </c>
      <c r="I554">
        <v>4380.6000000000004</v>
      </c>
      <c r="J554">
        <v>12.8</v>
      </c>
      <c r="K554">
        <v>700.9</v>
      </c>
      <c r="L554">
        <v>4520.78</v>
      </c>
      <c r="M554" t="s">
        <v>3428</v>
      </c>
      <c r="N554" t="s">
        <v>1121</v>
      </c>
      <c r="O554" t="s">
        <v>2449</v>
      </c>
      <c r="P554" t="s">
        <v>2501</v>
      </c>
      <c r="Q554" t="s">
        <v>5444</v>
      </c>
      <c r="R554" t="s">
        <v>3425</v>
      </c>
    </row>
    <row r="555" spans="1:19" hidden="1" x14ac:dyDescent="0.25">
      <c r="A555" t="s">
        <v>5445</v>
      </c>
      <c r="B555" t="s">
        <v>3009</v>
      </c>
      <c r="C555" t="s">
        <v>3805</v>
      </c>
      <c r="D555" t="s">
        <v>3955</v>
      </c>
      <c r="E555" t="s">
        <v>2016</v>
      </c>
      <c r="F555" t="s">
        <v>284</v>
      </c>
      <c r="G555">
        <v>34</v>
      </c>
      <c r="H555">
        <v>506.11</v>
      </c>
      <c r="I555">
        <v>17207.740000000002</v>
      </c>
      <c r="J555">
        <v>11.6</v>
      </c>
      <c r="K555">
        <v>2753.24</v>
      </c>
      <c r="L555">
        <v>17964.88</v>
      </c>
      <c r="M555" t="s">
        <v>4247</v>
      </c>
      <c r="N555" t="s">
        <v>1520</v>
      </c>
      <c r="O555" t="s">
        <v>2416</v>
      </c>
      <c r="P555" t="s">
        <v>2486</v>
      </c>
      <c r="Q555" t="s">
        <v>5446</v>
      </c>
      <c r="R555" t="s">
        <v>3425</v>
      </c>
      <c r="S555" t="s">
        <v>4235</v>
      </c>
    </row>
    <row r="556" spans="1:19" hidden="1" x14ac:dyDescent="0.25">
      <c r="A556" t="s">
        <v>5447</v>
      </c>
      <c r="B556" t="s">
        <v>2900</v>
      </c>
      <c r="C556" t="s">
        <v>2900</v>
      </c>
      <c r="D556" t="s">
        <v>3235</v>
      </c>
      <c r="E556" t="s">
        <v>2160</v>
      </c>
      <c r="F556" t="s">
        <v>990</v>
      </c>
      <c r="G556">
        <v>8</v>
      </c>
      <c r="H556">
        <v>675.39</v>
      </c>
      <c r="I556">
        <v>5403.12</v>
      </c>
      <c r="J556">
        <v>17.7</v>
      </c>
      <c r="K556">
        <v>864.5</v>
      </c>
      <c r="L556">
        <v>5311.27</v>
      </c>
      <c r="M556" t="s">
        <v>4238</v>
      </c>
      <c r="N556" t="s">
        <v>1520</v>
      </c>
      <c r="O556" t="s">
        <v>2432</v>
      </c>
      <c r="P556" t="s">
        <v>2527</v>
      </c>
      <c r="Q556" t="s">
        <v>5448</v>
      </c>
      <c r="R556" t="s">
        <v>3425</v>
      </c>
    </row>
    <row r="557" spans="1:19" hidden="1" x14ac:dyDescent="0.25">
      <c r="A557" t="s">
        <v>5449</v>
      </c>
      <c r="B557" t="s">
        <v>3613</v>
      </c>
      <c r="C557" t="s">
        <v>3868</v>
      </c>
      <c r="D557" t="s">
        <v>3870</v>
      </c>
      <c r="E557" t="s">
        <v>1502</v>
      </c>
      <c r="F557" t="s">
        <v>410</v>
      </c>
      <c r="G557">
        <v>40</v>
      </c>
      <c r="H557">
        <v>196.04</v>
      </c>
      <c r="I557">
        <v>7841.6</v>
      </c>
      <c r="J557">
        <v>1.1000000000000001</v>
      </c>
      <c r="K557">
        <v>1254.6600000000001</v>
      </c>
      <c r="L557">
        <v>9010</v>
      </c>
      <c r="M557" t="s">
        <v>3428</v>
      </c>
      <c r="N557" t="s">
        <v>1121</v>
      </c>
      <c r="O557" t="s">
        <v>2416</v>
      </c>
      <c r="P557" t="s">
        <v>2515</v>
      </c>
      <c r="Q557" t="s">
        <v>5450</v>
      </c>
      <c r="R557" t="s">
        <v>4275</v>
      </c>
      <c r="S557" t="s">
        <v>4235</v>
      </c>
    </row>
    <row r="558" spans="1:19" hidden="1" x14ac:dyDescent="0.25">
      <c r="A558" t="s">
        <v>5451</v>
      </c>
      <c r="B558" t="s">
        <v>4103</v>
      </c>
      <c r="C558" t="s">
        <v>3540</v>
      </c>
      <c r="D558" t="s">
        <v>3504</v>
      </c>
      <c r="E558" t="s">
        <v>2202</v>
      </c>
      <c r="F558" t="s">
        <v>945</v>
      </c>
      <c r="G558">
        <v>12</v>
      </c>
      <c r="H558">
        <v>613.54</v>
      </c>
      <c r="I558">
        <v>7362.48</v>
      </c>
      <c r="J558">
        <v>6.7</v>
      </c>
      <c r="K558">
        <v>1178</v>
      </c>
      <c r="L558">
        <v>8047.19</v>
      </c>
      <c r="M558" t="s">
        <v>4257</v>
      </c>
      <c r="N558" t="s">
        <v>4233</v>
      </c>
      <c r="O558" t="s">
        <v>2398</v>
      </c>
      <c r="P558" t="s">
        <v>2475</v>
      </c>
      <c r="Q558" t="s">
        <v>5452</v>
      </c>
      <c r="R558" t="s">
        <v>3434</v>
      </c>
    </row>
    <row r="559" spans="1:19" x14ac:dyDescent="0.25">
      <c r="A559" t="s">
        <v>5453</v>
      </c>
      <c r="B559" s="2" t="s">
        <v>3305</v>
      </c>
      <c r="C559" t="s">
        <v>3761</v>
      </c>
      <c r="D559" t="s">
        <v>2866</v>
      </c>
      <c r="E559" t="s">
        <v>2237</v>
      </c>
      <c r="F559" t="s">
        <v>586</v>
      </c>
      <c r="G559">
        <v>14</v>
      </c>
      <c r="H559">
        <v>426.26</v>
      </c>
      <c r="I559">
        <v>5967.64</v>
      </c>
      <c r="J559">
        <v>0.4</v>
      </c>
      <c r="K559">
        <v>954.82</v>
      </c>
      <c r="L559">
        <v>6898.59</v>
      </c>
      <c r="M559" t="s">
        <v>3428</v>
      </c>
      <c r="N559" t="s">
        <v>4248</v>
      </c>
      <c r="O559" t="s">
        <v>2407</v>
      </c>
      <c r="P559" t="s">
        <v>2475</v>
      </c>
      <c r="Q559" t="s">
        <v>5454</v>
      </c>
      <c r="R559" t="s">
        <v>4245</v>
      </c>
      <c r="S559" t="s">
        <v>4235</v>
      </c>
    </row>
    <row r="560" spans="1:19" hidden="1" x14ac:dyDescent="0.25">
      <c r="A560" t="s">
        <v>5455</v>
      </c>
      <c r="B560" t="s">
        <v>3721</v>
      </c>
      <c r="C560" t="s">
        <v>3721</v>
      </c>
      <c r="D560" t="s">
        <v>3966</v>
      </c>
      <c r="E560" t="s">
        <v>2287</v>
      </c>
      <c r="F560" t="s">
        <v>152</v>
      </c>
      <c r="G560">
        <v>16</v>
      </c>
      <c r="H560">
        <v>588.04</v>
      </c>
      <c r="I560">
        <v>9408.64</v>
      </c>
      <c r="J560">
        <v>13</v>
      </c>
      <c r="K560">
        <v>1505.38</v>
      </c>
      <c r="L560">
        <v>9690.9</v>
      </c>
      <c r="M560" t="s">
        <v>4238</v>
      </c>
      <c r="N560" t="s">
        <v>4248</v>
      </c>
      <c r="O560" t="s">
        <v>2407</v>
      </c>
      <c r="P560" t="s">
        <v>2527</v>
      </c>
      <c r="Q560" t="s">
        <v>5456</v>
      </c>
      <c r="R560" t="s">
        <v>3434</v>
      </c>
    </row>
    <row r="561" spans="1:19" hidden="1" x14ac:dyDescent="0.25">
      <c r="A561" t="s">
        <v>5457</v>
      </c>
      <c r="B561" t="s">
        <v>3815</v>
      </c>
      <c r="C561" t="s">
        <v>3815</v>
      </c>
      <c r="D561" t="s">
        <v>4180</v>
      </c>
      <c r="E561" t="s">
        <v>1907</v>
      </c>
      <c r="F561" t="s">
        <v>561</v>
      </c>
      <c r="G561">
        <v>15</v>
      </c>
      <c r="H561">
        <v>658.72</v>
      </c>
      <c r="I561">
        <v>9880.7999999999993</v>
      </c>
      <c r="J561">
        <v>8.5</v>
      </c>
      <c r="K561">
        <v>1580.93</v>
      </c>
      <c r="L561">
        <v>10621.86</v>
      </c>
      <c r="M561" t="s">
        <v>4232</v>
      </c>
      <c r="N561" t="s">
        <v>1520</v>
      </c>
      <c r="O561" t="s">
        <v>2425</v>
      </c>
      <c r="P561" t="s">
        <v>2568</v>
      </c>
      <c r="Q561" t="s">
        <v>5458</v>
      </c>
      <c r="R561" t="s">
        <v>3425</v>
      </c>
    </row>
    <row r="562" spans="1:19" hidden="1" x14ac:dyDescent="0.25">
      <c r="A562" t="s">
        <v>5459</v>
      </c>
      <c r="B562" t="s">
        <v>3608</v>
      </c>
      <c r="C562" t="s">
        <v>3662</v>
      </c>
      <c r="D562" t="s">
        <v>4760</v>
      </c>
      <c r="E562" t="s">
        <v>1956</v>
      </c>
      <c r="F562" t="s">
        <v>1010</v>
      </c>
      <c r="G562">
        <v>18</v>
      </c>
      <c r="H562">
        <v>772.32</v>
      </c>
      <c r="I562">
        <v>13901.76</v>
      </c>
      <c r="J562">
        <v>18</v>
      </c>
      <c r="K562">
        <v>2224.2800000000002</v>
      </c>
      <c r="L562">
        <v>13623.72</v>
      </c>
      <c r="M562" t="s">
        <v>4227</v>
      </c>
      <c r="N562" t="s">
        <v>4243</v>
      </c>
      <c r="O562" t="s">
        <v>2456</v>
      </c>
      <c r="P562" t="s">
        <v>2535</v>
      </c>
      <c r="Q562" t="s">
        <v>5460</v>
      </c>
      <c r="R562" t="s">
        <v>3425</v>
      </c>
      <c r="S562" t="s">
        <v>4230</v>
      </c>
    </row>
    <row r="563" spans="1:19" hidden="1" x14ac:dyDescent="0.25">
      <c r="A563" t="s">
        <v>5461</v>
      </c>
      <c r="B563" t="s">
        <v>2754</v>
      </c>
      <c r="C563" t="s">
        <v>3252</v>
      </c>
      <c r="D563" t="s">
        <v>2976</v>
      </c>
      <c r="E563" t="s">
        <v>1820</v>
      </c>
      <c r="F563" t="s">
        <v>1026</v>
      </c>
      <c r="G563">
        <v>26</v>
      </c>
      <c r="H563">
        <v>428.89</v>
      </c>
      <c r="I563">
        <v>11151.14</v>
      </c>
      <c r="J563">
        <v>20</v>
      </c>
      <c r="K563">
        <v>1784.18</v>
      </c>
      <c r="L563">
        <v>10705.09</v>
      </c>
      <c r="M563" t="s">
        <v>4257</v>
      </c>
      <c r="N563" t="s">
        <v>1520</v>
      </c>
      <c r="O563" t="s">
        <v>2432</v>
      </c>
      <c r="P563" t="s">
        <v>2535</v>
      </c>
      <c r="Q563" t="s">
        <v>5462</v>
      </c>
      <c r="R563" t="s">
        <v>3434</v>
      </c>
    </row>
    <row r="564" spans="1:19" hidden="1" x14ac:dyDescent="0.25">
      <c r="A564" t="s">
        <v>5463</v>
      </c>
      <c r="B564" t="s">
        <v>4098</v>
      </c>
      <c r="C564" t="s">
        <v>3818</v>
      </c>
      <c r="D564" t="s">
        <v>4327</v>
      </c>
      <c r="E564" t="s">
        <v>1650</v>
      </c>
      <c r="F564" t="s">
        <v>586</v>
      </c>
      <c r="G564">
        <v>38</v>
      </c>
      <c r="H564">
        <v>348.33</v>
      </c>
      <c r="I564">
        <v>13236.54</v>
      </c>
      <c r="J564">
        <v>16.3</v>
      </c>
      <c r="K564">
        <v>2117.85</v>
      </c>
      <c r="L564">
        <v>13196.83</v>
      </c>
      <c r="M564" t="s">
        <v>4247</v>
      </c>
      <c r="N564" t="s">
        <v>4233</v>
      </c>
      <c r="O564" t="s">
        <v>2416</v>
      </c>
      <c r="P564" t="s">
        <v>2501</v>
      </c>
      <c r="Q564" t="s">
        <v>5464</v>
      </c>
      <c r="R564" t="s">
        <v>3425</v>
      </c>
      <c r="S564" t="s">
        <v>4235</v>
      </c>
    </row>
    <row r="565" spans="1:19" hidden="1" x14ac:dyDescent="0.25">
      <c r="A565" t="s">
        <v>5465</v>
      </c>
      <c r="B565" t="s">
        <v>4215</v>
      </c>
      <c r="C565" t="s">
        <v>3584</v>
      </c>
      <c r="D565" t="s">
        <v>2895</v>
      </c>
      <c r="E565" t="s">
        <v>2135</v>
      </c>
      <c r="F565" t="s">
        <v>905</v>
      </c>
      <c r="G565">
        <v>9</v>
      </c>
      <c r="H565">
        <v>108.86</v>
      </c>
      <c r="I565">
        <v>979.74</v>
      </c>
      <c r="J565">
        <v>8.3000000000000007</v>
      </c>
      <c r="K565">
        <v>156.76</v>
      </c>
      <c r="L565">
        <v>1055.18</v>
      </c>
      <c r="M565" t="s">
        <v>4232</v>
      </c>
      <c r="N565" t="s">
        <v>4228</v>
      </c>
      <c r="O565" t="s">
        <v>2432</v>
      </c>
      <c r="P565" t="s">
        <v>2501</v>
      </c>
      <c r="Q565" t="s">
        <v>5466</v>
      </c>
      <c r="R565" t="s">
        <v>3425</v>
      </c>
    </row>
    <row r="566" spans="1:19" hidden="1" x14ac:dyDescent="0.25">
      <c r="A566" t="s">
        <v>5467</v>
      </c>
      <c r="B566" t="s">
        <v>4885</v>
      </c>
      <c r="C566" t="s">
        <v>5468</v>
      </c>
      <c r="D566" t="s">
        <v>1487</v>
      </c>
      <c r="E566" t="s">
        <v>1748</v>
      </c>
      <c r="F566" t="s">
        <v>520</v>
      </c>
      <c r="G566">
        <v>49</v>
      </c>
      <c r="H566">
        <v>542.28</v>
      </c>
      <c r="I566">
        <v>26571.72</v>
      </c>
      <c r="J566">
        <v>9.5</v>
      </c>
      <c r="K566">
        <v>4251.4799999999996</v>
      </c>
      <c r="L566">
        <v>28298.89</v>
      </c>
      <c r="M566" t="s">
        <v>3428</v>
      </c>
      <c r="N566" t="s">
        <v>1520</v>
      </c>
      <c r="O566" t="s">
        <v>2456</v>
      </c>
      <c r="P566" t="s">
        <v>2501</v>
      </c>
      <c r="Q566" t="s">
        <v>5469</v>
      </c>
      <c r="R566" t="s">
        <v>3425</v>
      </c>
      <c r="S566" t="s">
        <v>4292</v>
      </c>
    </row>
    <row r="567" spans="1:19" hidden="1" x14ac:dyDescent="0.25">
      <c r="A567" t="s">
        <v>5470</v>
      </c>
      <c r="B567" t="s">
        <v>3196</v>
      </c>
      <c r="C567" t="s">
        <v>3171</v>
      </c>
      <c r="D567" t="s">
        <v>3580</v>
      </c>
      <c r="E567" t="s">
        <v>1640</v>
      </c>
      <c r="F567" t="s">
        <v>420</v>
      </c>
      <c r="G567">
        <v>17</v>
      </c>
      <c r="H567">
        <v>520.15</v>
      </c>
      <c r="I567">
        <v>8842.5499999999993</v>
      </c>
      <c r="J567">
        <v>1</v>
      </c>
      <c r="K567">
        <v>1414.81</v>
      </c>
      <c r="L567">
        <v>10168.93</v>
      </c>
      <c r="M567" t="s">
        <v>4227</v>
      </c>
      <c r="N567" t="s">
        <v>1121</v>
      </c>
      <c r="O567" t="s">
        <v>2456</v>
      </c>
      <c r="P567" t="s">
        <v>2541</v>
      </c>
      <c r="Q567" t="s">
        <v>5471</v>
      </c>
      <c r="R567" t="s">
        <v>3425</v>
      </c>
    </row>
    <row r="568" spans="1:19" hidden="1" x14ac:dyDescent="0.25">
      <c r="A568" t="s">
        <v>5472</v>
      </c>
      <c r="B568" t="s">
        <v>2651</v>
      </c>
      <c r="C568" t="s">
        <v>5473</v>
      </c>
      <c r="D568" t="s">
        <v>3069</v>
      </c>
      <c r="E568" t="s">
        <v>1650</v>
      </c>
      <c r="F568" t="s">
        <v>626</v>
      </c>
      <c r="G568">
        <v>1</v>
      </c>
      <c r="H568">
        <v>123.46</v>
      </c>
      <c r="I568">
        <v>123.46</v>
      </c>
      <c r="J568">
        <v>17.899999999999999</v>
      </c>
      <c r="K568">
        <v>19.75</v>
      </c>
      <c r="L568">
        <v>121.11</v>
      </c>
      <c r="M568" t="s">
        <v>4247</v>
      </c>
      <c r="N568" t="s">
        <v>4243</v>
      </c>
      <c r="O568" t="s">
        <v>2440</v>
      </c>
      <c r="P568" t="s">
        <v>2527</v>
      </c>
      <c r="Q568" t="s">
        <v>5474</v>
      </c>
      <c r="R568" t="s">
        <v>3425</v>
      </c>
    </row>
    <row r="569" spans="1:19" hidden="1" x14ac:dyDescent="0.25">
      <c r="A569" t="s">
        <v>5475</v>
      </c>
      <c r="B569" t="s">
        <v>2768</v>
      </c>
      <c r="C569" t="s">
        <v>5010</v>
      </c>
      <c r="D569" t="s">
        <v>3640</v>
      </c>
      <c r="E569" t="s">
        <v>1829</v>
      </c>
      <c r="F569" t="s">
        <v>1051</v>
      </c>
      <c r="G569">
        <v>37</v>
      </c>
      <c r="H569">
        <v>156.57</v>
      </c>
      <c r="I569">
        <v>5793.09</v>
      </c>
      <c r="J569">
        <v>6</v>
      </c>
      <c r="K569">
        <v>926.89</v>
      </c>
      <c r="L569">
        <v>6372.39</v>
      </c>
      <c r="M569" t="s">
        <v>4238</v>
      </c>
      <c r="N569" t="s">
        <v>4228</v>
      </c>
      <c r="O569" t="s">
        <v>2440</v>
      </c>
      <c r="P569" t="s">
        <v>2522</v>
      </c>
      <c r="Q569" t="s">
        <v>5476</v>
      </c>
      <c r="R569" t="s">
        <v>3425</v>
      </c>
    </row>
    <row r="570" spans="1:19" hidden="1" x14ac:dyDescent="0.25">
      <c r="A570" t="s">
        <v>5477</v>
      </c>
      <c r="B570" t="s">
        <v>3495</v>
      </c>
      <c r="C570" t="s">
        <v>4078</v>
      </c>
      <c r="D570" t="s">
        <v>3745</v>
      </c>
      <c r="E570" t="s">
        <v>2160</v>
      </c>
      <c r="F570" t="s">
        <v>895</v>
      </c>
      <c r="G570">
        <v>35</v>
      </c>
      <c r="H570">
        <v>447.82</v>
      </c>
      <c r="I570">
        <v>15673.7</v>
      </c>
      <c r="J570">
        <v>6.5</v>
      </c>
      <c r="K570">
        <v>2507.79</v>
      </c>
      <c r="L570">
        <v>17162.7</v>
      </c>
      <c r="M570" t="s">
        <v>3442</v>
      </c>
      <c r="N570" t="s">
        <v>4243</v>
      </c>
      <c r="O570" t="s">
        <v>2398</v>
      </c>
      <c r="P570" t="s">
        <v>2519</v>
      </c>
      <c r="Q570" t="s">
        <v>5478</v>
      </c>
      <c r="R570" t="s">
        <v>4275</v>
      </c>
    </row>
    <row r="571" spans="1:19" hidden="1" x14ac:dyDescent="0.25">
      <c r="A571" t="s">
        <v>5479</v>
      </c>
      <c r="B571" t="s">
        <v>4226</v>
      </c>
      <c r="C571" t="s">
        <v>3031</v>
      </c>
      <c r="D571" t="s">
        <v>4531</v>
      </c>
      <c r="E571" t="s">
        <v>1554</v>
      </c>
      <c r="F571" t="s">
        <v>774</v>
      </c>
      <c r="G571">
        <v>12</v>
      </c>
      <c r="H571">
        <v>286.83</v>
      </c>
      <c r="I571">
        <v>3441.96</v>
      </c>
      <c r="J571">
        <v>16.600000000000001</v>
      </c>
      <c r="K571">
        <v>550.71</v>
      </c>
      <c r="L571">
        <v>3421.3</v>
      </c>
      <c r="M571" t="s">
        <v>3428</v>
      </c>
      <c r="N571" t="s">
        <v>4228</v>
      </c>
      <c r="O571" t="s">
        <v>2388</v>
      </c>
      <c r="P571" t="s">
        <v>2551</v>
      </c>
      <c r="Q571" t="s">
        <v>5480</v>
      </c>
      <c r="R571" t="s">
        <v>3429</v>
      </c>
    </row>
    <row r="572" spans="1:19" hidden="1" x14ac:dyDescent="0.25">
      <c r="A572" t="s">
        <v>5481</v>
      </c>
      <c r="B572" t="s">
        <v>3031</v>
      </c>
      <c r="C572" t="s">
        <v>3501</v>
      </c>
      <c r="D572" t="s">
        <v>3555</v>
      </c>
      <c r="E572" t="s">
        <v>2135</v>
      </c>
      <c r="F572" t="s">
        <v>1106</v>
      </c>
      <c r="G572">
        <v>35</v>
      </c>
      <c r="H572">
        <v>836.97</v>
      </c>
      <c r="I572">
        <v>29293.95</v>
      </c>
      <c r="J572">
        <v>19.600000000000001</v>
      </c>
      <c r="K572">
        <v>4687.03</v>
      </c>
      <c r="L572">
        <v>28239.37</v>
      </c>
      <c r="M572" t="s">
        <v>4232</v>
      </c>
      <c r="N572" t="s">
        <v>1121</v>
      </c>
      <c r="O572" t="s">
        <v>2376</v>
      </c>
      <c r="P572" t="s">
        <v>2486</v>
      </c>
      <c r="Q572" t="s">
        <v>5482</v>
      </c>
      <c r="R572" t="s">
        <v>3425</v>
      </c>
      <c r="S572" t="s">
        <v>3466</v>
      </c>
    </row>
    <row r="573" spans="1:19" hidden="1" x14ac:dyDescent="0.25">
      <c r="A573" t="s">
        <v>5483</v>
      </c>
      <c r="B573" t="s">
        <v>4162</v>
      </c>
      <c r="C573" t="s">
        <v>5025</v>
      </c>
      <c r="D573" t="s">
        <v>4131</v>
      </c>
      <c r="E573" t="s">
        <v>2185</v>
      </c>
      <c r="F573" t="s">
        <v>631</v>
      </c>
      <c r="G573">
        <v>27</v>
      </c>
      <c r="H573">
        <v>180.4</v>
      </c>
      <c r="I573">
        <v>4870.8</v>
      </c>
      <c r="J573">
        <v>10.5</v>
      </c>
      <c r="K573">
        <v>779.33</v>
      </c>
      <c r="L573">
        <v>5138.7</v>
      </c>
      <c r="M573" t="s">
        <v>3442</v>
      </c>
      <c r="N573" t="s">
        <v>4243</v>
      </c>
      <c r="O573" t="s">
        <v>2416</v>
      </c>
      <c r="P573" t="s">
        <v>2475</v>
      </c>
      <c r="Q573" t="s">
        <v>5484</v>
      </c>
      <c r="R573" t="s">
        <v>3434</v>
      </c>
      <c r="S573" t="s">
        <v>3466</v>
      </c>
    </row>
    <row r="574" spans="1:19" hidden="1" x14ac:dyDescent="0.25">
      <c r="A574" t="s">
        <v>5485</v>
      </c>
      <c r="B574" t="s">
        <v>4215</v>
      </c>
      <c r="C574" t="s">
        <v>1552</v>
      </c>
      <c r="D574" t="s">
        <v>3386</v>
      </c>
      <c r="E574" t="s">
        <v>1795</v>
      </c>
      <c r="F574" t="s">
        <v>248</v>
      </c>
      <c r="G574">
        <v>46</v>
      </c>
      <c r="H574">
        <v>230.69</v>
      </c>
      <c r="I574">
        <v>10611.74</v>
      </c>
      <c r="J574">
        <v>4.5</v>
      </c>
      <c r="K574">
        <v>1697.88</v>
      </c>
      <c r="L574">
        <v>11832.09</v>
      </c>
      <c r="M574" t="s">
        <v>4247</v>
      </c>
      <c r="N574" t="s">
        <v>4228</v>
      </c>
      <c r="O574" t="s">
        <v>2425</v>
      </c>
      <c r="P574" t="s">
        <v>2527</v>
      </c>
      <c r="Q574" t="s">
        <v>5486</v>
      </c>
      <c r="R574" t="s">
        <v>3425</v>
      </c>
      <c r="S574" t="s">
        <v>3466</v>
      </c>
    </row>
    <row r="575" spans="1:19" hidden="1" x14ac:dyDescent="0.25">
      <c r="A575" t="s">
        <v>5487</v>
      </c>
      <c r="B575" t="s">
        <v>3955</v>
      </c>
      <c r="C575" t="s">
        <v>3955</v>
      </c>
      <c r="D575" t="s">
        <v>3698</v>
      </c>
      <c r="E575" t="s">
        <v>2051</v>
      </c>
      <c r="F575" t="s">
        <v>744</v>
      </c>
      <c r="G575">
        <v>13</v>
      </c>
      <c r="H575">
        <v>613.89</v>
      </c>
      <c r="I575">
        <v>7980.57</v>
      </c>
      <c r="J575">
        <v>1.5</v>
      </c>
      <c r="K575">
        <v>1276.8900000000001</v>
      </c>
      <c r="L575">
        <v>9137.75</v>
      </c>
      <c r="M575" t="s">
        <v>3428</v>
      </c>
      <c r="N575" t="s">
        <v>4233</v>
      </c>
      <c r="O575" t="s">
        <v>2456</v>
      </c>
      <c r="P575" t="s">
        <v>2568</v>
      </c>
      <c r="Q575" t="s">
        <v>5488</v>
      </c>
      <c r="R575" t="s">
        <v>3425</v>
      </c>
    </row>
    <row r="576" spans="1:19" hidden="1" x14ac:dyDescent="0.25">
      <c r="A576" t="s">
        <v>5489</v>
      </c>
      <c r="B576" t="s">
        <v>4153</v>
      </c>
      <c r="C576" t="s">
        <v>4153</v>
      </c>
      <c r="D576" t="s">
        <v>4593</v>
      </c>
      <c r="E576" t="s">
        <v>2270</v>
      </c>
      <c r="F576" t="s">
        <v>535</v>
      </c>
      <c r="G576">
        <v>40</v>
      </c>
      <c r="H576">
        <v>695.37</v>
      </c>
      <c r="I576">
        <v>27814.799999999999</v>
      </c>
      <c r="J576">
        <v>11.7</v>
      </c>
      <c r="K576">
        <v>4450.37</v>
      </c>
      <c r="L576">
        <v>29010.84</v>
      </c>
      <c r="M576" t="s">
        <v>3442</v>
      </c>
      <c r="N576" t="s">
        <v>4228</v>
      </c>
      <c r="O576" t="s">
        <v>2440</v>
      </c>
      <c r="P576" t="s">
        <v>2506</v>
      </c>
      <c r="Q576" t="s">
        <v>5490</v>
      </c>
      <c r="R576" t="s">
        <v>3425</v>
      </c>
    </row>
    <row r="577" spans="1:19" hidden="1" x14ac:dyDescent="0.25">
      <c r="A577" t="s">
        <v>5491</v>
      </c>
      <c r="B577" t="s">
        <v>3516</v>
      </c>
      <c r="C577" t="s">
        <v>2858</v>
      </c>
      <c r="D577" t="s">
        <v>2801</v>
      </c>
      <c r="E577" t="s">
        <v>1846</v>
      </c>
      <c r="F577" t="s">
        <v>1051</v>
      </c>
      <c r="G577">
        <v>12</v>
      </c>
      <c r="H577">
        <v>748.29</v>
      </c>
      <c r="I577">
        <v>8979.48</v>
      </c>
      <c r="J577">
        <v>17</v>
      </c>
      <c r="K577">
        <v>1436.72</v>
      </c>
      <c r="L577">
        <v>8889.69</v>
      </c>
      <c r="M577" t="s">
        <v>3428</v>
      </c>
      <c r="N577" t="s">
        <v>4248</v>
      </c>
      <c r="O577" t="s">
        <v>2449</v>
      </c>
      <c r="P577" t="s">
        <v>2551</v>
      </c>
      <c r="Q577" t="s">
        <v>5492</v>
      </c>
      <c r="R577" t="s">
        <v>3429</v>
      </c>
    </row>
    <row r="578" spans="1:19" hidden="1" x14ac:dyDescent="0.25">
      <c r="A578" t="s">
        <v>5493</v>
      </c>
      <c r="B578" t="s">
        <v>1828</v>
      </c>
      <c r="C578" t="s">
        <v>3174</v>
      </c>
      <c r="D578" t="s">
        <v>3174</v>
      </c>
      <c r="E578" t="s">
        <v>1999</v>
      </c>
      <c r="F578" t="s">
        <v>1071</v>
      </c>
      <c r="G578">
        <v>35</v>
      </c>
      <c r="H578">
        <v>432.79</v>
      </c>
      <c r="I578">
        <v>15147.65</v>
      </c>
      <c r="J578">
        <v>2.6</v>
      </c>
      <c r="K578">
        <v>2423.62</v>
      </c>
      <c r="L578">
        <v>17177.43</v>
      </c>
      <c r="M578" t="s">
        <v>4257</v>
      </c>
      <c r="N578" t="s">
        <v>4243</v>
      </c>
      <c r="O578" t="s">
        <v>2440</v>
      </c>
      <c r="P578" t="s">
        <v>2531</v>
      </c>
      <c r="Q578" t="s">
        <v>5494</v>
      </c>
      <c r="R578" t="s">
        <v>3425</v>
      </c>
      <c r="S578" t="s">
        <v>3466</v>
      </c>
    </row>
    <row r="579" spans="1:19" hidden="1" x14ac:dyDescent="0.25">
      <c r="A579" t="s">
        <v>5495</v>
      </c>
      <c r="B579" t="s">
        <v>2874</v>
      </c>
      <c r="C579" t="s">
        <v>2874</v>
      </c>
      <c r="D579" t="s">
        <v>1721</v>
      </c>
      <c r="E579" t="s">
        <v>2202</v>
      </c>
      <c r="F579" t="s">
        <v>103</v>
      </c>
      <c r="G579">
        <v>45</v>
      </c>
      <c r="H579">
        <v>545.89</v>
      </c>
      <c r="I579">
        <v>24565.05</v>
      </c>
      <c r="J579">
        <v>15.6</v>
      </c>
      <c r="K579">
        <v>3930.41</v>
      </c>
      <c r="L579">
        <v>24663.31</v>
      </c>
      <c r="M579" t="s">
        <v>4247</v>
      </c>
      <c r="N579" t="s">
        <v>1121</v>
      </c>
      <c r="O579" t="s">
        <v>2398</v>
      </c>
      <c r="P579" t="s">
        <v>2544</v>
      </c>
      <c r="Q579" t="s">
        <v>5496</v>
      </c>
      <c r="R579" t="s">
        <v>3425</v>
      </c>
      <c r="S579" t="s">
        <v>4292</v>
      </c>
    </row>
    <row r="580" spans="1:19" hidden="1" x14ac:dyDescent="0.25">
      <c r="A580" t="s">
        <v>5497</v>
      </c>
      <c r="B580" t="s">
        <v>1552</v>
      </c>
      <c r="C580" t="s">
        <v>3584</v>
      </c>
      <c r="D580" t="s">
        <v>3959</v>
      </c>
      <c r="E580" t="s">
        <v>1907</v>
      </c>
      <c r="F580" t="s">
        <v>601</v>
      </c>
      <c r="G580">
        <v>13</v>
      </c>
      <c r="H580">
        <v>877.28</v>
      </c>
      <c r="I580">
        <v>11404.64</v>
      </c>
      <c r="J580">
        <v>0.7</v>
      </c>
      <c r="K580">
        <v>1824.74</v>
      </c>
      <c r="L580">
        <v>13149.55</v>
      </c>
      <c r="M580" t="s">
        <v>4257</v>
      </c>
      <c r="N580" t="s">
        <v>4248</v>
      </c>
      <c r="O580" t="s">
        <v>2425</v>
      </c>
      <c r="P580" t="s">
        <v>2544</v>
      </c>
      <c r="Q580" t="s">
        <v>5498</v>
      </c>
      <c r="R580" t="s">
        <v>3425</v>
      </c>
      <c r="S580" t="s">
        <v>4230</v>
      </c>
    </row>
    <row r="581" spans="1:19" x14ac:dyDescent="0.25">
      <c r="A581" t="s">
        <v>5499</v>
      </c>
      <c r="B581" s="2" t="s">
        <v>4327</v>
      </c>
      <c r="C581" t="s">
        <v>3495</v>
      </c>
      <c r="D581" t="s">
        <v>3598</v>
      </c>
      <c r="E581" t="s">
        <v>2007</v>
      </c>
      <c r="F581" t="s">
        <v>438</v>
      </c>
      <c r="G581">
        <v>18</v>
      </c>
      <c r="H581">
        <v>674.65</v>
      </c>
      <c r="I581">
        <v>12143.7</v>
      </c>
      <c r="J581">
        <v>12.4</v>
      </c>
      <c r="K581">
        <v>1942.99</v>
      </c>
      <c r="L581">
        <v>12580.87</v>
      </c>
      <c r="M581" t="s">
        <v>4232</v>
      </c>
      <c r="N581" t="s">
        <v>4243</v>
      </c>
      <c r="O581" t="s">
        <v>2388</v>
      </c>
      <c r="P581" t="s">
        <v>2527</v>
      </c>
      <c r="Q581" t="s">
        <v>5500</v>
      </c>
      <c r="R581" t="s">
        <v>4245</v>
      </c>
      <c r="S581" t="s">
        <v>3466</v>
      </c>
    </row>
    <row r="582" spans="1:19" hidden="1" x14ac:dyDescent="0.25">
      <c r="A582" t="s">
        <v>5501</v>
      </c>
      <c r="B582" t="s">
        <v>3879</v>
      </c>
      <c r="C582" t="s">
        <v>3219</v>
      </c>
      <c r="D582" t="s">
        <v>5010</v>
      </c>
      <c r="E582" t="s">
        <v>1475</v>
      </c>
      <c r="F582" t="s">
        <v>131</v>
      </c>
      <c r="G582">
        <v>19</v>
      </c>
      <c r="H582">
        <v>109.05</v>
      </c>
      <c r="I582">
        <v>2071.9499999999998</v>
      </c>
      <c r="J582">
        <v>4.9000000000000004</v>
      </c>
      <c r="K582">
        <v>331.51</v>
      </c>
      <c r="L582">
        <v>2301.9299999999998</v>
      </c>
      <c r="M582" t="s">
        <v>4227</v>
      </c>
      <c r="N582" t="s">
        <v>4233</v>
      </c>
      <c r="O582" t="s">
        <v>2449</v>
      </c>
      <c r="P582" t="s">
        <v>2515</v>
      </c>
      <c r="Q582" t="s">
        <v>5502</v>
      </c>
      <c r="R582" t="s">
        <v>3425</v>
      </c>
    </row>
    <row r="583" spans="1:19" hidden="1" x14ac:dyDescent="0.25">
      <c r="A583" t="s">
        <v>5503</v>
      </c>
      <c r="B583" t="s">
        <v>2702</v>
      </c>
      <c r="C583" t="s">
        <v>2900</v>
      </c>
      <c r="D583" t="s">
        <v>2767</v>
      </c>
      <c r="E583" t="s">
        <v>1705</v>
      </c>
      <c r="F583" t="s">
        <v>186</v>
      </c>
      <c r="G583">
        <v>35</v>
      </c>
      <c r="H583">
        <v>119.31</v>
      </c>
      <c r="I583">
        <v>4175.8500000000004</v>
      </c>
      <c r="J583">
        <v>4.2</v>
      </c>
      <c r="K583">
        <v>668.14</v>
      </c>
      <c r="L583">
        <v>4668.6000000000004</v>
      </c>
      <c r="M583" t="s">
        <v>3442</v>
      </c>
      <c r="N583" t="s">
        <v>4243</v>
      </c>
      <c r="O583" t="s">
        <v>2376</v>
      </c>
      <c r="P583" t="s">
        <v>2512</v>
      </c>
      <c r="Q583" t="s">
        <v>5504</v>
      </c>
      <c r="R583" t="s">
        <v>3429</v>
      </c>
      <c r="S583" t="s">
        <v>4292</v>
      </c>
    </row>
    <row r="584" spans="1:19" hidden="1" x14ac:dyDescent="0.25">
      <c r="A584" t="s">
        <v>5505</v>
      </c>
      <c r="B584" t="s">
        <v>5332</v>
      </c>
      <c r="C584" t="s">
        <v>5332</v>
      </c>
      <c r="D584" t="s">
        <v>3628</v>
      </c>
      <c r="E584" t="s">
        <v>2202</v>
      </c>
      <c r="F584" t="s">
        <v>1000</v>
      </c>
      <c r="G584">
        <v>48</v>
      </c>
      <c r="H584">
        <v>116.83</v>
      </c>
      <c r="I584">
        <v>5607.84</v>
      </c>
      <c r="J584">
        <v>8.9</v>
      </c>
      <c r="K584">
        <v>897.25</v>
      </c>
      <c r="L584">
        <v>6005.99</v>
      </c>
      <c r="M584" t="s">
        <v>3428</v>
      </c>
      <c r="N584" t="s">
        <v>4248</v>
      </c>
      <c r="O584" t="s">
        <v>2398</v>
      </c>
      <c r="P584" t="s">
        <v>2551</v>
      </c>
      <c r="Q584" t="s">
        <v>5506</v>
      </c>
      <c r="R584" t="s">
        <v>3425</v>
      </c>
      <c r="S584" t="s">
        <v>4235</v>
      </c>
    </row>
    <row r="585" spans="1:19" hidden="1" x14ac:dyDescent="0.25">
      <c r="A585" t="s">
        <v>5507</v>
      </c>
      <c r="B585" t="s">
        <v>2659</v>
      </c>
      <c r="C585" t="s">
        <v>3074</v>
      </c>
      <c r="D585" t="s">
        <v>3309</v>
      </c>
      <c r="E585" t="s">
        <v>1829</v>
      </c>
      <c r="F585" t="s">
        <v>1000</v>
      </c>
      <c r="G585">
        <v>28</v>
      </c>
      <c r="H585">
        <v>667.44</v>
      </c>
      <c r="I585">
        <v>18688.32</v>
      </c>
      <c r="J585">
        <v>4.0999999999999996</v>
      </c>
      <c r="K585">
        <v>2990.13</v>
      </c>
      <c r="L585">
        <v>20912.23</v>
      </c>
      <c r="M585" t="s">
        <v>4247</v>
      </c>
      <c r="N585" t="s">
        <v>1520</v>
      </c>
      <c r="O585" t="s">
        <v>2398</v>
      </c>
      <c r="P585" t="s">
        <v>2506</v>
      </c>
      <c r="Q585" t="s">
        <v>5508</v>
      </c>
      <c r="R585" t="s">
        <v>3434</v>
      </c>
      <c r="S585" t="s">
        <v>4292</v>
      </c>
    </row>
    <row r="586" spans="1:19" hidden="1" x14ac:dyDescent="0.25">
      <c r="A586" t="s">
        <v>5509</v>
      </c>
      <c r="B586" t="s">
        <v>4133</v>
      </c>
      <c r="C586" t="s">
        <v>4967</v>
      </c>
      <c r="D586" t="s">
        <v>3528</v>
      </c>
      <c r="E586" t="s">
        <v>1502</v>
      </c>
      <c r="F586" t="s">
        <v>754</v>
      </c>
      <c r="G586">
        <v>33</v>
      </c>
      <c r="H586">
        <v>820</v>
      </c>
      <c r="I586">
        <v>27060</v>
      </c>
      <c r="J586">
        <v>15.2</v>
      </c>
      <c r="K586">
        <v>4329.6000000000004</v>
      </c>
      <c r="L586">
        <v>27276.48</v>
      </c>
      <c r="M586" t="s">
        <v>4232</v>
      </c>
      <c r="N586" t="s">
        <v>4243</v>
      </c>
      <c r="O586" t="s">
        <v>2456</v>
      </c>
      <c r="P586" t="s">
        <v>2544</v>
      </c>
      <c r="Q586" t="s">
        <v>5510</v>
      </c>
      <c r="R586" t="s">
        <v>3425</v>
      </c>
    </row>
    <row r="587" spans="1:19" hidden="1" x14ac:dyDescent="0.25">
      <c r="A587" t="s">
        <v>5511</v>
      </c>
      <c r="B587" t="s">
        <v>5332</v>
      </c>
      <c r="C587" t="s">
        <v>3972</v>
      </c>
      <c r="D587" t="s">
        <v>3663</v>
      </c>
      <c r="E587" t="s">
        <v>2253</v>
      </c>
      <c r="F587" t="s">
        <v>1031</v>
      </c>
      <c r="G587">
        <v>8</v>
      </c>
      <c r="H587">
        <v>579.59</v>
      </c>
      <c r="I587">
        <v>4636.72</v>
      </c>
      <c r="J587">
        <v>12.3</v>
      </c>
      <c r="K587">
        <v>741.88</v>
      </c>
      <c r="L587">
        <v>4808.28</v>
      </c>
      <c r="M587" t="s">
        <v>3442</v>
      </c>
      <c r="N587" t="s">
        <v>4233</v>
      </c>
      <c r="O587" t="s">
        <v>2388</v>
      </c>
      <c r="P587" t="s">
        <v>2506</v>
      </c>
      <c r="Q587" t="s">
        <v>5512</v>
      </c>
      <c r="R587" t="s">
        <v>3429</v>
      </c>
      <c r="S587" t="s">
        <v>4235</v>
      </c>
    </row>
    <row r="588" spans="1:19" hidden="1" x14ac:dyDescent="0.25">
      <c r="A588" t="s">
        <v>5513</v>
      </c>
      <c r="B588" t="s">
        <v>3617</v>
      </c>
      <c r="C588" t="s">
        <v>3617</v>
      </c>
      <c r="D588" t="s">
        <v>4048</v>
      </c>
      <c r="E588" t="s">
        <v>1608</v>
      </c>
      <c r="F588" t="s">
        <v>209</v>
      </c>
      <c r="G588">
        <v>22</v>
      </c>
      <c r="H588">
        <v>529.69000000000005</v>
      </c>
      <c r="I588">
        <v>11653.18</v>
      </c>
      <c r="J588">
        <v>11.1</v>
      </c>
      <c r="K588">
        <v>1864.51</v>
      </c>
      <c r="L588">
        <v>12224.19</v>
      </c>
      <c r="M588" t="s">
        <v>3442</v>
      </c>
      <c r="N588" t="s">
        <v>1520</v>
      </c>
      <c r="O588" t="s">
        <v>2407</v>
      </c>
      <c r="P588" t="s">
        <v>2501</v>
      </c>
      <c r="Q588" t="s">
        <v>5514</v>
      </c>
      <c r="R588" t="s">
        <v>3425</v>
      </c>
      <c r="S588" t="s">
        <v>4235</v>
      </c>
    </row>
    <row r="589" spans="1:19" x14ac:dyDescent="0.25">
      <c r="A589" t="s">
        <v>5515</v>
      </c>
      <c r="B589" s="2" t="s">
        <v>4038</v>
      </c>
      <c r="C589" t="s">
        <v>3399</v>
      </c>
      <c r="D589" t="s">
        <v>3399</v>
      </c>
      <c r="E589" t="s">
        <v>1524</v>
      </c>
      <c r="F589" t="s">
        <v>485</v>
      </c>
      <c r="G589">
        <v>30</v>
      </c>
      <c r="H589">
        <v>738.98</v>
      </c>
      <c r="I589">
        <v>22169.4</v>
      </c>
      <c r="J589">
        <v>13.4</v>
      </c>
      <c r="K589">
        <v>3547.1</v>
      </c>
      <c r="L589">
        <v>22745.8</v>
      </c>
      <c r="M589" t="s">
        <v>4227</v>
      </c>
      <c r="N589" t="s">
        <v>1121</v>
      </c>
      <c r="O589" t="s">
        <v>2456</v>
      </c>
      <c r="P589" t="s">
        <v>2538</v>
      </c>
      <c r="Q589" t="s">
        <v>5516</v>
      </c>
      <c r="R589" t="s">
        <v>4245</v>
      </c>
      <c r="S589" t="s">
        <v>3466</v>
      </c>
    </row>
    <row r="590" spans="1:19" hidden="1" x14ac:dyDescent="0.25">
      <c r="A590" t="s">
        <v>5517</v>
      </c>
      <c r="B590" t="s">
        <v>3823</v>
      </c>
      <c r="C590" t="s">
        <v>3823</v>
      </c>
      <c r="D590" t="s">
        <v>3912</v>
      </c>
      <c r="E590" t="s">
        <v>1812</v>
      </c>
      <c r="F590" t="s">
        <v>576</v>
      </c>
      <c r="G590">
        <v>46</v>
      </c>
      <c r="H590">
        <v>322.81</v>
      </c>
      <c r="I590">
        <v>14849.26</v>
      </c>
      <c r="J590">
        <v>9.6</v>
      </c>
      <c r="K590">
        <v>2375.88</v>
      </c>
      <c r="L590">
        <v>15799.61</v>
      </c>
      <c r="M590" t="s">
        <v>4232</v>
      </c>
      <c r="N590" t="s">
        <v>4243</v>
      </c>
      <c r="O590" t="s">
        <v>2398</v>
      </c>
      <c r="P590" t="s">
        <v>2554</v>
      </c>
      <c r="Q590" t="s">
        <v>5518</v>
      </c>
      <c r="R590" t="s">
        <v>3425</v>
      </c>
      <c r="S590" t="s">
        <v>3466</v>
      </c>
    </row>
    <row r="591" spans="1:19" hidden="1" x14ac:dyDescent="0.25">
      <c r="A591" t="s">
        <v>5519</v>
      </c>
      <c r="B591" t="s">
        <v>3458</v>
      </c>
      <c r="C591" t="s">
        <v>4612</v>
      </c>
      <c r="D591" t="s">
        <v>4898</v>
      </c>
      <c r="E591" t="s">
        <v>2336</v>
      </c>
      <c r="F591" t="s">
        <v>159</v>
      </c>
      <c r="G591">
        <v>19</v>
      </c>
      <c r="H591">
        <v>412.32</v>
      </c>
      <c r="I591">
        <v>7834.08</v>
      </c>
      <c r="J591">
        <v>1.5</v>
      </c>
      <c r="K591">
        <v>1253.45</v>
      </c>
      <c r="L591">
        <v>8970.02</v>
      </c>
      <c r="M591" t="s">
        <v>3442</v>
      </c>
      <c r="N591" t="s">
        <v>4228</v>
      </c>
      <c r="O591" t="s">
        <v>2416</v>
      </c>
      <c r="P591" t="s">
        <v>2531</v>
      </c>
      <c r="Q591" t="s">
        <v>5520</v>
      </c>
      <c r="R591" t="s">
        <v>3429</v>
      </c>
    </row>
    <row r="592" spans="1:19" hidden="1" x14ac:dyDescent="0.25">
      <c r="A592" t="s">
        <v>5521</v>
      </c>
      <c r="B592" t="s">
        <v>4742</v>
      </c>
      <c r="C592" t="s">
        <v>2369</v>
      </c>
      <c r="D592" t="s">
        <v>3145</v>
      </c>
      <c r="E592" t="s">
        <v>1786</v>
      </c>
      <c r="F592" t="s">
        <v>525</v>
      </c>
      <c r="G592">
        <v>45</v>
      </c>
      <c r="H592">
        <v>707.16</v>
      </c>
      <c r="I592">
        <v>31822.2</v>
      </c>
      <c r="J592">
        <v>7.5</v>
      </c>
      <c r="K592">
        <v>5091.55</v>
      </c>
      <c r="L592">
        <v>34527.08</v>
      </c>
      <c r="M592" t="s">
        <v>4257</v>
      </c>
      <c r="N592" t="s">
        <v>1121</v>
      </c>
      <c r="O592" t="s">
        <v>2432</v>
      </c>
      <c r="P592" t="s">
        <v>2486</v>
      </c>
      <c r="Q592" t="s">
        <v>5522</v>
      </c>
      <c r="R592" t="s">
        <v>3425</v>
      </c>
      <c r="S592" t="s">
        <v>4230</v>
      </c>
    </row>
    <row r="593" spans="1:19" hidden="1" x14ac:dyDescent="0.25">
      <c r="A593" t="s">
        <v>5523</v>
      </c>
      <c r="B593" t="s">
        <v>4387</v>
      </c>
      <c r="C593" t="s">
        <v>3735</v>
      </c>
      <c r="D593" t="s">
        <v>4043</v>
      </c>
      <c r="E593" t="s">
        <v>2051</v>
      </c>
      <c r="F593" t="s">
        <v>824</v>
      </c>
      <c r="G593">
        <v>29</v>
      </c>
      <c r="H593">
        <v>104.75</v>
      </c>
      <c r="I593">
        <v>3037.75</v>
      </c>
      <c r="J593">
        <v>18.100000000000001</v>
      </c>
      <c r="K593">
        <v>486.04</v>
      </c>
      <c r="L593">
        <v>2973.96</v>
      </c>
      <c r="M593" t="s">
        <v>4227</v>
      </c>
      <c r="N593" t="s">
        <v>4233</v>
      </c>
      <c r="O593" t="s">
        <v>2432</v>
      </c>
      <c r="P593" t="s">
        <v>2512</v>
      </c>
      <c r="Q593" t="s">
        <v>5524</v>
      </c>
      <c r="R593" t="s">
        <v>3429</v>
      </c>
    </row>
    <row r="594" spans="1:19" hidden="1" x14ac:dyDescent="0.25">
      <c r="A594" t="s">
        <v>5525</v>
      </c>
      <c r="B594" t="s">
        <v>5526</v>
      </c>
      <c r="C594" t="s">
        <v>5526</v>
      </c>
      <c r="D594" t="s">
        <v>3602</v>
      </c>
      <c r="E594" t="s">
        <v>1990</v>
      </c>
      <c r="F594" t="s">
        <v>51</v>
      </c>
      <c r="G594">
        <v>24</v>
      </c>
      <c r="H594">
        <v>135.21</v>
      </c>
      <c r="I594">
        <v>3245.04</v>
      </c>
      <c r="J594">
        <v>14.6</v>
      </c>
      <c r="K594">
        <v>519.21</v>
      </c>
      <c r="L594">
        <v>3290.47</v>
      </c>
      <c r="M594" t="s">
        <v>4247</v>
      </c>
      <c r="N594" t="s">
        <v>1520</v>
      </c>
      <c r="O594" t="s">
        <v>2416</v>
      </c>
      <c r="P594" t="s">
        <v>2475</v>
      </c>
      <c r="Q594" t="s">
        <v>5527</v>
      </c>
      <c r="R594" t="s">
        <v>3425</v>
      </c>
    </row>
    <row r="595" spans="1:19" hidden="1" x14ac:dyDescent="0.25">
      <c r="A595" t="s">
        <v>5528</v>
      </c>
      <c r="B595" t="s">
        <v>4316</v>
      </c>
      <c r="C595" t="s">
        <v>3451</v>
      </c>
      <c r="D595" t="s">
        <v>3673</v>
      </c>
      <c r="E595" t="s">
        <v>2160</v>
      </c>
      <c r="F595" t="s">
        <v>125</v>
      </c>
      <c r="G595">
        <v>38</v>
      </c>
      <c r="H595">
        <v>194.61</v>
      </c>
      <c r="I595">
        <v>7395.18</v>
      </c>
      <c r="J595">
        <v>3.3</v>
      </c>
      <c r="K595">
        <v>1183.23</v>
      </c>
      <c r="L595">
        <v>8334.3700000000008</v>
      </c>
      <c r="M595" t="s">
        <v>4257</v>
      </c>
      <c r="N595" t="s">
        <v>1121</v>
      </c>
      <c r="O595" t="s">
        <v>2425</v>
      </c>
      <c r="P595" t="s">
        <v>2495</v>
      </c>
      <c r="Q595" t="s">
        <v>5529</v>
      </c>
      <c r="R595" t="s">
        <v>3434</v>
      </c>
      <c r="S595" t="s">
        <v>4230</v>
      </c>
    </row>
    <row r="596" spans="1:19" hidden="1" x14ac:dyDescent="0.25">
      <c r="A596" t="s">
        <v>5530</v>
      </c>
      <c r="B596" t="s">
        <v>3511</v>
      </c>
      <c r="C596" t="s">
        <v>3294</v>
      </c>
      <c r="D596" t="s">
        <v>2702</v>
      </c>
      <c r="E596" t="s">
        <v>1687</v>
      </c>
      <c r="F596" t="s">
        <v>995</v>
      </c>
      <c r="G596">
        <v>13</v>
      </c>
      <c r="H596">
        <v>713.91</v>
      </c>
      <c r="I596">
        <v>9280.83</v>
      </c>
      <c r="J596">
        <v>9.1999999999999993</v>
      </c>
      <c r="K596">
        <v>1484.93</v>
      </c>
      <c r="L596">
        <v>9911.92</v>
      </c>
      <c r="M596" t="s">
        <v>4232</v>
      </c>
      <c r="N596" t="s">
        <v>4248</v>
      </c>
      <c r="O596" t="s">
        <v>2407</v>
      </c>
      <c r="P596" t="s">
        <v>2491</v>
      </c>
      <c r="Q596" t="s">
        <v>5531</v>
      </c>
      <c r="R596" t="s">
        <v>3429</v>
      </c>
    </row>
    <row r="597" spans="1:19" hidden="1" x14ac:dyDescent="0.25">
      <c r="A597" t="s">
        <v>5532</v>
      </c>
      <c r="B597" t="s">
        <v>2817</v>
      </c>
      <c r="C597" t="s">
        <v>2844</v>
      </c>
      <c r="D597" t="s">
        <v>2828</v>
      </c>
      <c r="E597" t="s">
        <v>1544</v>
      </c>
      <c r="F597" t="s">
        <v>910</v>
      </c>
      <c r="G597">
        <v>46</v>
      </c>
      <c r="H597">
        <v>526.76</v>
      </c>
      <c r="I597">
        <v>24230.959999999999</v>
      </c>
      <c r="J597">
        <v>0.9</v>
      </c>
      <c r="K597">
        <v>3876.95</v>
      </c>
      <c r="L597">
        <v>27889.83</v>
      </c>
      <c r="M597" t="s">
        <v>4238</v>
      </c>
      <c r="N597" t="s">
        <v>1520</v>
      </c>
      <c r="O597" t="s">
        <v>2416</v>
      </c>
      <c r="P597" t="s">
        <v>2558</v>
      </c>
      <c r="Q597" t="s">
        <v>5533</v>
      </c>
      <c r="R597" t="s">
        <v>3434</v>
      </c>
    </row>
    <row r="598" spans="1:19" hidden="1" x14ac:dyDescent="0.25">
      <c r="A598" t="s">
        <v>5534</v>
      </c>
      <c r="B598" t="s">
        <v>3980</v>
      </c>
      <c r="C598" t="s">
        <v>3096</v>
      </c>
      <c r="D598" t="s">
        <v>3032</v>
      </c>
      <c r="E598" t="s">
        <v>1534</v>
      </c>
      <c r="F598" t="s">
        <v>515</v>
      </c>
      <c r="G598">
        <v>19</v>
      </c>
      <c r="H598">
        <v>697.73</v>
      </c>
      <c r="I598">
        <v>13256.87</v>
      </c>
      <c r="J598">
        <v>19.3</v>
      </c>
      <c r="K598">
        <v>2121.1</v>
      </c>
      <c r="L598">
        <v>12819.39</v>
      </c>
      <c r="M598" t="s">
        <v>4227</v>
      </c>
      <c r="N598" t="s">
        <v>1121</v>
      </c>
      <c r="O598" t="s">
        <v>2449</v>
      </c>
      <c r="P598" t="s">
        <v>2486</v>
      </c>
      <c r="Q598" t="s">
        <v>5535</v>
      </c>
      <c r="R598" t="s">
        <v>3425</v>
      </c>
      <c r="S598" t="s">
        <v>4235</v>
      </c>
    </row>
    <row r="599" spans="1:19" hidden="1" x14ac:dyDescent="0.25">
      <c r="A599" t="s">
        <v>5536</v>
      </c>
      <c r="B599" t="s">
        <v>4607</v>
      </c>
      <c r="C599" t="s">
        <v>2848</v>
      </c>
      <c r="D599" t="s">
        <v>2651</v>
      </c>
      <c r="E599" t="s">
        <v>1899</v>
      </c>
      <c r="F599" t="s">
        <v>920</v>
      </c>
      <c r="G599">
        <v>23</v>
      </c>
      <c r="H599">
        <v>523.51</v>
      </c>
      <c r="I599">
        <v>12040.73</v>
      </c>
      <c r="J599">
        <v>5.7</v>
      </c>
      <c r="K599">
        <v>1926.52</v>
      </c>
      <c r="L599">
        <v>13280.93</v>
      </c>
      <c r="M599" t="s">
        <v>3428</v>
      </c>
      <c r="N599" t="s">
        <v>1121</v>
      </c>
      <c r="O599" t="s">
        <v>2398</v>
      </c>
      <c r="P599" t="s">
        <v>2551</v>
      </c>
      <c r="Q599" t="s">
        <v>5537</v>
      </c>
      <c r="R599" t="s">
        <v>3425</v>
      </c>
      <c r="S599" t="s">
        <v>3466</v>
      </c>
    </row>
    <row r="600" spans="1:19" x14ac:dyDescent="0.25">
      <c r="A600" t="s">
        <v>5538</v>
      </c>
      <c r="B600" s="2" t="s">
        <v>3879</v>
      </c>
      <c r="C600" t="s">
        <v>2968</v>
      </c>
      <c r="D600" t="s">
        <v>4422</v>
      </c>
      <c r="E600" t="s">
        <v>2185</v>
      </c>
      <c r="F600" t="s">
        <v>744</v>
      </c>
      <c r="G600">
        <v>4</v>
      </c>
      <c r="H600">
        <v>351.92</v>
      </c>
      <c r="I600">
        <v>1407.68</v>
      </c>
      <c r="J600">
        <v>8.1</v>
      </c>
      <c r="K600">
        <v>225.23</v>
      </c>
      <c r="L600">
        <v>1518.89</v>
      </c>
      <c r="M600" t="s">
        <v>3428</v>
      </c>
      <c r="N600" t="s">
        <v>4233</v>
      </c>
      <c r="O600" t="s">
        <v>2432</v>
      </c>
      <c r="P600" t="s">
        <v>2495</v>
      </c>
      <c r="Q600" t="s">
        <v>5539</v>
      </c>
      <c r="R600" t="s">
        <v>4245</v>
      </c>
    </row>
    <row r="601" spans="1:19" hidden="1" x14ac:dyDescent="0.25">
      <c r="A601" t="s">
        <v>5540</v>
      </c>
      <c r="B601" t="s">
        <v>3998</v>
      </c>
      <c r="C601" t="s">
        <v>3998</v>
      </c>
      <c r="D601" t="s">
        <v>2878</v>
      </c>
      <c r="E601" t="s">
        <v>1838</v>
      </c>
      <c r="F601" t="s">
        <v>682</v>
      </c>
      <c r="G601">
        <v>41</v>
      </c>
      <c r="H601">
        <v>223.41</v>
      </c>
      <c r="I601">
        <v>9159.81</v>
      </c>
      <c r="J601">
        <v>8.4</v>
      </c>
      <c r="K601">
        <v>1465.57</v>
      </c>
      <c r="L601">
        <v>9855.9599999999991</v>
      </c>
      <c r="M601" t="s">
        <v>3442</v>
      </c>
      <c r="N601" t="s">
        <v>4248</v>
      </c>
      <c r="O601" t="s">
        <v>2388</v>
      </c>
      <c r="P601" t="s">
        <v>2525</v>
      </c>
      <c r="Q601" t="s">
        <v>5541</v>
      </c>
      <c r="R601" t="s">
        <v>3425</v>
      </c>
    </row>
    <row r="602" spans="1:19" x14ac:dyDescent="0.25">
      <c r="A602" t="s">
        <v>5542</v>
      </c>
      <c r="B602" s="2" t="s">
        <v>3447</v>
      </c>
      <c r="C602" t="s">
        <v>3447</v>
      </c>
      <c r="D602" t="s">
        <v>4583</v>
      </c>
      <c r="E602" t="s">
        <v>1923</v>
      </c>
      <c r="F602" t="s">
        <v>353</v>
      </c>
      <c r="G602">
        <v>44</v>
      </c>
      <c r="H602">
        <v>103.49</v>
      </c>
      <c r="I602">
        <v>4553.5600000000004</v>
      </c>
      <c r="J602">
        <v>8.8000000000000007</v>
      </c>
      <c r="K602">
        <v>728.57</v>
      </c>
      <c r="L602">
        <v>4881.42</v>
      </c>
      <c r="M602" t="s">
        <v>3428</v>
      </c>
      <c r="N602" t="s">
        <v>4233</v>
      </c>
      <c r="O602" t="s">
        <v>2425</v>
      </c>
      <c r="P602" t="s">
        <v>2531</v>
      </c>
      <c r="Q602" t="s">
        <v>5543</v>
      </c>
      <c r="R602" t="s">
        <v>4245</v>
      </c>
    </row>
    <row r="603" spans="1:19" hidden="1" x14ac:dyDescent="0.25">
      <c r="A603" t="s">
        <v>5544</v>
      </c>
      <c r="B603" t="s">
        <v>1794</v>
      </c>
      <c r="C603" t="s">
        <v>3044</v>
      </c>
      <c r="D603" t="s">
        <v>3301</v>
      </c>
      <c r="E603" t="s">
        <v>1923</v>
      </c>
      <c r="F603" t="s">
        <v>264</v>
      </c>
      <c r="G603">
        <v>12</v>
      </c>
      <c r="H603">
        <v>304.52999999999997</v>
      </c>
      <c r="I603">
        <v>3654.36</v>
      </c>
      <c r="J603">
        <v>1.5</v>
      </c>
      <c r="K603">
        <v>584.70000000000005</v>
      </c>
      <c r="L603">
        <v>4184.24</v>
      </c>
      <c r="M603" t="s">
        <v>3428</v>
      </c>
      <c r="N603" t="s">
        <v>4228</v>
      </c>
      <c r="O603" t="s">
        <v>2416</v>
      </c>
      <c r="P603" t="s">
        <v>2481</v>
      </c>
      <c r="Q603" t="s">
        <v>5545</v>
      </c>
      <c r="R603" t="s">
        <v>3434</v>
      </c>
      <c r="S603" t="s">
        <v>4230</v>
      </c>
    </row>
    <row r="604" spans="1:19" hidden="1" x14ac:dyDescent="0.25">
      <c r="A604" t="s">
        <v>5546</v>
      </c>
      <c r="B604" t="s">
        <v>3019</v>
      </c>
      <c r="C604" t="s">
        <v>3019</v>
      </c>
      <c r="D604" t="s">
        <v>3268</v>
      </c>
      <c r="E604" t="s">
        <v>1748</v>
      </c>
      <c r="F604" t="s">
        <v>209</v>
      </c>
      <c r="G604">
        <v>44</v>
      </c>
      <c r="H604">
        <v>749.32</v>
      </c>
      <c r="I604">
        <v>32970.080000000002</v>
      </c>
      <c r="J604">
        <v>13.9</v>
      </c>
      <c r="K604">
        <v>5275.21</v>
      </c>
      <c r="L604">
        <v>33662.449999999997</v>
      </c>
      <c r="M604" t="s">
        <v>4247</v>
      </c>
      <c r="N604" t="s">
        <v>1520</v>
      </c>
      <c r="O604" t="s">
        <v>2388</v>
      </c>
      <c r="P604" t="s">
        <v>2548</v>
      </c>
      <c r="Q604" t="s">
        <v>5547</v>
      </c>
      <c r="R604" t="s">
        <v>3434</v>
      </c>
      <c r="S604" t="s">
        <v>4235</v>
      </c>
    </row>
    <row r="605" spans="1:19" hidden="1" x14ac:dyDescent="0.25">
      <c r="A605" t="s">
        <v>5548</v>
      </c>
      <c r="B605" t="s">
        <v>3663</v>
      </c>
      <c r="C605" t="s">
        <v>3741</v>
      </c>
      <c r="D605" t="s">
        <v>3686</v>
      </c>
      <c r="E605" t="s">
        <v>2152</v>
      </c>
      <c r="F605" t="s">
        <v>373</v>
      </c>
      <c r="G605">
        <v>28</v>
      </c>
      <c r="H605">
        <v>364.08</v>
      </c>
      <c r="I605">
        <v>10194.24</v>
      </c>
      <c r="J605">
        <v>17.7</v>
      </c>
      <c r="K605">
        <v>1631.08</v>
      </c>
      <c r="L605">
        <v>10020.94</v>
      </c>
      <c r="M605" t="s">
        <v>4227</v>
      </c>
      <c r="N605" t="s">
        <v>4243</v>
      </c>
      <c r="O605" t="s">
        <v>2456</v>
      </c>
      <c r="P605" t="s">
        <v>2538</v>
      </c>
      <c r="Q605" t="s">
        <v>5549</v>
      </c>
      <c r="R605" t="s">
        <v>3425</v>
      </c>
      <c r="S605" t="s">
        <v>4230</v>
      </c>
    </row>
    <row r="606" spans="1:19" hidden="1" x14ac:dyDescent="0.25">
      <c r="A606" t="s">
        <v>5550</v>
      </c>
      <c r="B606" t="s">
        <v>3778</v>
      </c>
      <c r="C606" t="s">
        <v>3751</v>
      </c>
      <c r="D606" t="s">
        <v>4088</v>
      </c>
      <c r="E606" t="s">
        <v>2262</v>
      </c>
      <c r="F606" t="s">
        <v>708</v>
      </c>
      <c r="G606">
        <v>4</v>
      </c>
      <c r="H606">
        <v>717.6</v>
      </c>
      <c r="I606">
        <v>2870.4</v>
      </c>
      <c r="J606">
        <v>19.399999999999999</v>
      </c>
      <c r="K606">
        <v>459.26</v>
      </c>
      <c r="L606">
        <v>2772.8</v>
      </c>
      <c r="M606" t="s">
        <v>3428</v>
      </c>
      <c r="N606" t="s">
        <v>4243</v>
      </c>
      <c r="O606" t="s">
        <v>2388</v>
      </c>
      <c r="P606" t="s">
        <v>2544</v>
      </c>
      <c r="Q606" t="s">
        <v>5551</v>
      </c>
      <c r="R606" t="s">
        <v>3425</v>
      </c>
    </row>
    <row r="607" spans="1:19" hidden="1" x14ac:dyDescent="0.25">
      <c r="A607" t="s">
        <v>5552</v>
      </c>
      <c r="B607" t="s">
        <v>3479</v>
      </c>
      <c r="C607" t="s">
        <v>3939</v>
      </c>
      <c r="D607" t="s">
        <v>4574</v>
      </c>
      <c r="E607" t="s">
        <v>2135</v>
      </c>
      <c r="F607" t="s">
        <v>337</v>
      </c>
      <c r="G607">
        <v>11</v>
      </c>
      <c r="H607">
        <v>120.43</v>
      </c>
      <c r="I607">
        <v>1324.73</v>
      </c>
      <c r="J607">
        <v>7.2</v>
      </c>
      <c r="K607">
        <v>211.96</v>
      </c>
      <c r="L607">
        <v>1441.31</v>
      </c>
      <c r="M607" t="s">
        <v>3442</v>
      </c>
      <c r="N607" t="s">
        <v>1121</v>
      </c>
      <c r="O607" t="s">
        <v>2456</v>
      </c>
      <c r="P607" t="s">
        <v>2561</v>
      </c>
      <c r="Q607" t="s">
        <v>5553</v>
      </c>
      <c r="R607" t="s">
        <v>3425</v>
      </c>
    </row>
    <row r="608" spans="1:19" hidden="1" x14ac:dyDescent="0.25">
      <c r="A608" t="s">
        <v>5554</v>
      </c>
      <c r="B608" t="s">
        <v>3617</v>
      </c>
      <c r="C608" t="s">
        <v>5555</v>
      </c>
      <c r="D608" t="s">
        <v>4048</v>
      </c>
      <c r="E608" t="s">
        <v>2135</v>
      </c>
      <c r="F608" t="s">
        <v>626</v>
      </c>
      <c r="G608">
        <v>19</v>
      </c>
      <c r="H608">
        <v>307.26</v>
      </c>
      <c r="I608">
        <v>5837.94</v>
      </c>
      <c r="J608">
        <v>3.7</v>
      </c>
      <c r="K608">
        <v>934.07</v>
      </c>
      <c r="L608">
        <v>6556.01</v>
      </c>
      <c r="M608" t="s">
        <v>3442</v>
      </c>
      <c r="N608" t="s">
        <v>1121</v>
      </c>
      <c r="O608" t="s">
        <v>2432</v>
      </c>
      <c r="P608" t="s">
        <v>2535</v>
      </c>
      <c r="Q608" t="s">
        <v>5556</v>
      </c>
      <c r="R608" t="s">
        <v>3434</v>
      </c>
    </row>
    <row r="609" spans="1:19" hidden="1" x14ac:dyDescent="0.25">
      <c r="A609" t="s">
        <v>5557</v>
      </c>
      <c r="B609" t="s">
        <v>2439</v>
      </c>
      <c r="C609" t="s">
        <v>3507</v>
      </c>
      <c r="D609" t="s">
        <v>2711</v>
      </c>
      <c r="E609" t="s">
        <v>1999</v>
      </c>
      <c r="F609" t="s">
        <v>718</v>
      </c>
      <c r="G609">
        <v>16</v>
      </c>
      <c r="H609">
        <v>597.55999999999995</v>
      </c>
      <c r="I609">
        <v>9560.9599999999991</v>
      </c>
      <c r="J609">
        <v>14.2</v>
      </c>
      <c r="K609">
        <v>1529.75</v>
      </c>
      <c r="L609">
        <v>9733.0499999999993</v>
      </c>
      <c r="M609" t="s">
        <v>3442</v>
      </c>
      <c r="N609" t="s">
        <v>4233</v>
      </c>
      <c r="O609" t="s">
        <v>2398</v>
      </c>
      <c r="P609" t="s">
        <v>2512</v>
      </c>
      <c r="Q609" t="s">
        <v>5558</v>
      </c>
      <c r="R609" t="s">
        <v>3425</v>
      </c>
    </row>
    <row r="610" spans="1:19" x14ac:dyDescent="0.25">
      <c r="A610" t="s">
        <v>5559</v>
      </c>
      <c r="B610" s="2" t="s">
        <v>2943</v>
      </c>
      <c r="C610" t="s">
        <v>4664</v>
      </c>
      <c r="D610" t="s">
        <v>4357</v>
      </c>
      <c r="E610" t="s">
        <v>1795</v>
      </c>
      <c r="F610" t="s">
        <v>995</v>
      </c>
      <c r="G610">
        <v>1</v>
      </c>
      <c r="H610">
        <v>152.21</v>
      </c>
      <c r="I610">
        <v>152.21</v>
      </c>
      <c r="J610">
        <v>12.3</v>
      </c>
      <c r="K610">
        <v>24.35</v>
      </c>
      <c r="L610">
        <v>157.84</v>
      </c>
      <c r="M610" t="s">
        <v>4227</v>
      </c>
      <c r="N610" t="s">
        <v>4248</v>
      </c>
      <c r="O610" t="s">
        <v>2398</v>
      </c>
      <c r="P610" t="s">
        <v>2506</v>
      </c>
      <c r="Q610" t="s">
        <v>5560</v>
      </c>
      <c r="R610" t="s">
        <v>4245</v>
      </c>
    </row>
    <row r="611" spans="1:19" hidden="1" x14ac:dyDescent="0.25">
      <c r="A611" t="s">
        <v>5561</v>
      </c>
      <c r="B611" t="s">
        <v>3895</v>
      </c>
      <c r="C611" t="s">
        <v>3597</v>
      </c>
      <c r="D611" t="s">
        <v>3496</v>
      </c>
      <c r="E611" t="s">
        <v>2177</v>
      </c>
      <c r="F611" t="s">
        <v>870</v>
      </c>
      <c r="G611">
        <v>34</v>
      </c>
      <c r="H611">
        <v>219.48</v>
      </c>
      <c r="I611">
        <v>7462.32</v>
      </c>
      <c r="J611">
        <v>12.2</v>
      </c>
      <c r="K611">
        <v>1193.97</v>
      </c>
      <c r="L611">
        <v>7745.89</v>
      </c>
      <c r="M611" t="s">
        <v>4238</v>
      </c>
      <c r="N611" t="s">
        <v>4248</v>
      </c>
      <c r="O611" t="s">
        <v>2388</v>
      </c>
      <c r="P611" t="s">
        <v>2522</v>
      </c>
      <c r="Q611" t="s">
        <v>5562</v>
      </c>
      <c r="R611" t="s">
        <v>4275</v>
      </c>
    </row>
    <row r="612" spans="1:19" hidden="1" x14ac:dyDescent="0.25">
      <c r="A612" t="s">
        <v>5563</v>
      </c>
      <c r="B612" t="s">
        <v>3726</v>
      </c>
      <c r="C612" t="s">
        <v>3726</v>
      </c>
      <c r="D612" t="s">
        <v>5039</v>
      </c>
      <c r="E612" t="s">
        <v>1940</v>
      </c>
      <c r="F612" t="s">
        <v>146</v>
      </c>
      <c r="G612">
        <v>29</v>
      </c>
      <c r="H612">
        <v>358.89</v>
      </c>
      <c r="I612">
        <v>10407.81</v>
      </c>
      <c r="J612">
        <v>11.4</v>
      </c>
      <c r="K612">
        <v>1665.25</v>
      </c>
      <c r="L612">
        <v>10886.57</v>
      </c>
      <c r="M612" t="s">
        <v>4232</v>
      </c>
      <c r="N612" t="s">
        <v>1121</v>
      </c>
      <c r="O612" t="s">
        <v>2388</v>
      </c>
      <c r="P612" t="s">
        <v>2475</v>
      </c>
      <c r="Q612" t="s">
        <v>5564</v>
      </c>
      <c r="R612" t="s">
        <v>3429</v>
      </c>
      <c r="S612" t="s">
        <v>4292</v>
      </c>
    </row>
    <row r="613" spans="1:19" hidden="1" x14ac:dyDescent="0.25">
      <c r="A613" t="s">
        <v>5565</v>
      </c>
      <c r="B613" t="s">
        <v>4133</v>
      </c>
      <c r="C613" t="s">
        <v>3528</v>
      </c>
      <c r="D613" t="s">
        <v>2610</v>
      </c>
      <c r="E613" t="s">
        <v>1786</v>
      </c>
      <c r="F613" t="s">
        <v>373</v>
      </c>
      <c r="G613">
        <v>44</v>
      </c>
      <c r="H613">
        <v>223.78</v>
      </c>
      <c r="I613">
        <v>9846.32</v>
      </c>
      <c r="J613">
        <v>15.5</v>
      </c>
      <c r="K613">
        <v>1575.41</v>
      </c>
      <c r="L613">
        <v>9895.5499999999993</v>
      </c>
      <c r="M613" t="s">
        <v>3442</v>
      </c>
      <c r="N613" t="s">
        <v>1520</v>
      </c>
      <c r="O613" t="s">
        <v>2440</v>
      </c>
      <c r="P613" t="s">
        <v>2535</v>
      </c>
      <c r="Q613" t="s">
        <v>5566</v>
      </c>
      <c r="R613" t="s">
        <v>3425</v>
      </c>
    </row>
    <row r="614" spans="1:19" hidden="1" x14ac:dyDescent="0.25">
      <c r="A614" t="s">
        <v>5567</v>
      </c>
      <c r="B614" t="s">
        <v>2033</v>
      </c>
      <c r="C614" t="s">
        <v>2632</v>
      </c>
      <c r="D614" t="s">
        <v>3717</v>
      </c>
      <c r="E614" t="s">
        <v>1973</v>
      </c>
      <c r="F614" t="s">
        <v>1041</v>
      </c>
      <c r="G614">
        <v>33</v>
      </c>
      <c r="H614">
        <v>659.87</v>
      </c>
      <c r="I614">
        <v>21775.71</v>
      </c>
      <c r="J614">
        <v>0.7</v>
      </c>
      <c r="K614">
        <v>3484.11</v>
      </c>
      <c r="L614">
        <v>25107.39</v>
      </c>
      <c r="M614" t="s">
        <v>4227</v>
      </c>
      <c r="N614" t="s">
        <v>4243</v>
      </c>
      <c r="O614" t="s">
        <v>2440</v>
      </c>
      <c r="P614" t="s">
        <v>2475</v>
      </c>
      <c r="Q614" t="s">
        <v>5568</v>
      </c>
      <c r="R614" t="s">
        <v>3425</v>
      </c>
      <c r="S614" t="s">
        <v>4230</v>
      </c>
    </row>
    <row r="615" spans="1:19" hidden="1" x14ac:dyDescent="0.25">
      <c r="A615" t="s">
        <v>5569</v>
      </c>
      <c r="B615" t="s">
        <v>3018</v>
      </c>
      <c r="C615" t="s">
        <v>2615</v>
      </c>
      <c r="D615" t="s">
        <v>2884</v>
      </c>
      <c r="E615" t="s">
        <v>1544</v>
      </c>
      <c r="F615" t="s">
        <v>405</v>
      </c>
      <c r="G615">
        <v>25</v>
      </c>
      <c r="H615">
        <v>738.06</v>
      </c>
      <c r="I615">
        <v>18451.5</v>
      </c>
      <c r="J615">
        <v>6.7</v>
      </c>
      <c r="K615">
        <v>2952.24</v>
      </c>
      <c r="L615">
        <v>20167.490000000002</v>
      </c>
      <c r="M615" t="s">
        <v>4232</v>
      </c>
      <c r="N615" t="s">
        <v>4248</v>
      </c>
      <c r="O615" t="s">
        <v>2398</v>
      </c>
      <c r="P615" t="s">
        <v>2554</v>
      </c>
      <c r="Q615" t="s">
        <v>5570</v>
      </c>
      <c r="R615" t="s">
        <v>3425</v>
      </c>
      <c r="S615" t="s">
        <v>3466</v>
      </c>
    </row>
    <row r="616" spans="1:19" x14ac:dyDescent="0.25">
      <c r="A616" t="s">
        <v>5571</v>
      </c>
      <c r="B616" s="2" t="s">
        <v>4237</v>
      </c>
      <c r="C616" t="s">
        <v>4237</v>
      </c>
      <c r="D616" t="s">
        <v>3320</v>
      </c>
      <c r="E616" t="s">
        <v>2287</v>
      </c>
      <c r="F616" t="s">
        <v>490</v>
      </c>
      <c r="G616">
        <v>47</v>
      </c>
      <c r="H616">
        <v>142.91999999999999</v>
      </c>
      <c r="I616">
        <v>6717.24</v>
      </c>
      <c r="J616">
        <v>18</v>
      </c>
      <c r="K616">
        <v>1074.76</v>
      </c>
      <c r="L616">
        <v>6582.9</v>
      </c>
      <c r="M616" t="s">
        <v>4247</v>
      </c>
      <c r="N616" t="s">
        <v>1520</v>
      </c>
      <c r="O616" t="s">
        <v>2440</v>
      </c>
      <c r="P616" t="s">
        <v>2568</v>
      </c>
      <c r="Q616" t="s">
        <v>5572</v>
      </c>
      <c r="R616" t="s">
        <v>4245</v>
      </c>
      <c r="S616" t="s">
        <v>4235</v>
      </c>
    </row>
    <row r="617" spans="1:19" hidden="1" x14ac:dyDescent="0.25">
      <c r="A617" t="s">
        <v>5573</v>
      </c>
      <c r="B617" t="s">
        <v>1863</v>
      </c>
      <c r="C617" t="s">
        <v>2755</v>
      </c>
      <c r="D617" t="s">
        <v>2755</v>
      </c>
      <c r="E617" t="s">
        <v>1659</v>
      </c>
      <c r="F617" t="s">
        <v>586</v>
      </c>
      <c r="G617">
        <v>37</v>
      </c>
      <c r="H617">
        <v>840.8</v>
      </c>
      <c r="I617">
        <v>31109.599999999999</v>
      </c>
      <c r="J617">
        <v>16.8</v>
      </c>
      <c r="K617">
        <v>4977.54</v>
      </c>
      <c r="L617">
        <v>30860.73</v>
      </c>
      <c r="M617" t="s">
        <v>4238</v>
      </c>
      <c r="N617" t="s">
        <v>4233</v>
      </c>
      <c r="O617" t="s">
        <v>2407</v>
      </c>
      <c r="P617" t="s">
        <v>2561</v>
      </c>
      <c r="Q617" t="s">
        <v>5574</v>
      </c>
      <c r="R617" t="s">
        <v>4275</v>
      </c>
      <c r="S617" t="s">
        <v>4235</v>
      </c>
    </row>
    <row r="618" spans="1:19" x14ac:dyDescent="0.25">
      <c r="A618" t="s">
        <v>5575</v>
      </c>
      <c r="B618" s="2" t="s">
        <v>3530</v>
      </c>
      <c r="C618" t="s">
        <v>2995</v>
      </c>
      <c r="D618" t="s">
        <v>4487</v>
      </c>
      <c r="E618" t="s">
        <v>1803</v>
      </c>
      <c r="F618" t="s">
        <v>636</v>
      </c>
      <c r="G618">
        <v>47</v>
      </c>
      <c r="H618">
        <v>156.78</v>
      </c>
      <c r="I618">
        <v>7368.66</v>
      </c>
      <c r="J618">
        <v>11.5</v>
      </c>
      <c r="K618">
        <v>1178.99</v>
      </c>
      <c r="L618">
        <v>7700.25</v>
      </c>
      <c r="M618" t="s">
        <v>3428</v>
      </c>
      <c r="N618" t="s">
        <v>4243</v>
      </c>
      <c r="O618" t="s">
        <v>2456</v>
      </c>
      <c r="P618" t="s">
        <v>2506</v>
      </c>
      <c r="Q618" t="s">
        <v>5576</v>
      </c>
      <c r="R618" t="s">
        <v>4245</v>
      </c>
      <c r="S618" t="s">
        <v>4292</v>
      </c>
    </row>
    <row r="619" spans="1:19" hidden="1" x14ac:dyDescent="0.25">
      <c r="A619" t="s">
        <v>5577</v>
      </c>
      <c r="B619" t="s">
        <v>3062</v>
      </c>
      <c r="C619" t="s">
        <v>3062</v>
      </c>
      <c r="D619" t="s">
        <v>3395</v>
      </c>
      <c r="E619" t="s">
        <v>2169</v>
      </c>
      <c r="F619" t="s">
        <v>180</v>
      </c>
      <c r="G619">
        <v>17</v>
      </c>
      <c r="H619">
        <v>578.99</v>
      </c>
      <c r="I619">
        <v>9842.83</v>
      </c>
      <c r="J619">
        <v>14.1</v>
      </c>
      <c r="K619">
        <v>1574.85</v>
      </c>
      <c r="L619">
        <v>10029.84</v>
      </c>
      <c r="M619" t="s">
        <v>4247</v>
      </c>
      <c r="N619" t="s">
        <v>4228</v>
      </c>
      <c r="O619" t="s">
        <v>2425</v>
      </c>
      <c r="P619" t="s">
        <v>2522</v>
      </c>
      <c r="Q619" t="s">
        <v>5578</v>
      </c>
      <c r="R619" t="s">
        <v>3425</v>
      </c>
      <c r="S619" t="s">
        <v>4235</v>
      </c>
    </row>
    <row r="620" spans="1:19" hidden="1" x14ac:dyDescent="0.25">
      <c r="A620" t="s">
        <v>5579</v>
      </c>
      <c r="B620" t="s">
        <v>2964</v>
      </c>
      <c r="C620" t="s">
        <v>2439</v>
      </c>
      <c r="D620" t="s">
        <v>4357</v>
      </c>
      <c r="E620" t="s">
        <v>2361</v>
      </c>
      <c r="F620" t="s">
        <v>667</v>
      </c>
      <c r="G620">
        <v>19</v>
      </c>
      <c r="H620">
        <v>273.18</v>
      </c>
      <c r="I620">
        <v>5190.42</v>
      </c>
      <c r="J620">
        <v>2.6</v>
      </c>
      <c r="K620">
        <v>830.47</v>
      </c>
      <c r="L620">
        <v>5885.94</v>
      </c>
      <c r="M620" t="s">
        <v>3428</v>
      </c>
      <c r="N620" t="s">
        <v>4233</v>
      </c>
      <c r="O620" t="s">
        <v>2398</v>
      </c>
      <c r="P620" t="s">
        <v>2491</v>
      </c>
      <c r="Q620" t="s">
        <v>5580</v>
      </c>
      <c r="R620" t="s">
        <v>3425</v>
      </c>
      <c r="S620" t="s">
        <v>4230</v>
      </c>
    </row>
    <row r="621" spans="1:19" hidden="1" x14ac:dyDescent="0.25">
      <c r="A621" t="s">
        <v>5581</v>
      </c>
      <c r="B621" t="s">
        <v>3917</v>
      </c>
      <c r="C621" t="s">
        <v>3917</v>
      </c>
      <c r="D621" t="s">
        <v>1964</v>
      </c>
      <c r="E621" t="s">
        <v>2185</v>
      </c>
      <c r="F621" t="s">
        <v>473</v>
      </c>
      <c r="G621">
        <v>36</v>
      </c>
      <c r="H621">
        <v>846.23</v>
      </c>
      <c r="I621">
        <v>30464.28</v>
      </c>
      <c r="J621">
        <v>4.5999999999999996</v>
      </c>
      <c r="K621">
        <v>4874.28</v>
      </c>
      <c r="L621">
        <v>33937.199999999997</v>
      </c>
      <c r="M621" t="s">
        <v>4257</v>
      </c>
      <c r="N621" t="s">
        <v>1121</v>
      </c>
      <c r="O621" t="s">
        <v>2440</v>
      </c>
      <c r="P621" t="s">
        <v>2531</v>
      </c>
      <c r="Q621" t="s">
        <v>5582</v>
      </c>
      <c r="R621" t="s">
        <v>3425</v>
      </c>
    </row>
    <row r="622" spans="1:19" x14ac:dyDescent="0.25">
      <c r="A622" t="s">
        <v>5583</v>
      </c>
      <c r="B622" s="2" t="s">
        <v>2749</v>
      </c>
      <c r="C622" t="s">
        <v>2773</v>
      </c>
      <c r="D622" t="s">
        <v>2615</v>
      </c>
      <c r="E622" t="s">
        <v>2160</v>
      </c>
      <c r="F622" t="s">
        <v>789</v>
      </c>
      <c r="G622">
        <v>46</v>
      </c>
      <c r="H622">
        <v>832.34</v>
      </c>
      <c r="I622">
        <v>38287.64</v>
      </c>
      <c r="J622">
        <v>18.8</v>
      </c>
      <c r="K622">
        <v>6126.02</v>
      </c>
      <c r="L622">
        <v>37215.58</v>
      </c>
      <c r="M622" t="s">
        <v>4247</v>
      </c>
      <c r="N622" t="s">
        <v>1121</v>
      </c>
      <c r="O622" t="s">
        <v>2425</v>
      </c>
      <c r="P622" t="s">
        <v>2527</v>
      </c>
      <c r="Q622" t="s">
        <v>5584</v>
      </c>
      <c r="R622" t="s">
        <v>4245</v>
      </c>
    </row>
    <row r="623" spans="1:19" hidden="1" x14ac:dyDescent="0.25">
      <c r="A623" t="s">
        <v>5585</v>
      </c>
      <c r="B623" t="s">
        <v>3252</v>
      </c>
      <c r="C623" t="s">
        <v>2614</v>
      </c>
      <c r="D623" t="s">
        <v>2524</v>
      </c>
      <c r="E623" t="s">
        <v>2076</v>
      </c>
      <c r="F623" t="s">
        <v>1106</v>
      </c>
      <c r="G623">
        <v>33</v>
      </c>
      <c r="H623">
        <v>521.08000000000004</v>
      </c>
      <c r="I623">
        <v>17195.64</v>
      </c>
      <c r="J623">
        <v>18.2</v>
      </c>
      <c r="K623">
        <v>2751.3</v>
      </c>
      <c r="L623">
        <v>16817.330000000002</v>
      </c>
      <c r="M623" t="s">
        <v>4232</v>
      </c>
      <c r="N623" t="s">
        <v>4243</v>
      </c>
      <c r="O623" t="s">
        <v>2449</v>
      </c>
      <c r="P623" t="s">
        <v>2554</v>
      </c>
      <c r="Q623" t="s">
        <v>5586</v>
      </c>
      <c r="R623" t="s">
        <v>4275</v>
      </c>
      <c r="S623" t="s">
        <v>4292</v>
      </c>
    </row>
    <row r="624" spans="1:19" hidden="1" x14ac:dyDescent="0.25">
      <c r="A624" t="s">
        <v>5587</v>
      </c>
      <c r="B624" t="s">
        <v>3621</v>
      </c>
      <c r="C624" t="s">
        <v>4593</v>
      </c>
      <c r="D624" t="s">
        <v>3672</v>
      </c>
      <c r="E624" t="s">
        <v>1566</v>
      </c>
      <c r="F624" t="s">
        <v>606</v>
      </c>
      <c r="G624">
        <v>34</v>
      </c>
      <c r="H624">
        <v>139.58000000000001</v>
      </c>
      <c r="I624">
        <v>4745.72</v>
      </c>
      <c r="J624">
        <v>14</v>
      </c>
      <c r="K624">
        <v>759.32</v>
      </c>
      <c r="L624">
        <v>4840.6400000000003</v>
      </c>
      <c r="M624" t="s">
        <v>4247</v>
      </c>
      <c r="N624" t="s">
        <v>4248</v>
      </c>
      <c r="O624" t="s">
        <v>2456</v>
      </c>
      <c r="P624" t="s">
        <v>2554</v>
      </c>
      <c r="Q624" t="s">
        <v>5588</v>
      </c>
      <c r="R624" t="s">
        <v>3434</v>
      </c>
      <c r="S624" t="s">
        <v>3466</v>
      </c>
    </row>
    <row r="625" spans="1:19" hidden="1" x14ac:dyDescent="0.25">
      <c r="A625" t="s">
        <v>5589</v>
      </c>
      <c r="B625" t="s">
        <v>3531</v>
      </c>
      <c r="C625" t="s">
        <v>2949</v>
      </c>
      <c r="D625" t="s">
        <v>3342</v>
      </c>
      <c r="E625" t="s">
        <v>2328</v>
      </c>
      <c r="F625" t="s">
        <v>850</v>
      </c>
      <c r="G625">
        <v>39</v>
      </c>
      <c r="H625">
        <v>529.17999999999995</v>
      </c>
      <c r="I625">
        <v>20638.02</v>
      </c>
      <c r="J625">
        <v>17.399999999999999</v>
      </c>
      <c r="K625">
        <v>3302.08</v>
      </c>
      <c r="L625">
        <v>20349.080000000002</v>
      </c>
      <c r="M625" t="s">
        <v>4238</v>
      </c>
      <c r="N625" t="s">
        <v>4243</v>
      </c>
      <c r="O625" t="s">
        <v>2425</v>
      </c>
      <c r="P625" t="s">
        <v>2541</v>
      </c>
      <c r="Q625" t="s">
        <v>5590</v>
      </c>
      <c r="R625" t="s">
        <v>3425</v>
      </c>
    </row>
    <row r="626" spans="1:19" hidden="1" x14ac:dyDescent="0.25">
      <c r="A626" t="s">
        <v>5591</v>
      </c>
      <c r="B626" t="s">
        <v>5176</v>
      </c>
      <c r="C626" t="s">
        <v>5176</v>
      </c>
      <c r="D626" t="s">
        <v>3556</v>
      </c>
      <c r="E626" t="s">
        <v>2194</v>
      </c>
      <c r="F626" t="s">
        <v>677</v>
      </c>
      <c r="G626">
        <v>10</v>
      </c>
      <c r="H626">
        <v>261.06</v>
      </c>
      <c r="I626">
        <v>2610.6</v>
      </c>
      <c r="J626">
        <v>16.100000000000001</v>
      </c>
      <c r="K626">
        <v>417.7</v>
      </c>
      <c r="L626">
        <v>2607.9899999999998</v>
      </c>
      <c r="M626" t="s">
        <v>3442</v>
      </c>
      <c r="N626" t="s">
        <v>1520</v>
      </c>
      <c r="O626" t="s">
        <v>2388</v>
      </c>
      <c r="P626" t="s">
        <v>2527</v>
      </c>
      <c r="Q626" t="s">
        <v>5592</v>
      </c>
      <c r="R626" t="s">
        <v>3425</v>
      </c>
    </row>
    <row r="627" spans="1:19" hidden="1" x14ac:dyDescent="0.25">
      <c r="A627" t="s">
        <v>5593</v>
      </c>
      <c r="B627" t="s">
        <v>3896</v>
      </c>
      <c r="C627" t="s">
        <v>5594</v>
      </c>
      <c r="D627" t="s">
        <v>4584</v>
      </c>
      <c r="E627" t="s">
        <v>1973</v>
      </c>
      <c r="F627" t="s">
        <v>520</v>
      </c>
      <c r="G627">
        <v>23</v>
      </c>
      <c r="H627">
        <v>820.69</v>
      </c>
      <c r="I627">
        <v>18875.87</v>
      </c>
      <c r="J627">
        <v>14.6</v>
      </c>
      <c r="K627">
        <v>3020.14</v>
      </c>
      <c r="L627">
        <v>19140.13</v>
      </c>
      <c r="M627" t="s">
        <v>4227</v>
      </c>
      <c r="N627" t="s">
        <v>1520</v>
      </c>
      <c r="O627" t="s">
        <v>2449</v>
      </c>
      <c r="P627" t="s">
        <v>2527</v>
      </c>
      <c r="Q627" t="s">
        <v>5595</v>
      </c>
      <c r="R627" t="s">
        <v>4275</v>
      </c>
      <c r="S627" t="s">
        <v>3466</v>
      </c>
    </row>
    <row r="628" spans="1:19" hidden="1" x14ac:dyDescent="0.25">
      <c r="A628" t="s">
        <v>5596</v>
      </c>
      <c r="B628" t="s">
        <v>5597</v>
      </c>
      <c r="C628" t="s">
        <v>5597</v>
      </c>
      <c r="D628" t="s">
        <v>3145</v>
      </c>
      <c r="E628" t="s">
        <v>1907</v>
      </c>
      <c r="F628" t="s">
        <v>215</v>
      </c>
      <c r="G628">
        <v>12</v>
      </c>
      <c r="H628">
        <v>303.81</v>
      </c>
      <c r="I628">
        <v>3645.72</v>
      </c>
      <c r="J628">
        <v>8.6</v>
      </c>
      <c r="K628">
        <v>583.32000000000005</v>
      </c>
      <c r="L628">
        <v>3915.51</v>
      </c>
      <c r="M628" t="s">
        <v>3428</v>
      </c>
      <c r="N628" t="s">
        <v>4228</v>
      </c>
      <c r="O628" t="s">
        <v>2440</v>
      </c>
      <c r="P628" t="s">
        <v>2522</v>
      </c>
      <c r="Q628" t="s">
        <v>5598</v>
      </c>
      <c r="R628" t="s">
        <v>3425</v>
      </c>
      <c r="S628" t="s">
        <v>4292</v>
      </c>
    </row>
    <row r="629" spans="1:19" x14ac:dyDescent="0.25">
      <c r="A629" t="s">
        <v>5599</v>
      </c>
      <c r="B629" s="2" t="s">
        <v>3914</v>
      </c>
      <c r="C629" t="s">
        <v>3286</v>
      </c>
      <c r="D629" t="s">
        <v>3286</v>
      </c>
      <c r="E629" t="s">
        <v>2262</v>
      </c>
      <c r="F629" t="s">
        <v>146</v>
      </c>
      <c r="G629">
        <v>23</v>
      </c>
      <c r="H629">
        <v>157.03</v>
      </c>
      <c r="I629">
        <v>3611.69</v>
      </c>
      <c r="J629">
        <v>7.7</v>
      </c>
      <c r="K629">
        <v>577.87</v>
      </c>
      <c r="L629">
        <v>3911.46</v>
      </c>
      <c r="M629" t="s">
        <v>3442</v>
      </c>
      <c r="N629" t="s">
        <v>1121</v>
      </c>
      <c r="O629" t="s">
        <v>2416</v>
      </c>
      <c r="P629" t="s">
        <v>2519</v>
      </c>
      <c r="Q629" t="s">
        <v>5600</v>
      </c>
      <c r="R629" t="s">
        <v>4245</v>
      </c>
      <c r="S629" t="s">
        <v>4292</v>
      </c>
    </row>
    <row r="630" spans="1:19" hidden="1" x14ac:dyDescent="0.25">
      <c r="A630" t="s">
        <v>5601</v>
      </c>
      <c r="B630" t="s">
        <v>3587</v>
      </c>
      <c r="C630" t="s">
        <v>3633</v>
      </c>
      <c r="D630" t="s">
        <v>3875</v>
      </c>
      <c r="E630" t="s">
        <v>1475</v>
      </c>
      <c r="F630" t="s">
        <v>279</v>
      </c>
      <c r="G630">
        <v>13</v>
      </c>
      <c r="H630">
        <v>261.27</v>
      </c>
      <c r="I630">
        <v>3396.51</v>
      </c>
      <c r="J630">
        <v>8.1</v>
      </c>
      <c r="K630">
        <v>543.44000000000005</v>
      </c>
      <c r="L630">
        <v>3664.83</v>
      </c>
      <c r="M630" t="s">
        <v>4232</v>
      </c>
      <c r="N630" t="s">
        <v>1121</v>
      </c>
      <c r="O630" t="s">
        <v>2425</v>
      </c>
      <c r="P630" t="s">
        <v>2538</v>
      </c>
      <c r="Q630" t="s">
        <v>5602</v>
      </c>
      <c r="R630" t="s">
        <v>3425</v>
      </c>
      <c r="S630" t="s">
        <v>3466</v>
      </c>
    </row>
    <row r="631" spans="1:19" hidden="1" x14ac:dyDescent="0.25">
      <c r="A631" t="s">
        <v>5603</v>
      </c>
      <c r="B631" t="s">
        <v>4007</v>
      </c>
      <c r="C631" t="s">
        <v>2749</v>
      </c>
      <c r="D631" t="s">
        <v>2773</v>
      </c>
      <c r="E631" t="s">
        <v>1502</v>
      </c>
      <c r="F631" t="s">
        <v>415</v>
      </c>
      <c r="G631">
        <v>27</v>
      </c>
      <c r="H631">
        <v>255.19</v>
      </c>
      <c r="I631">
        <v>6890.13</v>
      </c>
      <c r="J631">
        <v>17.600000000000001</v>
      </c>
      <c r="K631">
        <v>1102.42</v>
      </c>
      <c r="L631">
        <v>6779.89</v>
      </c>
      <c r="M631" t="s">
        <v>3442</v>
      </c>
      <c r="N631" t="s">
        <v>4228</v>
      </c>
      <c r="O631" t="s">
        <v>2432</v>
      </c>
      <c r="P631" t="s">
        <v>2481</v>
      </c>
      <c r="Q631" t="s">
        <v>5604</v>
      </c>
      <c r="R631" t="s">
        <v>4275</v>
      </c>
    </row>
    <row r="632" spans="1:19" hidden="1" x14ac:dyDescent="0.25">
      <c r="A632" t="s">
        <v>5605</v>
      </c>
      <c r="B632" t="s">
        <v>3726</v>
      </c>
      <c r="C632" t="s">
        <v>4794</v>
      </c>
      <c r="D632" t="s">
        <v>3522</v>
      </c>
      <c r="E632" t="s">
        <v>2111</v>
      </c>
      <c r="F632" t="s">
        <v>895</v>
      </c>
      <c r="G632">
        <v>48</v>
      </c>
      <c r="H632">
        <v>527.74</v>
      </c>
      <c r="I632">
        <v>25331.52</v>
      </c>
      <c r="J632">
        <v>0.6</v>
      </c>
      <c r="K632">
        <v>4053.04</v>
      </c>
      <c r="L632">
        <v>29232.57</v>
      </c>
      <c r="M632" t="s">
        <v>4257</v>
      </c>
      <c r="N632" t="s">
        <v>1121</v>
      </c>
      <c r="O632" t="s">
        <v>2416</v>
      </c>
      <c r="P632" t="s">
        <v>2558</v>
      </c>
      <c r="Q632" t="s">
        <v>5606</v>
      </c>
      <c r="R632" t="s">
        <v>3429</v>
      </c>
    </row>
    <row r="633" spans="1:19" hidden="1" x14ac:dyDescent="0.25">
      <c r="A633" t="s">
        <v>5607</v>
      </c>
      <c r="B633" t="s">
        <v>3629</v>
      </c>
      <c r="C633" t="s">
        <v>5369</v>
      </c>
      <c r="D633" t="s">
        <v>5369</v>
      </c>
      <c r="E633" t="s">
        <v>2177</v>
      </c>
      <c r="F633" t="s">
        <v>718</v>
      </c>
      <c r="G633">
        <v>39</v>
      </c>
      <c r="H633">
        <v>487.83</v>
      </c>
      <c r="I633">
        <v>19025.37</v>
      </c>
      <c r="J633">
        <v>16.899999999999999</v>
      </c>
      <c r="K633">
        <v>3044.06</v>
      </c>
      <c r="L633">
        <v>18854.14</v>
      </c>
      <c r="M633" t="s">
        <v>4238</v>
      </c>
      <c r="N633" t="s">
        <v>4248</v>
      </c>
      <c r="O633" t="s">
        <v>2425</v>
      </c>
      <c r="P633" t="s">
        <v>2495</v>
      </c>
      <c r="Q633" t="s">
        <v>5608</v>
      </c>
      <c r="R633" t="s">
        <v>3425</v>
      </c>
    </row>
    <row r="634" spans="1:19" hidden="1" x14ac:dyDescent="0.25">
      <c r="A634" t="s">
        <v>5609</v>
      </c>
      <c r="B634" t="s">
        <v>3558</v>
      </c>
      <c r="C634" t="s">
        <v>3558</v>
      </c>
      <c r="D634" t="s">
        <v>5610</v>
      </c>
      <c r="E634" t="s">
        <v>1914</v>
      </c>
      <c r="F634" t="s">
        <v>606</v>
      </c>
      <c r="G634">
        <v>40</v>
      </c>
      <c r="H634">
        <v>316.24</v>
      </c>
      <c r="I634">
        <v>12649.6</v>
      </c>
      <c r="J634">
        <v>0.3</v>
      </c>
      <c r="K634">
        <v>2023.94</v>
      </c>
      <c r="L634">
        <v>14635.59</v>
      </c>
      <c r="M634" t="s">
        <v>3442</v>
      </c>
      <c r="N634" t="s">
        <v>4248</v>
      </c>
      <c r="O634" t="s">
        <v>2432</v>
      </c>
      <c r="P634" t="s">
        <v>2568</v>
      </c>
      <c r="Q634" t="s">
        <v>5611</v>
      </c>
      <c r="R634" t="s">
        <v>3434</v>
      </c>
    </row>
    <row r="635" spans="1:19" hidden="1" x14ac:dyDescent="0.25">
      <c r="A635" t="s">
        <v>5612</v>
      </c>
      <c r="B635" t="s">
        <v>4765</v>
      </c>
      <c r="C635" t="s">
        <v>3688</v>
      </c>
      <c r="D635" t="s">
        <v>3616</v>
      </c>
      <c r="E635" t="s">
        <v>2144</v>
      </c>
      <c r="F635" t="s">
        <v>520</v>
      </c>
      <c r="G635">
        <v>32</v>
      </c>
      <c r="H635">
        <v>612.17999999999995</v>
      </c>
      <c r="I635">
        <v>19589.759999999998</v>
      </c>
      <c r="J635">
        <v>19.100000000000001</v>
      </c>
      <c r="K635">
        <v>3134.36</v>
      </c>
      <c r="L635">
        <v>18982.48</v>
      </c>
      <c r="M635" t="s">
        <v>4257</v>
      </c>
      <c r="N635" t="s">
        <v>4248</v>
      </c>
      <c r="O635" t="s">
        <v>2456</v>
      </c>
      <c r="P635" t="s">
        <v>2554</v>
      </c>
      <c r="Q635" t="s">
        <v>5613</v>
      </c>
      <c r="R635" t="s">
        <v>3429</v>
      </c>
    </row>
    <row r="636" spans="1:19" hidden="1" x14ac:dyDescent="0.25">
      <c r="A636" t="s">
        <v>5614</v>
      </c>
      <c r="B636" t="s">
        <v>3223</v>
      </c>
      <c r="C636" t="s">
        <v>2745</v>
      </c>
      <c r="D636" t="s">
        <v>2722</v>
      </c>
      <c r="E636" t="s">
        <v>1696</v>
      </c>
      <c r="F636" t="s">
        <v>1031</v>
      </c>
      <c r="G636">
        <v>40</v>
      </c>
      <c r="H636">
        <v>300.77999999999997</v>
      </c>
      <c r="I636">
        <v>12031.2</v>
      </c>
      <c r="J636">
        <v>2.9</v>
      </c>
      <c r="K636">
        <v>1924.99</v>
      </c>
      <c r="L636">
        <v>13607.29</v>
      </c>
      <c r="M636" t="s">
        <v>4227</v>
      </c>
      <c r="N636" t="s">
        <v>4228</v>
      </c>
      <c r="O636" t="s">
        <v>2456</v>
      </c>
      <c r="P636" t="s">
        <v>2568</v>
      </c>
      <c r="Q636" t="s">
        <v>5615</v>
      </c>
      <c r="R636" t="s">
        <v>3434</v>
      </c>
    </row>
    <row r="637" spans="1:19" hidden="1" x14ac:dyDescent="0.25">
      <c r="A637" t="s">
        <v>5616</v>
      </c>
      <c r="B637" t="s">
        <v>3685</v>
      </c>
      <c r="C637" t="s">
        <v>4048</v>
      </c>
      <c r="D637" t="s">
        <v>3688</v>
      </c>
      <c r="E637" t="s">
        <v>2025</v>
      </c>
      <c r="F637" t="s">
        <v>343</v>
      </c>
      <c r="G637">
        <v>20</v>
      </c>
      <c r="H637">
        <v>222.85</v>
      </c>
      <c r="I637">
        <v>4457</v>
      </c>
      <c r="J637">
        <v>4.5</v>
      </c>
      <c r="K637">
        <v>713.12</v>
      </c>
      <c r="L637">
        <v>4969.5600000000004</v>
      </c>
      <c r="M637" t="s">
        <v>3428</v>
      </c>
      <c r="N637" t="s">
        <v>1520</v>
      </c>
      <c r="O637" t="s">
        <v>2416</v>
      </c>
      <c r="P637" t="s">
        <v>2544</v>
      </c>
      <c r="Q637" t="s">
        <v>5617</v>
      </c>
      <c r="R637" t="s">
        <v>4275</v>
      </c>
      <c r="S637" t="s">
        <v>4230</v>
      </c>
    </row>
    <row r="638" spans="1:19" hidden="1" x14ac:dyDescent="0.25">
      <c r="A638" t="s">
        <v>5618</v>
      </c>
      <c r="B638" t="s">
        <v>3622</v>
      </c>
      <c r="C638" t="s">
        <v>3750</v>
      </c>
      <c r="D638" t="s">
        <v>3674</v>
      </c>
      <c r="E638" t="s">
        <v>1629</v>
      </c>
      <c r="F638" t="s">
        <v>955</v>
      </c>
      <c r="G638">
        <v>20</v>
      </c>
      <c r="H638">
        <v>153.35</v>
      </c>
      <c r="I638">
        <v>3067</v>
      </c>
      <c r="J638">
        <v>18</v>
      </c>
      <c r="K638">
        <v>490.72</v>
      </c>
      <c r="L638">
        <v>3005.66</v>
      </c>
      <c r="M638" t="s">
        <v>4247</v>
      </c>
      <c r="N638" t="s">
        <v>4228</v>
      </c>
      <c r="O638" t="s">
        <v>2398</v>
      </c>
      <c r="P638" t="s">
        <v>2506</v>
      </c>
      <c r="Q638" t="s">
        <v>5619</v>
      </c>
      <c r="R638" t="s">
        <v>3425</v>
      </c>
      <c r="S638" t="s">
        <v>4230</v>
      </c>
    </row>
    <row r="639" spans="1:19" hidden="1" x14ac:dyDescent="0.25">
      <c r="A639" t="s">
        <v>5620</v>
      </c>
      <c r="B639" t="s">
        <v>4487</v>
      </c>
      <c r="C639" t="s">
        <v>4487</v>
      </c>
      <c r="D639" t="s">
        <v>3232</v>
      </c>
      <c r="E639" t="s">
        <v>2219</v>
      </c>
      <c r="F639" t="s">
        <v>779</v>
      </c>
      <c r="G639">
        <v>26</v>
      </c>
      <c r="H639">
        <v>657.07</v>
      </c>
      <c r="I639">
        <v>17083.82</v>
      </c>
      <c r="J639">
        <v>16.100000000000001</v>
      </c>
      <c r="K639">
        <v>2733.41</v>
      </c>
      <c r="L639">
        <v>17066.73</v>
      </c>
      <c r="M639" t="s">
        <v>3428</v>
      </c>
      <c r="N639" t="s">
        <v>1121</v>
      </c>
      <c r="O639" t="s">
        <v>2407</v>
      </c>
      <c r="P639" t="s">
        <v>2554</v>
      </c>
      <c r="Q639" t="s">
        <v>5621</v>
      </c>
      <c r="R639" t="s">
        <v>3425</v>
      </c>
      <c r="S639" t="s">
        <v>4235</v>
      </c>
    </row>
    <row r="640" spans="1:19" x14ac:dyDescent="0.25">
      <c r="A640" t="s">
        <v>5622</v>
      </c>
      <c r="B640" s="2" t="s">
        <v>3695</v>
      </c>
      <c r="C640" t="s">
        <v>4031</v>
      </c>
      <c r="D640" t="s">
        <v>4070</v>
      </c>
      <c r="E640" t="s">
        <v>1511</v>
      </c>
      <c r="F640" t="s">
        <v>1056</v>
      </c>
      <c r="G640">
        <v>42</v>
      </c>
      <c r="H640">
        <v>388.48</v>
      </c>
      <c r="I640">
        <v>16316.16</v>
      </c>
      <c r="J640">
        <v>11</v>
      </c>
      <c r="K640">
        <v>2610.59</v>
      </c>
      <c r="L640">
        <v>17131.97</v>
      </c>
      <c r="M640" t="s">
        <v>3428</v>
      </c>
      <c r="N640" t="s">
        <v>1520</v>
      </c>
      <c r="O640" t="s">
        <v>2440</v>
      </c>
      <c r="P640" t="s">
        <v>2519</v>
      </c>
      <c r="Q640" t="s">
        <v>5623</v>
      </c>
      <c r="R640" t="s">
        <v>4245</v>
      </c>
    </row>
    <row r="641" spans="1:19" hidden="1" x14ac:dyDescent="0.25">
      <c r="A641" t="s">
        <v>5624</v>
      </c>
      <c r="B641" t="s">
        <v>2588</v>
      </c>
      <c r="C641" t="s">
        <v>2588</v>
      </c>
      <c r="D641" t="s">
        <v>3021</v>
      </c>
      <c r="E641" t="s">
        <v>2278</v>
      </c>
      <c r="F641" t="s">
        <v>24</v>
      </c>
      <c r="G641">
        <v>25</v>
      </c>
      <c r="H641">
        <v>422.28</v>
      </c>
      <c r="I641">
        <v>10557</v>
      </c>
      <c r="J641">
        <v>16.899999999999999</v>
      </c>
      <c r="K641">
        <v>1689.12</v>
      </c>
      <c r="L641">
        <v>10461.99</v>
      </c>
      <c r="M641" t="s">
        <v>4257</v>
      </c>
      <c r="N641" t="s">
        <v>4228</v>
      </c>
      <c r="O641" t="s">
        <v>2388</v>
      </c>
      <c r="P641" t="s">
        <v>2535</v>
      </c>
      <c r="Q641" t="s">
        <v>5625</v>
      </c>
      <c r="R641" t="s">
        <v>3425</v>
      </c>
      <c r="S641" t="s">
        <v>4235</v>
      </c>
    </row>
    <row r="642" spans="1:19" x14ac:dyDescent="0.25">
      <c r="A642" t="s">
        <v>5626</v>
      </c>
      <c r="B642" s="2" t="s">
        <v>3921</v>
      </c>
      <c r="C642" t="s">
        <v>3921</v>
      </c>
      <c r="D642" t="s">
        <v>3432</v>
      </c>
      <c r="E642" t="s">
        <v>1914</v>
      </c>
      <c r="F642" t="s">
        <v>545</v>
      </c>
      <c r="G642">
        <v>37</v>
      </c>
      <c r="H642">
        <v>349.93</v>
      </c>
      <c r="I642">
        <v>12947.41</v>
      </c>
      <c r="J642">
        <v>12.5</v>
      </c>
      <c r="K642">
        <v>2071.59</v>
      </c>
      <c r="L642">
        <v>13400.57</v>
      </c>
      <c r="M642" t="s">
        <v>3428</v>
      </c>
      <c r="N642" t="s">
        <v>1121</v>
      </c>
      <c r="O642" t="s">
        <v>2407</v>
      </c>
      <c r="P642" t="s">
        <v>2495</v>
      </c>
      <c r="Q642" t="s">
        <v>5627</v>
      </c>
      <c r="R642" t="s">
        <v>4245</v>
      </c>
    </row>
    <row r="643" spans="1:19" hidden="1" x14ac:dyDescent="0.25">
      <c r="A643" t="s">
        <v>5628</v>
      </c>
      <c r="B643" t="s">
        <v>3323</v>
      </c>
      <c r="C643" t="s">
        <v>2945</v>
      </c>
      <c r="D643" t="s">
        <v>3036</v>
      </c>
      <c r="E643" t="s">
        <v>2007</v>
      </c>
      <c r="F643" t="s">
        <v>910</v>
      </c>
      <c r="G643">
        <v>33</v>
      </c>
      <c r="H643">
        <v>856.67</v>
      </c>
      <c r="I643">
        <v>28270.11</v>
      </c>
      <c r="J643">
        <v>0.5</v>
      </c>
      <c r="K643">
        <v>4523.22</v>
      </c>
      <c r="L643">
        <v>32651.98</v>
      </c>
      <c r="M643" t="s">
        <v>3428</v>
      </c>
      <c r="N643" t="s">
        <v>4243</v>
      </c>
      <c r="O643" t="s">
        <v>2456</v>
      </c>
      <c r="P643" t="s">
        <v>2481</v>
      </c>
      <c r="Q643" t="s">
        <v>5629</v>
      </c>
      <c r="R643" t="s">
        <v>3429</v>
      </c>
      <c r="S643" t="s">
        <v>4230</v>
      </c>
    </row>
    <row r="644" spans="1:19" hidden="1" x14ac:dyDescent="0.25">
      <c r="A644" t="s">
        <v>5630</v>
      </c>
      <c r="B644" t="s">
        <v>3495</v>
      </c>
      <c r="C644" t="s">
        <v>3598</v>
      </c>
      <c r="D644" t="s">
        <v>3896</v>
      </c>
      <c r="E644" t="s">
        <v>1812</v>
      </c>
      <c r="F644" t="s">
        <v>1026</v>
      </c>
      <c r="G644">
        <v>35</v>
      </c>
      <c r="H644">
        <v>602.15</v>
      </c>
      <c r="I644">
        <v>21075.25</v>
      </c>
      <c r="J644">
        <v>9</v>
      </c>
      <c r="K644">
        <v>3372.04</v>
      </c>
      <c r="L644">
        <v>22550.52</v>
      </c>
      <c r="M644" t="s">
        <v>3428</v>
      </c>
      <c r="N644" t="s">
        <v>1520</v>
      </c>
      <c r="O644" t="s">
        <v>2456</v>
      </c>
      <c r="P644" t="s">
        <v>2522</v>
      </c>
      <c r="Q644" t="s">
        <v>5631</v>
      </c>
      <c r="R644" t="s">
        <v>3425</v>
      </c>
      <c r="S644" t="s">
        <v>3466</v>
      </c>
    </row>
    <row r="645" spans="1:19" hidden="1" x14ac:dyDescent="0.25">
      <c r="A645" t="s">
        <v>5632</v>
      </c>
      <c r="B645" t="s">
        <v>2843</v>
      </c>
      <c r="C645" t="s">
        <v>2843</v>
      </c>
      <c r="D645" t="s">
        <v>3761</v>
      </c>
      <c r="E645" t="s">
        <v>1973</v>
      </c>
      <c r="F645" t="s">
        <v>749</v>
      </c>
      <c r="G645">
        <v>21</v>
      </c>
      <c r="H645">
        <v>351.1</v>
      </c>
      <c r="I645">
        <v>7373.1</v>
      </c>
      <c r="J645">
        <v>11.9</v>
      </c>
      <c r="K645">
        <v>1179.7</v>
      </c>
      <c r="L645">
        <v>7675.4</v>
      </c>
      <c r="M645" t="s">
        <v>3428</v>
      </c>
      <c r="N645" t="s">
        <v>4243</v>
      </c>
      <c r="O645" t="s">
        <v>2407</v>
      </c>
      <c r="P645" t="s">
        <v>2535</v>
      </c>
      <c r="Q645" t="s">
        <v>5633</v>
      </c>
      <c r="R645" t="s">
        <v>4275</v>
      </c>
    </row>
    <row r="646" spans="1:19" hidden="1" x14ac:dyDescent="0.25">
      <c r="A646" t="s">
        <v>5634</v>
      </c>
      <c r="B646" t="s">
        <v>2871</v>
      </c>
      <c r="C646" t="s">
        <v>3368</v>
      </c>
      <c r="D646" t="s">
        <v>3368</v>
      </c>
      <c r="E646" t="s">
        <v>1872</v>
      </c>
      <c r="F646" t="s">
        <v>744</v>
      </c>
      <c r="G646">
        <v>39</v>
      </c>
      <c r="H646">
        <v>146.46</v>
      </c>
      <c r="I646">
        <v>5711.94</v>
      </c>
      <c r="J646">
        <v>11.6</v>
      </c>
      <c r="K646">
        <v>913.91</v>
      </c>
      <c r="L646">
        <v>5963.26</v>
      </c>
      <c r="M646" t="s">
        <v>3428</v>
      </c>
      <c r="N646" t="s">
        <v>4228</v>
      </c>
      <c r="O646" t="s">
        <v>2407</v>
      </c>
      <c r="P646" t="s">
        <v>2541</v>
      </c>
      <c r="Q646" t="s">
        <v>5635</v>
      </c>
      <c r="R646" t="s">
        <v>3429</v>
      </c>
    </row>
    <row r="647" spans="1:19" hidden="1" x14ac:dyDescent="0.25">
      <c r="A647" t="s">
        <v>5636</v>
      </c>
      <c r="B647" t="s">
        <v>2737</v>
      </c>
      <c r="C647" t="s">
        <v>2737</v>
      </c>
      <c r="D647" t="s">
        <v>3719</v>
      </c>
      <c r="E647" t="s">
        <v>2094</v>
      </c>
      <c r="F647" t="s">
        <v>77</v>
      </c>
      <c r="G647">
        <v>10</v>
      </c>
      <c r="H647">
        <v>867.59</v>
      </c>
      <c r="I647">
        <v>8675.9</v>
      </c>
      <c r="J647">
        <v>13.7</v>
      </c>
      <c r="K647">
        <v>1388.14</v>
      </c>
      <c r="L647">
        <v>8875.44</v>
      </c>
      <c r="M647" t="s">
        <v>3442</v>
      </c>
      <c r="N647" t="s">
        <v>4228</v>
      </c>
      <c r="O647" t="s">
        <v>2432</v>
      </c>
      <c r="P647" t="s">
        <v>2558</v>
      </c>
      <c r="Q647" t="s">
        <v>5637</v>
      </c>
      <c r="R647" t="s">
        <v>3425</v>
      </c>
    </row>
    <row r="648" spans="1:19" hidden="1" x14ac:dyDescent="0.25">
      <c r="A648" t="s">
        <v>5638</v>
      </c>
      <c r="B648" t="s">
        <v>3608</v>
      </c>
      <c r="C648" t="s">
        <v>3608</v>
      </c>
      <c r="D648" t="s">
        <v>3490</v>
      </c>
      <c r="E648" t="s">
        <v>2202</v>
      </c>
      <c r="F648" t="s">
        <v>535</v>
      </c>
      <c r="G648">
        <v>48</v>
      </c>
      <c r="H648">
        <v>170.57</v>
      </c>
      <c r="I648">
        <v>8187.36</v>
      </c>
      <c r="J648">
        <v>17.600000000000001</v>
      </c>
      <c r="K648">
        <v>1309.98</v>
      </c>
      <c r="L648">
        <v>8056.36</v>
      </c>
      <c r="M648" t="s">
        <v>4232</v>
      </c>
      <c r="N648" t="s">
        <v>4243</v>
      </c>
      <c r="O648" t="s">
        <v>2449</v>
      </c>
      <c r="P648" t="s">
        <v>2541</v>
      </c>
      <c r="Q648" t="s">
        <v>5639</v>
      </c>
      <c r="R648" t="s">
        <v>3425</v>
      </c>
    </row>
    <row r="649" spans="1:19" x14ac:dyDescent="0.25">
      <c r="A649" t="s">
        <v>5640</v>
      </c>
      <c r="B649" s="2" t="s">
        <v>3553</v>
      </c>
      <c r="C649" t="s">
        <v>3553</v>
      </c>
      <c r="D649" t="s">
        <v>4901</v>
      </c>
      <c r="E649" t="s">
        <v>1511</v>
      </c>
      <c r="F649" t="s">
        <v>945</v>
      </c>
      <c r="G649">
        <v>32</v>
      </c>
      <c r="H649">
        <v>105.63</v>
      </c>
      <c r="I649">
        <v>3380.16</v>
      </c>
      <c r="J649">
        <v>8</v>
      </c>
      <c r="K649">
        <v>540.83000000000004</v>
      </c>
      <c r="L649">
        <v>3650.58</v>
      </c>
      <c r="M649" t="s">
        <v>4257</v>
      </c>
      <c r="N649" t="s">
        <v>4233</v>
      </c>
      <c r="O649" t="s">
        <v>2440</v>
      </c>
      <c r="P649" t="s">
        <v>2548</v>
      </c>
      <c r="Q649" t="s">
        <v>5641</v>
      </c>
      <c r="R649" t="s">
        <v>4245</v>
      </c>
    </row>
    <row r="650" spans="1:19" hidden="1" x14ac:dyDescent="0.25">
      <c r="A650" t="s">
        <v>5642</v>
      </c>
      <c r="B650" t="s">
        <v>3854</v>
      </c>
      <c r="C650" t="s">
        <v>2415</v>
      </c>
      <c r="D650" t="s">
        <v>3468</v>
      </c>
      <c r="E650" t="s">
        <v>2160</v>
      </c>
      <c r="F650" t="s">
        <v>824</v>
      </c>
      <c r="G650">
        <v>10</v>
      </c>
      <c r="H650">
        <v>410.1</v>
      </c>
      <c r="I650">
        <v>4101</v>
      </c>
      <c r="J650">
        <v>12.1</v>
      </c>
      <c r="K650">
        <v>656.16</v>
      </c>
      <c r="L650">
        <v>4260.9399999999996</v>
      </c>
      <c r="M650" t="s">
        <v>4247</v>
      </c>
      <c r="N650" t="s">
        <v>4228</v>
      </c>
      <c r="O650" t="s">
        <v>2432</v>
      </c>
      <c r="P650" t="s">
        <v>2558</v>
      </c>
      <c r="Q650" t="s">
        <v>5643</v>
      </c>
      <c r="R650" t="s">
        <v>3425</v>
      </c>
    </row>
    <row r="651" spans="1:19" x14ac:dyDescent="0.25">
      <c r="A651" t="s">
        <v>5644</v>
      </c>
      <c r="B651" s="2" t="s">
        <v>3488</v>
      </c>
      <c r="C651" t="s">
        <v>4271</v>
      </c>
      <c r="D651" t="s">
        <v>3540</v>
      </c>
      <c r="E651" t="s">
        <v>2295</v>
      </c>
      <c r="F651" t="s">
        <v>510</v>
      </c>
      <c r="G651">
        <v>3</v>
      </c>
      <c r="H651">
        <v>436.58</v>
      </c>
      <c r="I651">
        <v>1309.74</v>
      </c>
      <c r="J651">
        <v>6.6</v>
      </c>
      <c r="K651">
        <v>209.56</v>
      </c>
      <c r="L651">
        <v>1432.86</v>
      </c>
      <c r="M651" t="s">
        <v>4232</v>
      </c>
      <c r="N651" t="s">
        <v>4243</v>
      </c>
      <c r="O651" t="s">
        <v>2407</v>
      </c>
      <c r="P651" t="s">
        <v>2506</v>
      </c>
      <c r="Q651" t="s">
        <v>5645</v>
      </c>
      <c r="R651" t="s">
        <v>4245</v>
      </c>
    </row>
    <row r="652" spans="1:19" hidden="1" x14ac:dyDescent="0.25">
      <c r="A652" t="s">
        <v>5646</v>
      </c>
      <c r="B652" t="s">
        <v>3888</v>
      </c>
      <c r="C652" t="s">
        <v>3445</v>
      </c>
      <c r="D652" t="s">
        <v>3647</v>
      </c>
      <c r="E652" t="s">
        <v>2051</v>
      </c>
      <c r="F652" t="s">
        <v>677</v>
      </c>
      <c r="G652">
        <v>16</v>
      </c>
      <c r="H652">
        <v>691.79</v>
      </c>
      <c r="I652">
        <v>11068.64</v>
      </c>
      <c r="J652">
        <v>15.3</v>
      </c>
      <c r="K652">
        <v>1770.98</v>
      </c>
      <c r="L652">
        <v>11146.12</v>
      </c>
      <c r="M652" t="s">
        <v>4227</v>
      </c>
      <c r="N652" t="s">
        <v>4248</v>
      </c>
      <c r="O652" t="s">
        <v>2425</v>
      </c>
      <c r="P652" t="s">
        <v>2554</v>
      </c>
      <c r="Q652" t="s">
        <v>5647</v>
      </c>
      <c r="R652" t="s">
        <v>4275</v>
      </c>
      <c r="S652" t="s">
        <v>3466</v>
      </c>
    </row>
    <row r="653" spans="1:19" hidden="1" x14ac:dyDescent="0.25">
      <c r="A653" t="s">
        <v>5648</v>
      </c>
      <c r="B653" t="s">
        <v>2828</v>
      </c>
      <c r="C653" t="s">
        <v>2721</v>
      </c>
      <c r="D653" t="s">
        <v>3352</v>
      </c>
      <c r="E653" t="s">
        <v>2253</v>
      </c>
      <c r="F653" t="s">
        <v>103</v>
      </c>
      <c r="G653">
        <v>23</v>
      </c>
      <c r="H653">
        <v>201.58</v>
      </c>
      <c r="I653">
        <v>4636.34</v>
      </c>
      <c r="J653">
        <v>1.9</v>
      </c>
      <c r="K653">
        <v>741.81</v>
      </c>
      <c r="L653">
        <v>5290.06</v>
      </c>
      <c r="M653" t="s">
        <v>4227</v>
      </c>
      <c r="N653" t="s">
        <v>4243</v>
      </c>
      <c r="O653" t="s">
        <v>2416</v>
      </c>
      <c r="P653" t="s">
        <v>2515</v>
      </c>
      <c r="Q653" t="s">
        <v>5649</v>
      </c>
      <c r="R653" t="s">
        <v>4275</v>
      </c>
    </row>
    <row r="654" spans="1:19" x14ac:dyDescent="0.25">
      <c r="A654" t="s">
        <v>5650</v>
      </c>
      <c r="B654" s="2" t="s">
        <v>2905</v>
      </c>
      <c r="C654" t="s">
        <v>2905</v>
      </c>
      <c r="D654" t="s">
        <v>2811</v>
      </c>
      <c r="E654" t="s">
        <v>1619</v>
      </c>
      <c r="F654" t="s">
        <v>180</v>
      </c>
      <c r="G654">
        <v>20</v>
      </c>
      <c r="H654">
        <v>151.11000000000001</v>
      </c>
      <c r="I654">
        <v>3022.2</v>
      </c>
      <c r="J654">
        <v>17.8</v>
      </c>
      <c r="K654">
        <v>483.55</v>
      </c>
      <c r="L654">
        <v>2967.8</v>
      </c>
      <c r="M654" t="s">
        <v>3442</v>
      </c>
      <c r="N654" t="s">
        <v>1121</v>
      </c>
      <c r="O654" t="s">
        <v>2425</v>
      </c>
      <c r="P654" t="s">
        <v>2481</v>
      </c>
      <c r="Q654" t="s">
        <v>5651</v>
      </c>
      <c r="R654" t="s">
        <v>4245</v>
      </c>
    </row>
    <row r="655" spans="1:19" hidden="1" x14ac:dyDescent="0.25">
      <c r="A655" t="s">
        <v>5652</v>
      </c>
      <c r="B655" t="s">
        <v>4917</v>
      </c>
      <c r="C655" t="s">
        <v>4917</v>
      </c>
      <c r="D655" t="s">
        <v>3562</v>
      </c>
      <c r="E655" t="s">
        <v>1872</v>
      </c>
      <c r="F655" t="s">
        <v>915</v>
      </c>
      <c r="G655">
        <v>49</v>
      </c>
      <c r="H655">
        <v>414.84</v>
      </c>
      <c r="I655">
        <v>20327.16</v>
      </c>
      <c r="J655">
        <v>18.7</v>
      </c>
      <c r="K655">
        <v>3252.35</v>
      </c>
      <c r="L655">
        <v>19778.330000000002</v>
      </c>
      <c r="M655" t="s">
        <v>4257</v>
      </c>
      <c r="N655" t="s">
        <v>4228</v>
      </c>
      <c r="O655" t="s">
        <v>2440</v>
      </c>
      <c r="P655" t="s">
        <v>2535</v>
      </c>
      <c r="Q655" t="s">
        <v>5653</v>
      </c>
      <c r="R655" t="s">
        <v>3425</v>
      </c>
    </row>
    <row r="656" spans="1:19" hidden="1" x14ac:dyDescent="0.25">
      <c r="A656" t="s">
        <v>5654</v>
      </c>
      <c r="B656" t="s">
        <v>2874</v>
      </c>
      <c r="C656" t="s">
        <v>3485</v>
      </c>
      <c r="D656" t="s">
        <v>4657</v>
      </c>
      <c r="E656" t="s">
        <v>1766</v>
      </c>
      <c r="F656" t="s">
        <v>930</v>
      </c>
      <c r="G656">
        <v>20</v>
      </c>
      <c r="H656">
        <v>743.44</v>
      </c>
      <c r="I656">
        <v>14868.8</v>
      </c>
      <c r="J656">
        <v>12.6</v>
      </c>
      <c r="K656">
        <v>2379.0100000000002</v>
      </c>
      <c r="L656">
        <v>15374.34</v>
      </c>
      <c r="M656" t="s">
        <v>4227</v>
      </c>
      <c r="N656" t="s">
        <v>4248</v>
      </c>
      <c r="O656" t="s">
        <v>2432</v>
      </c>
      <c r="P656" t="s">
        <v>2538</v>
      </c>
      <c r="Q656" t="s">
        <v>5655</v>
      </c>
      <c r="R656" t="s">
        <v>3425</v>
      </c>
      <c r="S656" t="s">
        <v>4235</v>
      </c>
    </row>
    <row r="657" spans="1:19" hidden="1" x14ac:dyDescent="0.25">
      <c r="A657" t="s">
        <v>5656</v>
      </c>
      <c r="B657" t="s">
        <v>3182</v>
      </c>
      <c r="C657" t="s">
        <v>3021</v>
      </c>
      <c r="D657" t="s">
        <v>2943</v>
      </c>
      <c r="E657" t="s">
        <v>2304</v>
      </c>
      <c r="F657" t="s">
        <v>657</v>
      </c>
      <c r="G657">
        <v>20</v>
      </c>
      <c r="H657">
        <v>751.52</v>
      </c>
      <c r="I657">
        <v>15030.4</v>
      </c>
      <c r="J657">
        <v>1.3</v>
      </c>
      <c r="K657">
        <v>2404.86</v>
      </c>
      <c r="L657">
        <v>17239.86</v>
      </c>
      <c r="M657" t="s">
        <v>4227</v>
      </c>
      <c r="N657" t="s">
        <v>1520</v>
      </c>
      <c r="O657" t="s">
        <v>2407</v>
      </c>
      <c r="P657" t="s">
        <v>2568</v>
      </c>
      <c r="Q657" t="s">
        <v>5657</v>
      </c>
      <c r="R657" t="s">
        <v>3425</v>
      </c>
      <c r="S657" t="s">
        <v>4230</v>
      </c>
    </row>
    <row r="658" spans="1:19" hidden="1" x14ac:dyDescent="0.25">
      <c r="A658" t="s">
        <v>5658</v>
      </c>
      <c r="B658" t="s">
        <v>3739</v>
      </c>
      <c r="C658" t="s">
        <v>3727</v>
      </c>
      <c r="D658" t="s">
        <v>3901</v>
      </c>
      <c r="E658" t="s">
        <v>2152</v>
      </c>
      <c r="F658" t="s">
        <v>749</v>
      </c>
      <c r="G658">
        <v>24</v>
      </c>
      <c r="H658">
        <v>462.4</v>
      </c>
      <c r="I658">
        <v>11097.6</v>
      </c>
      <c r="J658">
        <v>18.3</v>
      </c>
      <c r="K658">
        <v>1775.62</v>
      </c>
      <c r="L658">
        <v>10842.36</v>
      </c>
      <c r="M658" t="s">
        <v>3428</v>
      </c>
      <c r="N658" t="s">
        <v>1121</v>
      </c>
      <c r="O658" t="s">
        <v>2388</v>
      </c>
      <c r="P658" t="s">
        <v>2541</v>
      </c>
      <c r="Q658" t="s">
        <v>5659</v>
      </c>
      <c r="R658" t="s">
        <v>3425</v>
      </c>
    </row>
    <row r="659" spans="1:19" hidden="1" x14ac:dyDescent="0.25">
      <c r="A659" t="s">
        <v>5660</v>
      </c>
      <c r="B659" t="s">
        <v>4109</v>
      </c>
      <c r="C659" t="s">
        <v>3756</v>
      </c>
      <c r="D659" t="s">
        <v>3895</v>
      </c>
      <c r="E659" t="s">
        <v>2135</v>
      </c>
      <c r="F659" t="s">
        <v>198</v>
      </c>
      <c r="G659">
        <v>22</v>
      </c>
      <c r="H659">
        <v>547.37</v>
      </c>
      <c r="I659">
        <v>12042.14</v>
      </c>
      <c r="J659">
        <v>18.399999999999999</v>
      </c>
      <c r="K659">
        <v>1926.74</v>
      </c>
      <c r="L659">
        <v>11753.13</v>
      </c>
      <c r="M659" t="s">
        <v>3442</v>
      </c>
      <c r="N659" t="s">
        <v>1121</v>
      </c>
      <c r="O659" t="s">
        <v>2407</v>
      </c>
      <c r="P659" t="s">
        <v>2501</v>
      </c>
      <c r="Q659" t="s">
        <v>5661</v>
      </c>
      <c r="R659" t="s">
        <v>3429</v>
      </c>
      <c r="S659" t="s">
        <v>4230</v>
      </c>
    </row>
    <row r="660" spans="1:19" hidden="1" x14ac:dyDescent="0.25">
      <c r="A660" t="s">
        <v>5662</v>
      </c>
      <c r="B660" t="s">
        <v>3044</v>
      </c>
      <c r="C660" t="s">
        <v>3301</v>
      </c>
      <c r="D660" t="s">
        <v>2244</v>
      </c>
      <c r="E660" t="s">
        <v>1566</v>
      </c>
      <c r="F660" t="s">
        <v>814</v>
      </c>
      <c r="G660">
        <v>23</v>
      </c>
      <c r="H660">
        <v>601.46</v>
      </c>
      <c r="I660">
        <v>13833.58</v>
      </c>
      <c r="J660">
        <v>5.0999999999999996</v>
      </c>
      <c r="K660">
        <v>2213.37</v>
      </c>
      <c r="L660">
        <v>15341.44</v>
      </c>
      <c r="M660" t="s">
        <v>3428</v>
      </c>
      <c r="N660" t="s">
        <v>4233</v>
      </c>
      <c r="O660" t="s">
        <v>2440</v>
      </c>
      <c r="P660" t="s">
        <v>2506</v>
      </c>
      <c r="Q660" t="s">
        <v>5663</v>
      </c>
      <c r="R660" t="s">
        <v>3429</v>
      </c>
      <c r="S660" t="s">
        <v>3466</v>
      </c>
    </row>
    <row r="661" spans="1:19" hidden="1" x14ac:dyDescent="0.25">
      <c r="A661" t="s">
        <v>5664</v>
      </c>
      <c r="B661" t="s">
        <v>3672</v>
      </c>
      <c r="C661" t="s">
        <v>4087</v>
      </c>
      <c r="D661" t="s">
        <v>3673</v>
      </c>
      <c r="E661" t="s">
        <v>2287</v>
      </c>
      <c r="F661" t="s">
        <v>432</v>
      </c>
      <c r="G661">
        <v>25</v>
      </c>
      <c r="H661">
        <v>241.35</v>
      </c>
      <c r="I661">
        <v>6033.75</v>
      </c>
      <c r="J661">
        <v>2.4</v>
      </c>
      <c r="K661">
        <v>965.4</v>
      </c>
      <c r="L661">
        <v>6854.34</v>
      </c>
      <c r="M661" t="s">
        <v>4227</v>
      </c>
      <c r="N661" t="s">
        <v>4243</v>
      </c>
      <c r="O661" t="s">
        <v>2388</v>
      </c>
      <c r="P661" t="s">
        <v>2554</v>
      </c>
      <c r="Q661" t="s">
        <v>5665</v>
      </c>
      <c r="R661" t="s">
        <v>3425</v>
      </c>
      <c r="S661" t="s">
        <v>4235</v>
      </c>
    </row>
    <row r="662" spans="1:19" hidden="1" x14ac:dyDescent="0.25">
      <c r="A662" t="s">
        <v>5666</v>
      </c>
      <c r="B662" t="s">
        <v>3160</v>
      </c>
      <c r="C662" t="s">
        <v>3160</v>
      </c>
      <c r="D662" t="s">
        <v>2950</v>
      </c>
      <c r="E662" t="s">
        <v>1566</v>
      </c>
      <c r="F662" t="s">
        <v>677</v>
      </c>
      <c r="G662">
        <v>1</v>
      </c>
      <c r="H662">
        <v>369.34</v>
      </c>
      <c r="I662">
        <v>369.34</v>
      </c>
      <c r="J662">
        <v>19</v>
      </c>
      <c r="K662">
        <v>59.09</v>
      </c>
      <c r="L662">
        <v>358.26</v>
      </c>
      <c r="M662" t="s">
        <v>4247</v>
      </c>
      <c r="N662" t="s">
        <v>4233</v>
      </c>
      <c r="O662" t="s">
        <v>2432</v>
      </c>
      <c r="P662" t="s">
        <v>2548</v>
      </c>
      <c r="Q662" t="s">
        <v>5667</v>
      </c>
      <c r="R662" t="s">
        <v>3434</v>
      </c>
    </row>
    <row r="663" spans="1:19" x14ac:dyDescent="0.25">
      <c r="A663" t="s">
        <v>5668</v>
      </c>
      <c r="B663" s="2" t="s">
        <v>2791</v>
      </c>
      <c r="C663" t="s">
        <v>2791</v>
      </c>
      <c r="D663" t="s">
        <v>2033</v>
      </c>
      <c r="E663" t="s">
        <v>1766</v>
      </c>
      <c r="F663" t="s">
        <v>1091</v>
      </c>
      <c r="G663">
        <v>20</v>
      </c>
      <c r="H663">
        <v>770.22</v>
      </c>
      <c r="I663">
        <v>15404.4</v>
      </c>
      <c r="J663">
        <v>13.4</v>
      </c>
      <c r="K663">
        <v>2464.6999999999998</v>
      </c>
      <c r="L663">
        <v>15804.91</v>
      </c>
      <c r="M663" t="s">
        <v>4232</v>
      </c>
      <c r="N663" t="s">
        <v>4248</v>
      </c>
      <c r="O663" t="s">
        <v>2449</v>
      </c>
      <c r="P663" t="s">
        <v>2506</v>
      </c>
      <c r="Q663" t="s">
        <v>5669</v>
      </c>
      <c r="R663" t="s">
        <v>4245</v>
      </c>
      <c r="S663" t="s">
        <v>4292</v>
      </c>
    </row>
    <row r="664" spans="1:19" hidden="1" x14ac:dyDescent="0.25">
      <c r="A664" t="s">
        <v>5670</v>
      </c>
      <c r="B664" t="s">
        <v>2984</v>
      </c>
      <c r="C664" t="s">
        <v>3252</v>
      </c>
      <c r="D664" t="s">
        <v>2277</v>
      </c>
      <c r="E664" t="s">
        <v>1511</v>
      </c>
      <c r="F664" t="s">
        <v>1056</v>
      </c>
      <c r="G664">
        <v>9</v>
      </c>
      <c r="H664">
        <v>573.19000000000005</v>
      </c>
      <c r="I664">
        <v>5158.71</v>
      </c>
      <c r="J664">
        <v>14.4</v>
      </c>
      <c r="K664">
        <v>825.39</v>
      </c>
      <c r="L664">
        <v>5241.25</v>
      </c>
      <c r="M664" t="s">
        <v>4247</v>
      </c>
      <c r="N664" t="s">
        <v>4243</v>
      </c>
      <c r="O664" t="s">
        <v>2407</v>
      </c>
      <c r="P664" t="s">
        <v>2506</v>
      </c>
      <c r="Q664" t="s">
        <v>5671</v>
      </c>
      <c r="R664" t="s">
        <v>4275</v>
      </c>
    </row>
    <row r="665" spans="1:19" hidden="1" x14ac:dyDescent="0.25">
      <c r="A665" t="s">
        <v>5672</v>
      </c>
      <c r="B665" t="s">
        <v>2946</v>
      </c>
      <c r="C665" t="s">
        <v>2946</v>
      </c>
      <c r="D665" t="s">
        <v>2700</v>
      </c>
      <c r="E665" t="s">
        <v>2144</v>
      </c>
      <c r="F665" t="s">
        <v>1041</v>
      </c>
      <c r="G665">
        <v>42</v>
      </c>
      <c r="H665">
        <v>568.11</v>
      </c>
      <c r="I665">
        <v>23860.62</v>
      </c>
      <c r="J665">
        <v>14.1</v>
      </c>
      <c r="K665">
        <v>3817.7</v>
      </c>
      <c r="L665">
        <v>24313.97</v>
      </c>
      <c r="M665" t="s">
        <v>3442</v>
      </c>
      <c r="N665" t="s">
        <v>1520</v>
      </c>
      <c r="O665" t="s">
        <v>2432</v>
      </c>
      <c r="P665" t="s">
        <v>2535</v>
      </c>
      <c r="Q665" t="s">
        <v>5673</v>
      </c>
      <c r="R665" t="s">
        <v>3429</v>
      </c>
      <c r="S665" t="s">
        <v>4235</v>
      </c>
    </row>
    <row r="666" spans="1:19" hidden="1" x14ac:dyDescent="0.25">
      <c r="A666" t="s">
        <v>5674</v>
      </c>
      <c r="B666" t="s">
        <v>4164</v>
      </c>
      <c r="C666" t="s">
        <v>3777</v>
      </c>
      <c r="D666" t="s">
        <v>3473</v>
      </c>
      <c r="E666" t="s">
        <v>1965</v>
      </c>
      <c r="F666" t="s">
        <v>667</v>
      </c>
      <c r="G666">
        <v>5</v>
      </c>
      <c r="H666">
        <v>101.2</v>
      </c>
      <c r="I666">
        <v>506</v>
      </c>
      <c r="J666">
        <v>19.899999999999999</v>
      </c>
      <c r="K666">
        <v>80.959999999999994</v>
      </c>
      <c r="L666">
        <v>486.27</v>
      </c>
      <c r="M666" t="s">
        <v>3442</v>
      </c>
      <c r="N666" t="s">
        <v>4248</v>
      </c>
      <c r="O666" t="s">
        <v>2398</v>
      </c>
      <c r="P666" t="s">
        <v>2481</v>
      </c>
      <c r="Q666" t="s">
        <v>5675</v>
      </c>
      <c r="R666" t="s">
        <v>3425</v>
      </c>
      <c r="S666" t="s">
        <v>4292</v>
      </c>
    </row>
    <row r="667" spans="1:19" hidden="1" x14ac:dyDescent="0.25">
      <c r="A667" t="s">
        <v>5676</v>
      </c>
      <c r="B667" t="s">
        <v>3859</v>
      </c>
      <c r="C667" t="s">
        <v>2839</v>
      </c>
      <c r="D667" t="s">
        <v>2696</v>
      </c>
      <c r="E667" t="s">
        <v>2185</v>
      </c>
      <c r="F667" t="s">
        <v>865</v>
      </c>
      <c r="G667">
        <v>35</v>
      </c>
      <c r="H667">
        <v>131.69</v>
      </c>
      <c r="I667">
        <v>4609.1499999999996</v>
      </c>
      <c r="J667">
        <v>18</v>
      </c>
      <c r="K667">
        <v>737.46</v>
      </c>
      <c r="L667">
        <v>4516.96</v>
      </c>
      <c r="M667" t="s">
        <v>4232</v>
      </c>
      <c r="N667" t="s">
        <v>1121</v>
      </c>
      <c r="O667" t="s">
        <v>2432</v>
      </c>
      <c r="P667" t="s">
        <v>2538</v>
      </c>
      <c r="Q667" t="s">
        <v>5677</v>
      </c>
      <c r="R667" t="s">
        <v>3425</v>
      </c>
      <c r="S667" t="s">
        <v>3466</v>
      </c>
    </row>
    <row r="668" spans="1:19" hidden="1" x14ac:dyDescent="0.25">
      <c r="A668" t="s">
        <v>5678</v>
      </c>
      <c r="B668" t="s">
        <v>3465</v>
      </c>
      <c r="C668" t="s">
        <v>2804</v>
      </c>
      <c r="D668" t="s">
        <v>3652</v>
      </c>
      <c r="E668" t="s">
        <v>2007</v>
      </c>
      <c r="F668" t="s">
        <v>900</v>
      </c>
      <c r="G668">
        <v>5</v>
      </c>
      <c r="H668">
        <v>361.92</v>
      </c>
      <c r="I668">
        <v>1809.6</v>
      </c>
      <c r="J668">
        <v>12.7</v>
      </c>
      <c r="K668">
        <v>289.54000000000002</v>
      </c>
      <c r="L668">
        <v>1869.32</v>
      </c>
      <c r="M668" t="s">
        <v>4227</v>
      </c>
      <c r="N668" t="s">
        <v>4248</v>
      </c>
      <c r="O668" t="s">
        <v>2376</v>
      </c>
      <c r="P668" t="s">
        <v>2551</v>
      </c>
      <c r="Q668" t="s">
        <v>5679</v>
      </c>
      <c r="R668" t="s">
        <v>3425</v>
      </c>
      <c r="S668" t="s">
        <v>4230</v>
      </c>
    </row>
    <row r="669" spans="1:19" hidden="1" x14ac:dyDescent="0.25">
      <c r="A669" t="s">
        <v>5680</v>
      </c>
      <c r="B669" t="s">
        <v>2879</v>
      </c>
      <c r="C669" t="s">
        <v>3582</v>
      </c>
      <c r="D669" t="s">
        <v>3395</v>
      </c>
      <c r="E669" t="s">
        <v>1566</v>
      </c>
      <c r="F669" t="s">
        <v>698</v>
      </c>
      <c r="G669">
        <v>20</v>
      </c>
      <c r="H669">
        <v>781.17</v>
      </c>
      <c r="I669">
        <v>15623.4</v>
      </c>
      <c r="J669">
        <v>18.2</v>
      </c>
      <c r="K669">
        <v>2499.7399999999998</v>
      </c>
      <c r="L669">
        <v>15279.68</v>
      </c>
      <c r="M669" t="s">
        <v>4238</v>
      </c>
      <c r="N669" t="s">
        <v>1520</v>
      </c>
      <c r="O669" t="s">
        <v>2376</v>
      </c>
      <c r="P669" t="s">
        <v>2491</v>
      </c>
      <c r="Q669" t="s">
        <v>5681</v>
      </c>
      <c r="R669" t="s">
        <v>3425</v>
      </c>
      <c r="S669" t="s">
        <v>3466</v>
      </c>
    </row>
    <row r="670" spans="1:19" hidden="1" x14ac:dyDescent="0.25">
      <c r="A670" t="s">
        <v>5682</v>
      </c>
      <c r="B670" t="s">
        <v>3770</v>
      </c>
      <c r="C670" t="s">
        <v>3674</v>
      </c>
      <c r="D670" t="s">
        <v>3454</v>
      </c>
      <c r="E670" t="s">
        <v>2336</v>
      </c>
      <c r="F670" t="s">
        <v>258</v>
      </c>
      <c r="G670">
        <v>25</v>
      </c>
      <c r="H670">
        <v>274.55</v>
      </c>
      <c r="I670">
        <v>6863.75</v>
      </c>
      <c r="J670">
        <v>11.4</v>
      </c>
      <c r="K670">
        <v>1098.2</v>
      </c>
      <c r="L670">
        <v>7179.48</v>
      </c>
      <c r="M670" t="s">
        <v>4247</v>
      </c>
      <c r="N670" t="s">
        <v>1520</v>
      </c>
      <c r="O670" t="s">
        <v>2456</v>
      </c>
      <c r="P670" t="s">
        <v>2554</v>
      </c>
      <c r="Q670" t="s">
        <v>5683</v>
      </c>
      <c r="R670" t="s">
        <v>3425</v>
      </c>
    </row>
    <row r="671" spans="1:19" hidden="1" x14ac:dyDescent="0.25">
      <c r="A671" t="s">
        <v>5684</v>
      </c>
      <c r="B671" t="s">
        <v>3624</v>
      </c>
      <c r="C671" t="s">
        <v>2866</v>
      </c>
      <c r="D671" t="s">
        <v>1695</v>
      </c>
      <c r="E671" t="s">
        <v>2051</v>
      </c>
      <c r="F671" t="s">
        <v>990</v>
      </c>
      <c r="G671">
        <v>29</v>
      </c>
      <c r="H671">
        <v>400.5</v>
      </c>
      <c r="I671">
        <v>11614.5</v>
      </c>
      <c r="J671">
        <v>17.600000000000001</v>
      </c>
      <c r="K671">
        <v>1858.32</v>
      </c>
      <c r="L671">
        <v>11428.67</v>
      </c>
      <c r="M671" t="s">
        <v>4257</v>
      </c>
      <c r="N671" t="s">
        <v>4233</v>
      </c>
      <c r="O671" t="s">
        <v>2407</v>
      </c>
      <c r="P671" t="s">
        <v>2544</v>
      </c>
      <c r="Q671" t="s">
        <v>5685</v>
      </c>
      <c r="R671" t="s">
        <v>3425</v>
      </c>
      <c r="S671" t="s">
        <v>4230</v>
      </c>
    </row>
    <row r="672" spans="1:19" hidden="1" x14ac:dyDescent="0.25">
      <c r="A672" t="s">
        <v>5686</v>
      </c>
      <c r="B672" t="s">
        <v>4621</v>
      </c>
      <c r="C672" t="s">
        <v>3968</v>
      </c>
      <c r="D672" t="s">
        <v>4120</v>
      </c>
      <c r="E672" t="s">
        <v>1890</v>
      </c>
      <c r="F672" t="s">
        <v>159</v>
      </c>
      <c r="G672">
        <v>47</v>
      </c>
      <c r="H672">
        <v>677.61</v>
      </c>
      <c r="I672">
        <v>31847.67</v>
      </c>
      <c r="J672">
        <v>4.2</v>
      </c>
      <c r="K672">
        <v>5095.63</v>
      </c>
      <c r="L672">
        <v>35605.699999999997</v>
      </c>
      <c r="M672" t="s">
        <v>4227</v>
      </c>
      <c r="N672" t="s">
        <v>4243</v>
      </c>
      <c r="O672" t="s">
        <v>2416</v>
      </c>
      <c r="P672" t="s">
        <v>2544</v>
      </c>
      <c r="Q672" t="s">
        <v>5687</v>
      </c>
      <c r="R672" t="s">
        <v>3425</v>
      </c>
    </row>
    <row r="673" spans="1:19" x14ac:dyDescent="0.25">
      <c r="A673" t="s">
        <v>5688</v>
      </c>
      <c r="B673" s="2" t="s">
        <v>3811</v>
      </c>
      <c r="C673" t="s">
        <v>3991</v>
      </c>
      <c r="D673" t="s">
        <v>4088</v>
      </c>
      <c r="E673" t="s">
        <v>2103</v>
      </c>
      <c r="F673" t="s">
        <v>799</v>
      </c>
      <c r="G673">
        <v>15</v>
      </c>
      <c r="H673">
        <v>558.13</v>
      </c>
      <c r="I673">
        <v>8371.9500000000007</v>
      </c>
      <c r="J673">
        <v>6</v>
      </c>
      <c r="K673">
        <v>1339.51</v>
      </c>
      <c r="L673">
        <v>9209.14</v>
      </c>
      <c r="M673" t="s">
        <v>4257</v>
      </c>
      <c r="N673" t="s">
        <v>4248</v>
      </c>
      <c r="O673" t="s">
        <v>2425</v>
      </c>
      <c r="P673" t="s">
        <v>2515</v>
      </c>
      <c r="Q673" t="s">
        <v>5689</v>
      </c>
      <c r="R673" t="s">
        <v>4245</v>
      </c>
      <c r="S673" t="s">
        <v>4292</v>
      </c>
    </row>
    <row r="674" spans="1:19" hidden="1" x14ac:dyDescent="0.25">
      <c r="A674" t="s">
        <v>5690</v>
      </c>
      <c r="B674" t="s">
        <v>3552</v>
      </c>
      <c r="C674" t="s">
        <v>3796</v>
      </c>
      <c r="D674" t="s">
        <v>3802</v>
      </c>
      <c r="E674" t="s">
        <v>2152</v>
      </c>
      <c r="F674" t="s">
        <v>353</v>
      </c>
      <c r="G674">
        <v>10</v>
      </c>
      <c r="H674">
        <v>386.08</v>
      </c>
      <c r="I674">
        <v>3860.8</v>
      </c>
      <c r="J674">
        <v>2.2999999999999998</v>
      </c>
      <c r="K674">
        <v>617.73</v>
      </c>
      <c r="L674">
        <v>4389.7299999999996</v>
      </c>
      <c r="M674" t="s">
        <v>4232</v>
      </c>
      <c r="N674" t="s">
        <v>1520</v>
      </c>
      <c r="O674" t="s">
        <v>2456</v>
      </c>
      <c r="P674" t="s">
        <v>2522</v>
      </c>
      <c r="Q674" t="s">
        <v>5691</v>
      </c>
      <c r="R674" t="s">
        <v>3425</v>
      </c>
    </row>
    <row r="675" spans="1:19" hidden="1" x14ac:dyDescent="0.25">
      <c r="A675" t="s">
        <v>5692</v>
      </c>
      <c r="B675" t="s">
        <v>3571</v>
      </c>
      <c r="C675" t="s">
        <v>3984</v>
      </c>
      <c r="D675" t="s">
        <v>3505</v>
      </c>
      <c r="E675" t="s">
        <v>1838</v>
      </c>
      <c r="F675" t="s">
        <v>62</v>
      </c>
      <c r="G675">
        <v>38</v>
      </c>
      <c r="H675">
        <v>357.78</v>
      </c>
      <c r="I675">
        <v>13595.64</v>
      </c>
      <c r="J675">
        <v>4.9000000000000004</v>
      </c>
      <c r="K675">
        <v>2175.3000000000002</v>
      </c>
      <c r="L675">
        <v>15104.75</v>
      </c>
      <c r="M675" t="s">
        <v>4257</v>
      </c>
      <c r="N675" t="s">
        <v>4228</v>
      </c>
      <c r="O675" t="s">
        <v>2407</v>
      </c>
      <c r="P675" t="s">
        <v>2481</v>
      </c>
      <c r="Q675" t="s">
        <v>5693</v>
      </c>
      <c r="R675" t="s">
        <v>3425</v>
      </c>
    </row>
    <row r="676" spans="1:19" hidden="1" x14ac:dyDescent="0.25">
      <c r="A676" t="s">
        <v>5694</v>
      </c>
      <c r="B676" t="s">
        <v>4068</v>
      </c>
      <c r="C676" t="s">
        <v>2895</v>
      </c>
      <c r="D676" t="s">
        <v>3114</v>
      </c>
      <c r="E676" t="s">
        <v>1608</v>
      </c>
      <c r="F676" t="s">
        <v>1041</v>
      </c>
      <c r="G676">
        <v>45</v>
      </c>
      <c r="H676">
        <v>528.73</v>
      </c>
      <c r="I676">
        <v>23792.85</v>
      </c>
      <c r="J676">
        <v>19.3</v>
      </c>
      <c r="K676">
        <v>3806.86</v>
      </c>
      <c r="L676">
        <v>23007.69</v>
      </c>
      <c r="M676" t="s">
        <v>4232</v>
      </c>
      <c r="N676" t="s">
        <v>4233</v>
      </c>
      <c r="O676" t="s">
        <v>2425</v>
      </c>
      <c r="P676" t="s">
        <v>2486</v>
      </c>
      <c r="Q676" t="s">
        <v>5695</v>
      </c>
      <c r="R676" t="s">
        <v>3434</v>
      </c>
    </row>
    <row r="677" spans="1:19" hidden="1" x14ac:dyDescent="0.25">
      <c r="A677" t="s">
        <v>5696</v>
      </c>
      <c r="B677" t="s">
        <v>4829</v>
      </c>
      <c r="C677" t="s">
        <v>5010</v>
      </c>
      <c r="D677" t="s">
        <v>1964</v>
      </c>
      <c r="E677" t="s">
        <v>1990</v>
      </c>
      <c r="F677" t="s">
        <v>728</v>
      </c>
      <c r="G677">
        <v>35</v>
      </c>
      <c r="H677">
        <v>430.04</v>
      </c>
      <c r="I677">
        <v>15051.4</v>
      </c>
      <c r="J677">
        <v>12.6</v>
      </c>
      <c r="K677">
        <v>2408.2199999999998</v>
      </c>
      <c r="L677">
        <v>15563.14</v>
      </c>
      <c r="M677" t="s">
        <v>4232</v>
      </c>
      <c r="N677" t="s">
        <v>4233</v>
      </c>
      <c r="O677" t="s">
        <v>2449</v>
      </c>
      <c r="P677" t="s">
        <v>2535</v>
      </c>
      <c r="Q677" t="s">
        <v>5697</v>
      </c>
      <c r="R677" t="s">
        <v>3429</v>
      </c>
      <c r="S677" t="s">
        <v>4230</v>
      </c>
    </row>
    <row r="678" spans="1:19" hidden="1" x14ac:dyDescent="0.25">
      <c r="A678" t="s">
        <v>5698</v>
      </c>
      <c r="B678" t="s">
        <v>4063</v>
      </c>
      <c r="C678" t="s">
        <v>2641</v>
      </c>
      <c r="D678" t="s">
        <v>2811</v>
      </c>
      <c r="E678" t="s">
        <v>1981</v>
      </c>
      <c r="F678" t="s">
        <v>495</v>
      </c>
      <c r="G678">
        <v>9</v>
      </c>
      <c r="H678">
        <v>364.53</v>
      </c>
      <c r="I678">
        <v>3280.77</v>
      </c>
      <c r="J678">
        <v>9.1</v>
      </c>
      <c r="K678">
        <v>524.91999999999996</v>
      </c>
      <c r="L678">
        <v>3507.14</v>
      </c>
      <c r="M678" t="s">
        <v>4232</v>
      </c>
      <c r="N678" t="s">
        <v>4243</v>
      </c>
      <c r="O678" t="s">
        <v>2376</v>
      </c>
      <c r="P678" t="s">
        <v>2495</v>
      </c>
      <c r="Q678" t="s">
        <v>5699</v>
      </c>
      <c r="R678" t="s">
        <v>3425</v>
      </c>
    </row>
    <row r="679" spans="1:19" hidden="1" x14ac:dyDescent="0.25">
      <c r="A679" t="s">
        <v>5700</v>
      </c>
      <c r="B679" t="s">
        <v>3672</v>
      </c>
      <c r="C679" t="s">
        <v>3483</v>
      </c>
      <c r="D679" t="s">
        <v>3483</v>
      </c>
      <c r="E679" t="s">
        <v>2304</v>
      </c>
      <c r="F679" t="s">
        <v>174</v>
      </c>
      <c r="G679">
        <v>24</v>
      </c>
      <c r="H679">
        <v>853.65</v>
      </c>
      <c r="I679">
        <v>20487.599999999999</v>
      </c>
      <c r="J679">
        <v>3.6</v>
      </c>
      <c r="K679">
        <v>3278.02</v>
      </c>
      <c r="L679">
        <v>23028.07</v>
      </c>
      <c r="M679" t="s">
        <v>3428</v>
      </c>
      <c r="N679" t="s">
        <v>4233</v>
      </c>
      <c r="O679" t="s">
        <v>2376</v>
      </c>
      <c r="P679" t="s">
        <v>2501</v>
      </c>
      <c r="Q679" t="s">
        <v>5701</v>
      </c>
      <c r="R679" t="s">
        <v>3425</v>
      </c>
      <c r="S679" t="s">
        <v>4235</v>
      </c>
    </row>
    <row r="680" spans="1:19" hidden="1" x14ac:dyDescent="0.25">
      <c r="A680" t="s">
        <v>5702</v>
      </c>
      <c r="B680" t="s">
        <v>4503</v>
      </c>
      <c r="C680" t="s">
        <v>2604</v>
      </c>
      <c r="D680" t="s">
        <v>3031</v>
      </c>
      <c r="E680" t="s">
        <v>1881</v>
      </c>
      <c r="F680" t="s">
        <v>940</v>
      </c>
      <c r="G680">
        <v>45</v>
      </c>
      <c r="H680">
        <v>853.9</v>
      </c>
      <c r="I680">
        <v>38425.5</v>
      </c>
      <c r="J680">
        <v>18.2</v>
      </c>
      <c r="K680">
        <v>6148.08</v>
      </c>
      <c r="L680">
        <v>37580.14</v>
      </c>
      <c r="M680" t="s">
        <v>4238</v>
      </c>
      <c r="N680" t="s">
        <v>1121</v>
      </c>
      <c r="O680" t="s">
        <v>2398</v>
      </c>
      <c r="P680" t="s">
        <v>2519</v>
      </c>
      <c r="Q680" t="s">
        <v>5703</v>
      </c>
      <c r="R680" t="s">
        <v>3425</v>
      </c>
      <c r="S680" t="s">
        <v>4292</v>
      </c>
    </row>
    <row r="681" spans="1:19" hidden="1" x14ac:dyDescent="0.25">
      <c r="A681" t="s">
        <v>5704</v>
      </c>
      <c r="B681" t="s">
        <v>3773</v>
      </c>
      <c r="C681" t="s">
        <v>3773</v>
      </c>
      <c r="D681" t="s">
        <v>5196</v>
      </c>
      <c r="E681" t="s">
        <v>1678</v>
      </c>
      <c r="F681" t="s">
        <v>87</v>
      </c>
      <c r="G681">
        <v>26</v>
      </c>
      <c r="H681">
        <v>427.09</v>
      </c>
      <c r="I681">
        <v>11104.34</v>
      </c>
      <c r="J681">
        <v>0.7</v>
      </c>
      <c r="K681">
        <v>1776.69</v>
      </c>
      <c r="L681">
        <v>12803.3</v>
      </c>
      <c r="M681" t="s">
        <v>4227</v>
      </c>
      <c r="N681" t="s">
        <v>4243</v>
      </c>
      <c r="O681" t="s">
        <v>2456</v>
      </c>
      <c r="P681" t="s">
        <v>2548</v>
      </c>
      <c r="Q681" t="s">
        <v>5705</v>
      </c>
      <c r="R681" t="s">
        <v>3425</v>
      </c>
      <c r="S681" t="s">
        <v>4235</v>
      </c>
    </row>
    <row r="682" spans="1:19" hidden="1" x14ac:dyDescent="0.25">
      <c r="A682" t="s">
        <v>5706</v>
      </c>
      <c r="B682" t="s">
        <v>3252</v>
      </c>
      <c r="C682" t="s">
        <v>2614</v>
      </c>
      <c r="D682" t="s">
        <v>3051</v>
      </c>
      <c r="E682" t="s">
        <v>1981</v>
      </c>
      <c r="F682" t="s">
        <v>420</v>
      </c>
      <c r="G682">
        <v>14</v>
      </c>
      <c r="H682">
        <v>779.04</v>
      </c>
      <c r="I682">
        <v>10906.56</v>
      </c>
      <c r="J682">
        <v>10.4</v>
      </c>
      <c r="K682">
        <v>1745.05</v>
      </c>
      <c r="L682">
        <v>11517.33</v>
      </c>
      <c r="M682" t="s">
        <v>3442</v>
      </c>
      <c r="N682" t="s">
        <v>4248</v>
      </c>
      <c r="O682" t="s">
        <v>2376</v>
      </c>
      <c r="P682" t="s">
        <v>2481</v>
      </c>
      <c r="Q682" t="s">
        <v>5707</v>
      </c>
      <c r="R682" t="s">
        <v>3425</v>
      </c>
    </row>
    <row r="683" spans="1:19" hidden="1" x14ac:dyDescent="0.25">
      <c r="A683" t="s">
        <v>5708</v>
      </c>
      <c r="B683" t="s">
        <v>2505</v>
      </c>
      <c r="C683" t="s">
        <v>2505</v>
      </c>
      <c r="D683" t="s">
        <v>3978</v>
      </c>
      <c r="E683" t="s">
        <v>1713</v>
      </c>
      <c r="F683" t="s">
        <v>965</v>
      </c>
      <c r="G683">
        <v>12</v>
      </c>
      <c r="H683">
        <v>137.75</v>
      </c>
      <c r="I683">
        <v>1653</v>
      </c>
      <c r="J683">
        <v>7.6</v>
      </c>
      <c r="K683">
        <v>264.48</v>
      </c>
      <c r="L683">
        <v>1791.85</v>
      </c>
      <c r="M683" t="s">
        <v>4247</v>
      </c>
      <c r="N683" t="s">
        <v>4243</v>
      </c>
      <c r="O683" t="s">
        <v>2456</v>
      </c>
      <c r="P683" t="s">
        <v>2568</v>
      </c>
      <c r="Q683" t="s">
        <v>5709</v>
      </c>
      <c r="R683" t="s">
        <v>3425</v>
      </c>
      <c r="S683" t="s">
        <v>4292</v>
      </c>
    </row>
    <row r="684" spans="1:19" hidden="1" x14ac:dyDescent="0.25">
      <c r="A684" t="s">
        <v>5710</v>
      </c>
      <c r="B684" t="s">
        <v>2943</v>
      </c>
      <c r="C684" t="s">
        <v>4664</v>
      </c>
      <c r="D684" t="s">
        <v>3088</v>
      </c>
      <c r="E684" t="s">
        <v>2103</v>
      </c>
      <c r="F684" t="s">
        <v>500</v>
      </c>
      <c r="G684">
        <v>14</v>
      </c>
      <c r="H684">
        <v>278.89999999999998</v>
      </c>
      <c r="I684">
        <v>3904.6</v>
      </c>
      <c r="J684">
        <v>2</v>
      </c>
      <c r="K684">
        <v>624.74</v>
      </c>
      <c r="L684">
        <v>4451.25</v>
      </c>
      <c r="M684" t="s">
        <v>3442</v>
      </c>
      <c r="N684" t="s">
        <v>4228</v>
      </c>
      <c r="O684" t="s">
        <v>2432</v>
      </c>
      <c r="P684" t="s">
        <v>2491</v>
      </c>
      <c r="Q684" t="s">
        <v>5711</v>
      </c>
      <c r="R684" t="s">
        <v>3425</v>
      </c>
    </row>
    <row r="685" spans="1:19" hidden="1" x14ac:dyDescent="0.25">
      <c r="A685" t="s">
        <v>5712</v>
      </c>
      <c r="B685" t="s">
        <v>3447</v>
      </c>
      <c r="C685" t="s">
        <v>3788</v>
      </c>
      <c r="D685" t="s">
        <v>3551</v>
      </c>
      <c r="E685" t="s">
        <v>2312</v>
      </c>
      <c r="F685" t="s">
        <v>880</v>
      </c>
      <c r="G685">
        <v>17</v>
      </c>
      <c r="H685">
        <v>368.43</v>
      </c>
      <c r="I685">
        <v>6263.31</v>
      </c>
      <c r="J685">
        <v>17.2</v>
      </c>
      <c r="K685">
        <v>1002.13</v>
      </c>
      <c r="L685">
        <v>6188.15</v>
      </c>
      <c r="M685" t="s">
        <v>3442</v>
      </c>
      <c r="N685" t="s">
        <v>1121</v>
      </c>
      <c r="O685" t="s">
        <v>2416</v>
      </c>
      <c r="P685" t="s">
        <v>2501</v>
      </c>
      <c r="Q685" t="s">
        <v>5713</v>
      </c>
      <c r="R685" t="s">
        <v>3434</v>
      </c>
      <c r="S685" t="s">
        <v>4292</v>
      </c>
    </row>
    <row r="686" spans="1:19" hidden="1" x14ac:dyDescent="0.25">
      <c r="A686" t="s">
        <v>5714</v>
      </c>
      <c r="B686" t="s">
        <v>3616</v>
      </c>
      <c r="C686" t="s">
        <v>3568</v>
      </c>
      <c r="D686" t="s">
        <v>2550</v>
      </c>
      <c r="E686" t="s">
        <v>2185</v>
      </c>
      <c r="F686" t="s">
        <v>677</v>
      </c>
      <c r="G686">
        <v>28</v>
      </c>
      <c r="H686">
        <v>734.44</v>
      </c>
      <c r="I686">
        <v>20564.32</v>
      </c>
      <c r="J686">
        <v>3.5</v>
      </c>
      <c r="K686">
        <v>3290.29</v>
      </c>
      <c r="L686">
        <v>23134.86</v>
      </c>
      <c r="M686" t="s">
        <v>3442</v>
      </c>
      <c r="N686" t="s">
        <v>4248</v>
      </c>
      <c r="O686" t="s">
        <v>2398</v>
      </c>
      <c r="P686" t="s">
        <v>2564</v>
      </c>
      <c r="Q686" t="s">
        <v>5715</v>
      </c>
      <c r="R686" t="s">
        <v>4275</v>
      </c>
    </row>
    <row r="687" spans="1:19" hidden="1" x14ac:dyDescent="0.25">
      <c r="A687" t="s">
        <v>5716</v>
      </c>
      <c r="B687" t="s">
        <v>2628</v>
      </c>
      <c r="C687" t="s">
        <v>3605</v>
      </c>
      <c r="D687" t="s">
        <v>3580</v>
      </c>
      <c r="E687" t="s">
        <v>1990</v>
      </c>
      <c r="F687" t="s">
        <v>1076</v>
      </c>
      <c r="G687">
        <v>30</v>
      </c>
      <c r="H687">
        <v>609.33000000000004</v>
      </c>
      <c r="I687">
        <v>18279.900000000001</v>
      </c>
      <c r="J687">
        <v>9.5</v>
      </c>
      <c r="K687">
        <v>2924.78</v>
      </c>
      <c r="L687">
        <v>19468.09</v>
      </c>
      <c r="M687" t="s">
        <v>4232</v>
      </c>
      <c r="N687" t="s">
        <v>4228</v>
      </c>
      <c r="O687" t="s">
        <v>2425</v>
      </c>
      <c r="P687" t="s">
        <v>2501</v>
      </c>
      <c r="Q687" t="s">
        <v>5717</v>
      </c>
      <c r="R687" t="s">
        <v>3425</v>
      </c>
      <c r="S687" t="s">
        <v>4230</v>
      </c>
    </row>
    <row r="688" spans="1:19" hidden="1" x14ac:dyDescent="0.25">
      <c r="A688" t="s">
        <v>5718</v>
      </c>
      <c r="B688" t="s">
        <v>2687</v>
      </c>
      <c r="C688" t="s">
        <v>2791</v>
      </c>
      <c r="D688" t="s">
        <v>2627</v>
      </c>
      <c r="E688" t="s">
        <v>1956</v>
      </c>
      <c r="F688" t="s">
        <v>1106</v>
      </c>
      <c r="G688">
        <v>6</v>
      </c>
      <c r="H688">
        <v>367.69</v>
      </c>
      <c r="I688">
        <v>2206.14</v>
      </c>
      <c r="J688">
        <v>3.6</v>
      </c>
      <c r="K688">
        <v>352.98</v>
      </c>
      <c r="L688">
        <v>2479.6999999999998</v>
      </c>
      <c r="M688" t="s">
        <v>4238</v>
      </c>
      <c r="N688" t="s">
        <v>4248</v>
      </c>
      <c r="O688" t="s">
        <v>2456</v>
      </c>
      <c r="P688" t="s">
        <v>2486</v>
      </c>
      <c r="Q688" t="s">
        <v>5719</v>
      </c>
      <c r="R688" t="s">
        <v>3429</v>
      </c>
    </row>
    <row r="689" spans="1:19" hidden="1" x14ac:dyDescent="0.25">
      <c r="A689" t="s">
        <v>5720</v>
      </c>
      <c r="B689" t="s">
        <v>3753</v>
      </c>
      <c r="C689" t="s">
        <v>2985</v>
      </c>
      <c r="D689" t="s">
        <v>3965</v>
      </c>
      <c r="E689" t="s">
        <v>1923</v>
      </c>
      <c r="F689" t="s">
        <v>420</v>
      </c>
      <c r="G689">
        <v>41</v>
      </c>
      <c r="H689">
        <v>508.72</v>
      </c>
      <c r="I689">
        <v>20857.52</v>
      </c>
      <c r="J689">
        <v>12.4</v>
      </c>
      <c r="K689">
        <v>3337.2</v>
      </c>
      <c r="L689">
        <v>21608.39</v>
      </c>
      <c r="M689" t="s">
        <v>4257</v>
      </c>
      <c r="N689" t="s">
        <v>4248</v>
      </c>
      <c r="O689" t="s">
        <v>2440</v>
      </c>
      <c r="P689" t="s">
        <v>2525</v>
      </c>
      <c r="Q689" t="s">
        <v>5721</v>
      </c>
      <c r="R689" t="s">
        <v>3429</v>
      </c>
      <c r="S689" t="s">
        <v>4230</v>
      </c>
    </row>
    <row r="690" spans="1:19" hidden="1" x14ac:dyDescent="0.25">
      <c r="A690" t="s">
        <v>5722</v>
      </c>
      <c r="B690" t="s">
        <v>3969</v>
      </c>
      <c r="C690" t="s">
        <v>5723</v>
      </c>
      <c r="D690" t="s">
        <v>3870</v>
      </c>
      <c r="E690" t="s">
        <v>1687</v>
      </c>
      <c r="F690" t="s">
        <v>473</v>
      </c>
      <c r="G690">
        <v>29</v>
      </c>
      <c r="H690">
        <v>721.96</v>
      </c>
      <c r="I690">
        <v>20936.84</v>
      </c>
      <c r="J690">
        <v>19</v>
      </c>
      <c r="K690">
        <v>3349.89</v>
      </c>
      <c r="L690">
        <v>20308.73</v>
      </c>
      <c r="M690" t="s">
        <v>4247</v>
      </c>
      <c r="N690" t="s">
        <v>4248</v>
      </c>
      <c r="O690" t="s">
        <v>2407</v>
      </c>
      <c r="P690" t="s">
        <v>2522</v>
      </c>
      <c r="Q690" t="s">
        <v>5724</v>
      </c>
      <c r="R690" t="s">
        <v>3425</v>
      </c>
      <c r="S690" t="s">
        <v>4230</v>
      </c>
    </row>
    <row r="691" spans="1:19" hidden="1" x14ac:dyDescent="0.25">
      <c r="A691" t="s">
        <v>5725</v>
      </c>
      <c r="B691" t="s">
        <v>3949</v>
      </c>
      <c r="C691" t="s">
        <v>3747</v>
      </c>
      <c r="D691" t="s">
        <v>3553</v>
      </c>
      <c r="E691" t="s">
        <v>2328</v>
      </c>
      <c r="F691" t="s">
        <v>420</v>
      </c>
      <c r="G691">
        <v>10</v>
      </c>
      <c r="H691">
        <v>331.71</v>
      </c>
      <c r="I691">
        <v>3317.1</v>
      </c>
      <c r="J691">
        <v>17.5</v>
      </c>
      <c r="K691">
        <v>530.74</v>
      </c>
      <c r="L691">
        <v>3267.35</v>
      </c>
      <c r="M691" t="s">
        <v>4232</v>
      </c>
      <c r="N691" t="s">
        <v>1121</v>
      </c>
      <c r="O691" t="s">
        <v>2416</v>
      </c>
      <c r="P691" t="s">
        <v>2491</v>
      </c>
      <c r="Q691" t="s">
        <v>5726</v>
      </c>
      <c r="R691" t="s">
        <v>3425</v>
      </c>
    </row>
    <row r="692" spans="1:19" hidden="1" x14ac:dyDescent="0.25">
      <c r="A692" t="s">
        <v>5727</v>
      </c>
      <c r="B692" t="s">
        <v>2994</v>
      </c>
      <c r="C692" t="s">
        <v>3332</v>
      </c>
      <c r="D692" t="s">
        <v>3177</v>
      </c>
      <c r="E692" t="s">
        <v>2219</v>
      </c>
      <c r="F692" t="s">
        <v>698</v>
      </c>
      <c r="G692">
        <v>42</v>
      </c>
      <c r="H692">
        <v>658.27</v>
      </c>
      <c r="I692">
        <v>27647.34</v>
      </c>
      <c r="J692">
        <v>8.4</v>
      </c>
      <c r="K692">
        <v>4423.57</v>
      </c>
      <c r="L692">
        <v>29748.53</v>
      </c>
      <c r="M692" t="s">
        <v>4227</v>
      </c>
      <c r="N692" t="s">
        <v>1121</v>
      </c>
      <c r="O692" t="s">
        <v>2416</v>
      </c>
      <c r="P692" t="s">
        <v>2531</v>
      </c>
      <c r="Q692" t="s">
        <v>5728</v>
      </c>
      <c r="R692" t="s">
        <v>3429</v>
      </c>
    </row>
    <row r="693" spans="1:19" hidden="1" x14ac:dyDescent="0.25">
      <c r="A693" t="s">
        <v>5729</v>
      </c>
      <c r="B693" t="s">
        <v>3621</v>
      </c>
      <c r="C693" t="s">
        <v>4593</v>
      </c>
      <c r="D693" t="s">
        <v>3642</v>
      </c>
      <c r="E693" t="s">
        <v>2245</v>
      </c>
      <c r="F693" t="s">
        <v>850</v>
      </c>
      <c r="G693">
        <v>2</v>
      </c>
      <c r="H693">
        <v>430.37</v>
      </c>
      <c r="I693">
        <v>860.74</v>
      </c>
      <c r="J693">
        <v>2</v>
      </c>
      <c r="K693">
        <v>137.72</v>
      </c>
      <c r="L693">
        <v>981.25</v>
      </c>
      <c r="M693" t="s">
        <v>4232</v>
      </c>
      <c r="N693" t="s">
        <v>1520</v>
      </c>
      <c r="O693" t="s">
        <v>2456</v>
      </c>
      <c r="P693" t="s">
        <v>2554</v>
      </c>
      <c r="Q693" t="s">
        <v>5730</v>
      </c>
      <c r="R693" t="s">
        <v>3429</v>
      </c>
    </row>
    <row r="694" spans="1:19" hidden="1" x14ac:dyDescent="0.25">
      <c r="A694" t="s">
        <v>5731</v>
      </c>
      <c r="B694" t="s">
        <v>3925</v>
      </c>
      <c r="C694" t="s">
        <v>2767</v>
      </c>
      <c r="D694" t="s">
        <v>3998</v>
      </c>
      <c r="E694" t="s">
        <v>1907</v>
      </c>
      <c r="F694" t="s">
        <v>390</v>
      </c>
      <c r="G694">
        <v>44</v>
      </c>
      <c r="H694">
        <v>857.07</v>
      </c>
      <c r="I694">
        <v>37711.08</v>
      </c>
      <c r="J694">
        <v>1.7</v>
      </c>
      <c r="K694">
        <v>6033.77</v>
      </c>
      <c r="L694">
        <v>43103.76</v>
      </c>
      <c r="M694" t="s">
        <v>3428</v>
      </c>
      <c r="N694" t="s">
        <v>4233</v>
      </c>
      <c r="O694" t="s">
        <v>2376</v>
      </c>
      <c r="P694" t="s">
        <v>2512</v>
      </c>
      <c r="Q694" t="s">
        <v>5732</v>
      </c>
      <c r="R694" t="s">
        <v>3425</v>
      </c>
      <c r="S694" t="s">
        <v>3466</v>
      </c>
    </row>
    <row r="695" spans="1:19" hidden="1" x14ac:dyDescent="0.25">
      <c r="A695" t="s">
        <v>5733</v>
      </c>
      <c r="B695" t="s">
        <v>3474</v>
      </c>
      <c r="C695" t="s">
        <v>3474</v>
      </c>
      <c r="D695" t="s">
        <v>3723</v>
      </c>
      <c r="E695" t="s">
        <v>1650</v>
      </c>
      <c r="F695" t="s">
        <v>596</v>
      </c>
      <c r="G695">
        <v>4</v>
      </c>
      <c r="H695">
        <v>477.22</v>
      </c>
      <c r="I695">
        <v>1908.88</v>
      </c>
      <c r="J695">
        <v>3.3</v>
      </c>
      <c r="K695">
        <v>305.42</v>
      </c>
      <c r="L695">
        <v>2151.31</v>
      </c>
      <c r="M695" t="s">
        <v>4227</v>
      </c>
      <c r="N695" t="s">
        <v>4228</v>
      </c>
      <c r="O695" t="s">
        <v>2456</v>
      </c>
      <c r="P695" t="s">
        <v>2531</v>
      </c>
      <c r="Q695" t="s">
        <v>5734</v>
      </c>
      <c r="R695" t="s">
        <v>3425</v>
      </c>
    </row>
    <row r="696" spans="1:19" hidden="1" x14ac:dyDescent="0.25">
      <c r="A696" t="s">
        <v>5735</v>
      </c>
      <c r="B696" t="s">
        <v>2736</v>
      </c>
      <c r="C696" t="s">
        <v>3113</v>
      </c>
      <c r="D696" t="s">
        <v>2614</v>
      </c>
      <c r="E696" t="s">
        <v>1940</v>
      </c>
      <c r="F696" t="s">
        <v>1051</v>
      </c>
      <c r="G696">
        <v>18</v>
      </c>
      <c r="H696">
        <v>559.07000000000005</v>
      </c>
      <c r="I696">
        <v>10063.26</v>
      </c>
      <c r="J696">
        <v>2.4</v>
      </c>
      <c r="K696">
        <v>1610.12</v>
      </c>
      <c r="L696">
        <v>11431.86</v>
      </c>
      <c r="M696" t="s">
        <v>4238</v>
      </c>
      <c r="N696" t="s">
        <v>1121</v>
      </c>
      <c r="O696" t="s">
        <v>2456</v>
      </c>
      <c r="P696" t="s">
        <v>2568</v>
      </c>
      <c r="Q696" t="s">
        <v>5736</v>
      </c>
      <c r="R696" t="s">
        <v>3429</v>
      </c>
    </row>
    <row r="697" spans="1:19" hidden="1" x14ac:dyDescent="0.25">
      <c r="A697" t="s">
        <v>5737</v>
      </c>
      <c r="B697" t="s">
        <v>3659</v>
      </c>
      <c r="C697" t="s">
        <v>4097</v>
      </c>
      <c r="D697" t="s">
        <v>4083</v>
      </c>
      <c r="E697" t="s">
        <v>1872</v>
      </c>
      <c r="F697" t="s">
        <v>935</v>
      </c>
      <c r="G697">
        <v>18</v>
      </c>
      <c r="H697">
        <v>770.66</v>
      </c>
      <c r="I697">
        <v>13871.88</v>
      </c>
      <c r="J697">
        <v>15</v>
      </c>
      <c r="K697">
        <v>2219.5</v>
      </c>
      <c r="L697">
        <v>14010.6</v>
      </c>
      <c r="M697" t="s">
        <v>4238</v>
      </c>
      <c r="N697" t="s">
        <v>4243</v>
      </c>
      <c r="O697" t="s">
        <v>2416</v>
      </c>
      <c r="P697" t="s">
        <v>2525</v>
      </c>
      <c r="Q697" t="s">
        <v>5738</v>
      </c>
      <c r="R697" t="s">
        <v>3425</v>
      </c>
    </row>
    <row r="698" spans="1:19" hidden="1" x14ac:dyDescent="0.25">
      <c r="A698" t="s">
        <v>5739</v>
      </c>
      <c r="B698" t="s">
        <v>5351</v>
      </c>
      <c r="C698" t="s">
        <v>2550</v>
      </c>
      <c r="D698" t="s">
        <v>5261</v>
      </c>
      <c r="E698" t="s">
        <v>2169</v>
      </c>
      <c r="F698" t="s">
        <v>228</v>
      </c>
      <c r="G698">
        <v>30</v>
      </c>
      <c r="H698">
        <v>210.96</v>
      </c>
      <c r="I698">
        <v>6328.8</v>
      </c>
      <c r="J698">
        <v>18.600000000000001</v>
      </c>
      <c r="K698">
        <v>1012.61</v>
      </c>
      <c r="L698">
        <v>6164.25</v>
      </c>
      <c r="M698" t="s">
        <v>3442</v>
      </c>
      <c r="N698" t="s">
        <v>1520</v>
      </c>
      <c r="O698" t="s">
        <v>2456</v>
      </c>
      <c r="P698" t="s">
        <v>2515</v>
      </c>
      <c r="Q698" t="s">
        <v>5740</v>
      </c>
      <c r="R698" t="s">
        <v>3425</v>
      </c>
    </row>
    <row r="699" spans="1:19" hidden="1" x14ac:dyDescent="0.25">
      <c r="A699" t="s">
        <v>5741</v>
      </c>
      <c r="B699" t="s">
        <v>4048</v>
      </c>
      <c r="C699" t="s">
        <v>4009</v>
      </c>
      <c r="D699" t="s">
        <v>4208</v>
      </c>
      <c r="E699" t="s">
        <v>2219</v>
      </c>
      <c r="F699" t="s">
        <v>636</v>
      </c>
      <c r="G699">
        <v>45</v>
      </c>
      <c r="H699">
        <v>828.83</v>
      </c>
      <c r="I699">
        <v>37297.35</v>
      </c>
      <c r="J699">
        <v>14.4</v>
      </c>
      <c r="K699">
        <v>5967.58</v>
      </c>
      <c r="L699">
        <v>37894.11</v>
      </c>
      <c r="M699" t="s">
        <v>4232</v>
      </c>
      <c r="N699" t="s">
        <v>1520</v>
      </c>
      <c r="O699" t="s">
        <v>2440</v>
      </c>
      <c r="P699" t="s">
        <v>2558</v>
      </c>
      <c r="Q699" t="s">
        <v>5742</v>
      </c>
      <c r="R699" t="s">
        <v>3425</v>
      </c>
    </row>
    <row r="700" spans="1:19" hidden="1" x14ac:dyDescent="0.25">
      <c r="A700" t="s">
        <v>5743</v>
      </c>
      <c r="B700" t="s">
        <v>2627</v>
      </c>
      <c r="C700" t="s">
        <v>2627</v>
      </c>
      <c r="D700" t="s">
        <v>3831</v>
      </c>
      <c r="E700" t="s">
        <v>1881</v>
      </c>
      <c r="F700" t="s">
        <v>384</v>
      </c>
      <c r="G700">
        <v>39</v>
      </c>
      <c r="H700">
        <v>188.75</v>
      </c>
      <c r="I700">
        <v>7361.25</v>
      </c>
      <c r="J700">
        <v>2.1</v>
      </c>
      <c r="K700">
        <v>1177.8</v>
      </c>
      <c r="L700">
        <v>8384.4599999999991</v>
      </c>
      <c r="M700" t="s">
        <v>4227</v>
      </c>
      <c r="N700" t="s">
        <v>4228</v>
      </c>
      <c r="O700" t="s">
        <v>2376</v>
      </c>
      <c r="P700" t="s">
        <v>2491</v>
      </c>
      <c r="Q700" t="s">
        <v>5744</v>
      </c>
      <c r="R700" t="s">
        <v>3434</v>
      </c>
    </row>
    <row r="701" spans="1:19" hidden="1" x14ac:dyDescent="0.25">
      <c r="A701" t="s">
        <v>5745</v>
      </c>
      <c r="B701" t="s">
        <v>3342</v>
      </c>
      <c r="C701" t="s">
        <v>3772</v>
      </c>
      <c r="D701" t="s">
        <v>2808</v>
      </c>
      <c r="E701" t="s">
        <v>2344</v>
      </c>
      <c r="F701" t="s">
        <v>1081</v>
      </c>
      <c r="G701">
        <v>6</v>
      </c>
      <c r="H701">
        <v>255.75</v>
      </c>
      <c r="I701">
        <v>1534.5</v>
      </c>
      <c r="J701">
        <v>4.5999999999999996</v>
      </c>
      <c r="K701">
        <v>245.52</v>
      </c>
      <c r="L701">
        <v>1709.43</v>
      </c>
      <c r="M701" t="s">
        <v>4247</v>
      </c>
      <c r="N701" t="s">
        <v>1520</v>
      </c>
      <c r="O701" t="s">
        <v>2440</v>
      </c>
      <c r="P701" t="s">
        <v>2558</v>
      </c>
      <c r="Q701" t="s">
        <v>5746</v>
      </c>
      <c r="R701" t="s">
        <v>3434</v>
      </c>
    </row>
    <row r="702" spans="1:19" hidden="1" x14ac:dyDescent="0.25">
      <c r="A702" t="s">
        <v>5747</v>
      </c>
      <c r="B702" t="s">
        <v>1989</v>
      </c>
      <c r="C702" t="s">
        <v>1989</v>
      </c>
      <c r="D702" t="s">
        <v>3305</v>
      </c>
      <c r="E702" t="s">
        <v>1829</v>
      </c>
      <c r="F702" t="s">
        <v>125</v>
      </c>
      <c r="G702">
        <v>37</v>
      </c>
      <c r="H702">
        <v>536.4</v>
      </c>
      <c r="I702">
        <v>19846.8</v>
      </c>
      <c r="J702">
        <v>13.8</v>
      </c>
      <c r="K702">
        <v>3175.49</v>
      </c>
      <c r="L702">
        <v>20283.43</v>
      </c>
      <c r="M702" t="s">
        <v>4238</v>
      </c>
      <c r="N702" t="s">
        <v>1520</v>
      </c>
      <c r="O702" t="s">
        <v>2440</v>
      </c>
      <c r="P702" t="s">
        <v>2551</v>
      </c>
      <c r="Q702" t="s">
        <v>5748</v>
      </c>
      <c r="R702" t="s">
        <v>3425</v>
      </c>
      <c r="S702" t="s">
        <v>4292</v>
      </c>
    </row>
    <row r="703" spans="1:19" hidden="1" x14ac:dyDescent="0.25">
      <c r="A703" t="s">
        <v>5749</v>
      </c>
      <c r="B703" t="s">
        <v>5369</v>
      </c>
      <c r="C703" t="s">
        <v>5369</v>
      </c>
      <c r="D703" t="s">
        <v>5750</v>
      </c>
      <c r="E703" t="s">
        <v>2111</v>
      </c>
      <c r="F703" t="s">
        <v>203</v>
      </c>
      <c r="G703">
        <v>7</v>
      </c>
      <c r="H703">
        <v>420.37</v>
      </c>
      <c r="I703">
        <v>2942.59</v>
      </c>
      <c r="J703">
        <v>19.5</v>
      </c>
      <c r="K703">
        <v>470.81</v>
      </c>
      <c r="L703">
        <v>2839.59</v>
      </c>
      <c r="M703" t="s">
        <v>4257</v>
      </c>
      <c r="N703" t="s">
        <v>4233</v>
      </c>
      <c r="O703" t="s">
        <v>2416</v>
      </c>
      <c r="P703" t="s">
        <v>2554</v>
      </c>
      <c r="Q703" t="s">
        <v>5751</v>
      </c>
      <c r="R703" t="s">
        <v>3425</v>
      </c>
      <c r="S703" t="s">
        <v>4235</v>
      </c>
    </row>
    <row r="704" spans="1:19" hidden="1" x14ac:dyDescent="0.25">
      <c r="A704" t="s">
        <v>5752</v>
      </c>
      <c r="B704" t="s">
        <v>3769</v>
      </c>
      <c r="C704" t="s">
        <v>3769</v>
      </c>
      <c r="D704" t="s">
        <v>3454</v>
      </c>
      <c r="E704" t="s">
        <v>1973</v>
      </c>
      <c r="F704" t="s">
        <v>248</v>
      </c>
      <c r="G704">
        <v>26</v>
      </c>
      <c r="H704">
        <v>832.78</v>
      </c>
      <c r="I704">
        <v>21652.28</v>
      </c>
      <c r="J704">
        <v>20</v>
      </c>
      <c r="K704">
        <v>3464.36</v>
      </c>
      <c r="L704">
        <v>20786.18</v>
      </c>
      <c r="M704" t="s">
        <v>4232</v>
      </c>
      <c r="N704" t="s">
        <v>4228</v>
      </c>
      <c r="O704" t="s">
        <v>2376</v>
      </c>
      <c r="P704" t="s">
        <v>2512</v>
      </c>
      <c r="Q704" t="s">
        <v>5753</v>
      </c>
      <c r="R704" t="s">
        <v>3425</v>
      </c>
    </row>
    <row r="705" spans="1:19" x14ac:dyDescent="0.25">
      <c r="A705" t="s">
        <v>5754</v>
      </c>
      <c r="B705" s="2" t="s">
        <v>4206</v>
      </c>
      <c r="C705" t="s">
        <v>3464</v>
      </c>
      <c r="D705" t="s">
        <v>3464</v>
      </c>
      <c r="E705" t="s">
        <v>1803</v>
      </c>
      <c r="F705" t="s">
        <v>754</v>
      </c>
      <c r="G705">
        <v>48</v>
      </c>
      <c r="H705">
        <v>847.63</v>
      </c>
      <c r="I705">
        <v>40686.239999999998</v>
      </c>
      <c r="J705">
        <v>6</v>
      </c>
      <c r="K705">
        <v>6509.8</v>
      </c>
      <c r="L705">
        <v>44754.87</v>
      </c>
      <c r="M705" t="s">
        <v>3442</v>
      </c>
      <c r="N705" t="s">
        <v>4248</v>
      </c>
      <c r="O705" t="s">
        <v>2407</v>
      </c>
      <c r="P705" t="s">
        <v>2486</v>
      </c>
      <c r="Q705" t="s">
        <v>5755</v>
      </c>
      <c r="R705" t="s">
        <v>4245</v>
      </c>
    </row>
    <row r="706" spans="1:19" x14ac:dyDescent="0.25">
      <c r="A706" t="s">
        <v>5756</v>
      </c>
      <c r="B706" s="2" t="s">
        <v>3057</v>
      </c>
      <c r="C706" t="s">
        <v>3057</v>
      </c>
      <c r="D706" t="s">
        <v>2891</v>
      </c>
      <c r="E706" t="s">
        <v>2051</v>
      </c>
      <c r="F706" t="s">
        <v>870</v>
      </c>
      <c r="G706">
        <v>7</v>
      </c>
      <c r="H706">
        <v>264.33</v>
      </c>
      <c r="I706">
        <v>1850.31</v>
      </c>
      <c r="J706">
        <v>10.9</v>
      </c>
      <c r="K706">
        <v>296.05</v>
      </c>
      <c r="L706">
        <v>1944.68</v>
      </c>
      <c r="M706" t="s">
        <v>4238</v>
      </c>
      <c r="N706" t="s">
        <v>1520</v>
      </c>
      <c r="O706" t="s">
        <v>2388</v>
      </c>
      <c r="P706" t="s">
        <v>2561</v>
      </c>
      <c r="Q706" t="s">
        <v>5757</v>
      </c>
      <c r="R706" t="s">
        <v>4245</v>
      </c>
    </row>
    <row r="707" spans="1:19" hidden="1" x14ac:dyDescent="0.25">
      <c r="A707" t="s">
        <v>5758</v>
      </c>
      <c r="B707" t="s">
        <v>3917</v>
      </c>
      <c r="C707" t="s">
        <v>2768</v>
      </c>
      <c r="D707" t="s">
        <v>2604</v>
      </c>
      <c r="E707" t="s">
        <v>1739</v>
      </c>
      <c r="F707" t="s">
        <v>269</v>
      </c>
      <c r="G707">
        <v>46</v>
      </c>
      <c r="H707">
        <v>178.21</v>
      </c>
      <c r="I707">
        <v>8197.66</v>
      </c>
      <c r="J707">
        <v>13.6</v>
      </c>
      <c r="K707">
        <v>1311.63</v>
      </c>
      <c r="L707">
        <v>8394.41</v>
      </c>
      <c r="M707" t="s">
        <v>3428</v>
      </c>
      <c r="N707" t="s">
        <v>4243</v>
      </c>
      <c r="O707" t="s">
        <v>2376</v>
      </c>
      <c r="P707" t="s">
        <v>2501</v>
      </c>
      <c r="Q707" t="s">
        <v>5759</v>
      </c>
      <c r="R707" t="s">
        <v>3425</v>
      </c>
    </row>
    <row r="708" spans="1:19" x14ac:dyDescent="0.25">
      <c r="A708" t="s">
        <v>5760</v>
      </c>
      <c r="B708" s="2" t="s">
        <v>2524</v>
      </c>
      <c r="C708" t="s">
        <v>2958</v>
      </c>
      <c r="D708" t="s">
        <v>2647</v>
      </c>
      <c r="E708" t="s">
        <v>1650</v>
      </c>
      <c r="F708" t="s">
        <v>794</v>
      </c>
      <c r="G708">
        <v>30</v>
      </c>
      <c r="H708">
        <v>780.87</v>
      </c>
      <c r="I708">
        <v>23426.1</v>
      </c>
      <c r="J708">
        <v>6</v>
      </c>
      <c r="K708">
        <v>3748.18</v>
      </c>
      <c r="L708">
        <v>25768.71</v>
      </c>
      <c r="M708" t="s">
        <v>4247</v>
      </c>
      <c r="N708" t="s">
        <v>4233</v>
      </c>
      <c r="O708" t="s">
        <v>2456</v>
      </c>
      <c r="P708" t="s">
        <v>2506</v>
      </c>
      <c r="Q708" t="s">
        <v>5761</v>
      </c>
      <c r="R708" t="s">
        <v>4245</v>
      </c>
      <c r="S708" t="s">
        <v>4230</v>
      </c>
    </row>
    <row r="709" spans="1:19" hidden="1" x14ac:dyDescent="0.25">
      <c r="A709" t="s">
        <v>5762</v>
      </c>
      <c r="B709" t="s">
        <v>3058</v>
      </c>
      <c r="C709" t="s">
        <v>4215</v>
      </c>
      <c r="D709" t="s">
        <v>3386</v>
      </c>
      <c r="E709" t="s">
        <v>2051</v>
      </c>
      <c r="F709" t="s">
        <v>596</v>
      </c>
      <c r="G709">
        <v>19</v>
      </c>
      <c r="H709">
        <v>788.15</v>
      </c>
      <c r="I709">
        <v>14974.85</v>
      </c>
      <c r="J709">
        <v>3.8</v>
      </c>
      <c r="K709">
        <v>2395.98</v>
      </c>
      <c r="L709">
        <v>16801.79</v>
      </c>
      <c r="M709" t="s">
        <v>4238</v>
      </c>
      <c r="N709" t="s">
        <v>4233</v>
      </c>
      <c r="O709" t="s">
        <v>2376</v>
      </c>
      <c r="P709" t="s">
        <v>2554</v>
      </c>
      <c r="Q709" t="s">
        <v>5763</v>
      </c>
      <c r="R709" t="s">
        <v>3425</v>
      </c>
      <c r="S709" t="s">
        <v>4235</v>
      </c>
    </row>
    <row r="710" spans="1:19" hidden="1" x14ac:dyDescent="0.25">
      <c r="A710" t="s">
        <v>5764</v>
      </c>
      <c r="B710" t="s">
        <v>3155</v>
      </c>
      <c r="C710" t="s">
        <v>3843</v>
      </c>
      <c r="D710" t="s">
        <v>4904</v>
      </c>
      <c r="E710" t="s">
        <v>1640</v>
      </c>
      <c r="F710" t="s">
        <v>850</v>
      </c>
      <c r="G710">
        <v>19</v>
      </c>
      <c r="H710">
        <v>235.46</v>
      </c>
      <c r="I710">
        <v>4473.74</v>
      </c>
      <c r="J710">
        <v>12.8</v>
      </c>
      <c r="K710">
        <v>715.8</v>
      </c>
      <c r="L710">
        <v>4616.8999999999996</v>
      </c>
      <c r="M710" t="s">
        <v>4257</v>
      </c>
      <c r="N710" t="s">
        <v>4233</v>
      </c>
      <c r="O710" t="s">
        <v>2407</v>
      </c>
      <c r="P710" t="s">
        <v>2486</v>
      </c>
      <c r="Q710" t="s">
        <v>5765</v>
      </c>
      <c r="R710" t="s">
        <v>3425</v>
      </c>
      <c r="S710" t="s">
        <v>4230</v>
      </c>
    </row>
    <row r="711" spans="1:19" hidden="1" x14ac:dyDescent="0.25">
      <c r="A711" t="s">
        <v>5766</v>
      </c>
      <c r="B711" t="s">
        <v>2589</v>
      </c>
      <c r="C711" t="s">
        <v>2600</v>
      </c>
      <c r="D711" t="s">
        <v>2946</v>
      </c>
      <c r="E711" t="s">
        <v>1544</v>
      </c>
      <c r="F711" t="s">
        <v>636</v>
      </c>
      <c r="G711">
        <v>39</v>
      </c>
      <c r="H711">
        <v>630.77</v>
      </c>
      <c r="I711">
        <v>24600.03</v>
      </c>
      <c r="J711">
        <v>19.3</v>
      </c>
      <c r="K711">
        <v>3936</v>
      </c>
      <c r="L711">
        <v>23788.22</v>
      </c>
      <c r="M711" t="s">
        <v>3428</v>
      </c>
      <c r="N711" t="s">
        <v>4228</v>
      </c>
      <c r="O711" t="s">
        <v>2416</v>
      </c>
      <c r="P711" t="s">
        <v>2525</v>
      </c>
      <c r="Q711" t="s">
        <v>5767</v>
      </c>
      <c r="R711" t="s">
        <v>4275</v>
      </c>
    </row>
    <row r="712" spans="1:19" x14ac:dyDescent="0.25">
      <c r="A712" t="s">
        <v>5768</v>
      </c>
      <c r="B712" s="2" t="s">
        <v>4742</v>
      </c>
      <c r="C712" t="s">
        <v>3047</v>
      </c>
      <c r="D712" t="s">
        <v>2968</v>
      </c>
      <c r="E712" t="s">
        <v>2336</v>
      </c>
      <c r="F712" t="s">
        <v>950</v>
      </c>
      <c r="G712">
        <v>32</v>
      </c>
      <c r="H712">
        <v>691.67</v>
      </c>
      <c r="I712">
        <v>22133.439999999999</v>
      </c>
      <c r="J712">
        <v>17.899999999999999</v>
      </c>
      <c r="K712">
        <v>3541.35</v>
      </c>
      <c r="L712">
        <v>21712.9</v>
      </c>
      <c r="M712" t="s">
        <v>4227</v>
      </c>
      <c r="N712" t="s">
        <v>4248</v>
      </c>
      <c r="O712" t="s">
        <v>2440</v>
      </c>
      <c r="P712" t="s">
        <v>2564</v>
      </c>
      <c r="Q712" t="s">
        <v>5769</v>
      </c>
      <c r="R712" t="s">
        <v>4245</v>
      </c>
      <c r="S712" t="s">
        <v>4292</v>
      </c>
    </row>
    <row r="713" spans="1:19" x14ac:dyDescent="0.25">
      <c r="A713" t="s">
        <v>5770</v>
      </c>
      <c r="B713" s="2" t="s">
        <v>3572</v>
      </c>
      <c r="C713" t="s">
        <v>3591</v>
      </c>
      <c r="D713" t="s">
        <v>3591</v>
      </c>
      <c r="E713" t="s">
        <v>2085</v>
      </c>
      <c r="F713" t="s">
        <v>784</v>
      </c>
      <c r="G713">
        <v>23</v>
      </c>
      <c r="H713">
        <v>440.74</v>
      </c>
      <c r="I713">
        <v>10137.02</v>
      </c>
      <c r="J713">
        <v>12.1</v>
      </c>
      <c r="K713">
        <v>1621.92</v>
      </c>
      <c r="L713">
        <v>10532.36</v>
      </c>
      <c r="M713" t="s">
        <v>4257</v>
      </c>
      <c r="N713" t="s">
        <v>4248</v>
      </c>
      <c r="O713" t="s">
        <v>2388</v>
      </c>
      <c r="P713" t="s">
        <v>2548</v>
      </c>
      <c r="Q713" t="s">
        <v>5771</v>
      </c>
      <c r="R713" t="s">
        <v>4245</v>
      </c>
      <c r="S713" t="s">
        <v>4230</v>
      </c>
    </row>
    <row r="714" spans="1:19" hidden="1" x14ac:dyDescent="0.25">
      <c r="A714" t="s">
        <v>5772</v>
      </c>
      <c r="B714" t="s">
        <v>3032</v>
      </c>
      <c r="C714" t="s">
        <v>5085</v>
      </c>
      <c r="D714" t="s">
        <v>3516</v>
      </c>
      <c r="E714" t="s">
        <v>2237</v>
      </c>
      <c r="F714" t="s">
        <v>621</v>
      </c>
      <c r="G714">
        <v>14</v>
      </c>
      <c r="H714">
        <v>392.5</v>
      </c>
      <c r="I714">
        <v>5495</v>
      </c>
      <c r="J714">
        <v>15.6</v>
      </c>
      <c r="K714">
        <v>879.2</v>
      </c>
      <c r="L714">
        <v>5516.98</v>
      </c>
      <c r="M714" t="s">
        <v>3442</v>
      </c>
      <c r="N714" t="s">
        <v>1520</v>
      </c>
      <c r="O714" t="s">
        <v>2388</v>
      </c>
      <c r="P714" t="s">
        <v>2535</v>
      </c>
      <c r="Q714" t="s">
        <v>5773</v>
      </c>
      <c r="R714" t="s">
        <v>3429</v>
      </c>
    </row>
    <row r="715" spans="1:19" hidden="1" x14ac:dyDescent="0.25">
      <c r="A715" t="s">
        <v>5774</v>
      </c>
      <c r="B715" t="s">
        <v>2702</v>
      </c>
      <c r="C715" t="s">
        <v>2702</v>
      </c>
      <c r="D715" t="s">
        <v>3321</v>
      </c>
      <c r="E715" t="s">
        <v>2344</v>
      </c>
      <c r="F715" t="s">
        <v>950</v>
      </c>
      <c r="G715">
        <v>24</v>
      </c>
      <c r="H715">
        <v>424.07</v>
      </c>
      <c r="I715">
        <v>10177.68</v>
      </c>
      <c r="J715">
        <v>0.5</v>
      </c>
      <c r="K715">
        <v>1628.43</v>
      </c>
      <c r="L715">
        <v>11755.22</v>
      </c>
      <c r="M715" t="s">
        <v>4257</v>
      </c>
      <c r="N715" t="s">
        <v>4243</v>
      </c>
      <c r="O715" t="s">
        <v>2376</v>
      </c>
      <c r="P715" t="s">
        <v>2486</v>
      </c>
      <c r="Q715" t="s">
        <v>5775</v>
      </c>
      <c r="R715" t="s">
        <v>3425</v>
      </c>
    </row>
    <row r="716" spans="1:19" hidden="1" x14ac:dyDescent="0.25">
      <c r="A716" t="s">
        <v>5776</v>
      </c>
      <c r="B716" t="s">
        <v>3357</v>
      </c>
      <c r="C716" t="s">
        <v>2672</v>
      </c>
      <c r="D716" t="s">
        <v>2914</v>
      </c>
      <c r="E716" t="s">
        <v>1475</v>
      </c>
      <c r="F716" t="s">
        <v>591</v>
      </c>
      <c r="G716">
        <v>33</v>
      </c>
      <c r="H716">
        <v>618.63</v>
      </c>
      <c r="I716">
        <v>20414.79</v>
      </c>
      <c r="J716">
        <v>19.2</v>
      </c>
      <c r="K716">
        <v>3266.37</v>
      </c>
      <c r="L716">
        <v>19761.52</v>
      </c>
      <c r="M716" t="s">
        <v>4238</v>
      </c>
      <c r="N716" t="s">
        <v>4243</v>
      </c>
      <c r="O716" t="s">
        <v>2449</v>
      </c>
      <c r="P716" t="s">
        <v>2535</v>
      </c>
      <c r="Q716" t="s">
        <v>5777</v>
      </c>
      <c r="R716" t="s">
        <v>3429</v>
      </c>
      <c r="S716" t="s">
        <v>4235</v>
      </c>
    </row>
    <row r="717" spans="1:19" hidden="1" x14ac:dyDescent="0.25">
      <c r="A717" t="s">
        <v>5778</v>
      </c>
      <c r="B717" t="s">
        <v>4088</v>
      </c>
      <c r="C717" t="s">
        <v>4088</v>
      </c>
      <c r="D717" t="s">
        <v>4298</v>
      </c>
      <c r="E717" t="s">
        <v>2111</v>
      </c>
      <c r="F717" t="s">
        <v>880</v>
      </c>
      <c r="G717">
        <v>4</v>
      </c>
      <c r="H717">
        <v>637.85</v>
      </c>
      <c r="I717">
        <v>2551.4</v>
      </c>
      <c r="J717">
        <v>19.8</v>
      </c>
      <c r="K717">
        <v>408.22</v>
      </c>
      <c r="L717">
        <v>2454.44</v>
      </c>
      <c r="M717" t="s">
        <v>3442</v>
      </c>
      <c r="N717" t="s">
        <v>4228</v>
      </c>
      <c r="O717" t="s">
        <v>2398</v>
      </c>
      <c r="P717" t="s">
        <v>2475</v>
      </c>
      <c r="Q717" t="s">
        <v>5779</v>
      </c>
      <c r="R717" t="s">
        <v>3425</v>
      </c>
    </row>
    <row r="718" spans="1:19" hidden="1" x14ac:dyDescent="0.25">
      <c r="A718" t="s">
        <v>5780</v>
      </c>
      <c r="B718" t="s">
        <v>3647</v>
      </c>
      <c r="C718" t="s">
        <v>3680</v>
      </c>
      <c r="D718" t="s">
        <v>5217</v>
      </c>
      <c r="E718" t="s">
        <v>2068</v>
      </c>
      <c r="F718" t="s">
        <v>1036</v>
      </c>
      <c r="G718">
        <v>8</v>
      </c>
      <c r="H718">
        <v>197.37</v>
      </c>
      <c r="I718">
        <v>1578.96</v>
      </c>
      <c r="J718">
        <v>17.399999999999999</v>
      </c>
      <c r="K718">
        <v>252.63</v>
      </c>
      <c r="L718">
        <v>1556.85</v>
      </c>
      <c r="M718" t="s">
        <v>3442</v>
      </c>
      <c r="N718" t="s">
        <v>1121</v>
      </c>
      <c r="O718" t="s">
        <v>2449</v>
      </c>
      <c r="P718" t="s">
        <v>2495</v>
      </c>
      <c r="Q718" t="s">
        <v>5781</v>
      </c>
      <c r="R718" t="s">
        <v>3425</v>
      </c>
      <c r="S718" t="s">
        <v>4292</v>
      </c>
    </row>
    <row r="719" spans="1:19" hidden="1" x14ac:dyDescent="0.25">
      <c r="A719" t="s">
        <v>5782</v>
      </c>
      <c r="B719" t="s">
        <v>4415</v>
      </c>
      <c r="C719" t="s">
        <v>4016</v>
      </c>
      <c r="D719" t="s">
        <v>4524</v>
      </c>
      <c r="E719" t="s">
        <v>1489</v>
      </c>
      <c r="F719" t="s">
        <v>799</v>
      </c>
      <c r="G719">
        <v>18</v>
      </c>
      <c r="H719">
        <v>476.83</v>
      </c>
      <c r="I719">
        <v>8582.94</v>
      </c>
      <c r="J719">
        <v>17.3</v>
      </c>
      <c r="K719">
        <v>1373.27</v>
      </c>
      <c r="L719">
        <v>8471.36</v>
      </c>
      <c r="M719" t="s">
        <v>4232</v>
      </c>
      <c r="N719" t="s">
        <v>4228</v>
      </c>
      <c r="O719" t="s">
        <v>2456</v>
      </c>
      <c r="P719" t="s">
        <v>2519</v>
      </c>
      <c r="Q719" t="s">
        <v>5783</v>
      </c>
      <c r="R719" t="s">
        <v>3434</v>
      </c>
    </row>
    <row r="720" spans="1:19" hidden="1" x14ac:dyDescent="0.25">
      <c r="A720" t="s">
        <v>5784</v>
      </c>
      <c r="B720" t="s">
        <v>4376</v>
      </c>
      <c r="C720" t="s">
        <v>3960</v>
      </c>
      <c r="D720" t="s">
        <v>4013</v>
      </c>
      <c r="E720" t="s">
        <v>1524</v>
      </c>
      <c r="F720" t="s">
        <v>1041</v>
      </c>
      <c r="G720">
        <v>49</v>
      </c>
      <c r="H720">
        <v>543.4</v>
      </c>
      <c r="I720">
        <v>26626.6</v>
      </c>
      <c r="J720">
        <v>9</v>
      </c>
      <c r="K720">
        <v>4260.26</v>
      </c>
      <c r="L720">
        <v>28490.47</v>
      </c>
      <c r="M720" t="s">
        <v>4238</v>
      </c>
      <c r="N720" t="s">
        <v>4233</v>
      </c>
      <c r="O720" t="s">
        <v>2388</v>
      </c>
      <c r="P720" t="s">
        <v>2512</v>
      </c>
      <c r="Q720" t="s">
        <v>5785</v>
      </c>
      <c r="R720" t="s">
        <v>3425</v>
      </c>
      <c r="S720" t="s">
        <v>4230</v>
      </c>
    </row>
    <row r="721" spans="1:19" x14ac:dyDescent="0.25">
      <c r="A721" t="s">
        <v>5786</v>
      </c>
      <c r="B721" s="2" t="s">
        <v>4737</v>
      </c>
      <c r="C721" t="s">
        <v>3921</v>
      </c>
      <c r="D721" t="s">
        <v>4194</v>
      </c>
      <c r="E721" t="s">
        <v>2361</v>
      </c>
      <c r="F721" t="s">
        <v>677</v>
      </c>
      <c r="G721">
        <v>10</v>
      </c>
      <c r="H721">
        <v>231.79</v>
      </c>
      <c r="I721">
        <v>2317.9</v>
      </c>
      <c r="J721">
        <v>12.9</v>
      </c>
      <c r="K721">
        <v>370.86</v>
      </c>
      <c r="L721">
        <v>2389.75</v>
      </c>
      <c r="M721" t="s">
        <v>4238</v>
      </c>
      <c r="N721" t="s">
        <v>4233</v>
      </c>
      <c r="O721" t="s">
        <v>2432</v>
      </c>
      <c r="P721" t="s">
        <v>2519</v>
      </c>
      <c r="Q721" t="s">
        <v>5787</v>
      </c>
      <c r="R721" t="s">
        <v>4245</v>
      </c>
    </row>
    <row r="722" spans="1:19" hidden="1" x14ac:dyDescent="0.25">
      <c r="A722" t="s">
        <v>5788</v>
      </c>
      <c r="B722" t="s">
        <v>5332</v>
      </c>
      <c r="C722" t="s">
        <v>5332</v>
      </c>
      <c r="D722" t="s">
        <v>3663</v>
      </c>
      <c r="E722" t="s">
        <v>2169</v>
      </c>
      <c r="F722" t="s">
        <v>1086</v>
      </c>
      <c r="G722">
        <v>30</v>
      </c>
      <c r="H722">
        <v>519.35</v>
      </c>
      <c r="I722">
        <v>15580.5</v>
      </c>
      <c r="J722">
        <v>0.6</v>
      </c>
      <c r="K722">
        <v>2492.88</v>
      </c>
      <c r="L722">
        <v>17979.900000000001</v>
      </c>
      <c r="M722" t="s">
        <v>4257</v>
      </c>
      <c r="N722" t="s">
        <v>4233</v>
      </c>
      <c r="O722" t="s">
        <v>2416</v>
      </c>
      <c r="P722" t="s">
        <v>2491</v>
      </c>
      <c r="Q722" t="s">
        <v>5789</v>
      </c>
      <c r="R722" t="s">
        <v>4275</v>
      </c>
    </row>
    <row r="723" spans="1:19" x14ac:dyDescent="0.25">
      <c r="A723" t="s">
        <v>5790</v>
      </c>
      <c r="B723" s="2" t="s">
        <v>3454</v>
      </c>
      <c r="C723" t="s">
        <v>3454</v>
      </c>
      <c r="D723" t="s">
        <v>4156</v>
      </c>
      <c r="E723" t="s">
        <v>1846</v>
      </c>
      <c r="F723" t="s">
        <v>180</v>
      </c>
      <c r="G723">
        <v>40</v>
      </c>
      <c r="H723">
        <v>366.33</v>
      </c>
      <c r="I723">
        <v>14653.2</v>
      </c>
      <c r="J723">
        <v>15.2</v>
      </c>
      <c r="K723">
        <v>2344.5100000000002</v>
      </c>
      <c r="L723">
        <v>14770.42</v>
      </c>
      <c r="M723" t="s">
        <v>4247</v>
      </c>
      <c r="N723" t="s">
        <v>4248</v>
      </c>
      <c r="O723" t="s">
        <v>2416</v>
      </c>
      <c r="P723" t="s">
        <v>2538</v>
      </c>
      <c r="Q723" t="s">
        <v>5791</v>
      </c>
      <c r="R723" t="s">
        <v>4245</v>
      </c>
      <c r="S723" t="s">
        <v>4292</v>
      </c>
    </row>
    <row r="724" spans="1:19" hidden="1" x14ac:dyDescent="0.25">
      <c r="A724" t="s">
        <v>5792</v>
      </c>
      <c r="B724" t="s">
        <v>5526</v>
      </c>
      <c r="C724" t="s">
        <v>3957</v>
      </c>
      <c r="D724" t="s">
        <v>3957</v>
      </c>
      <c r="E724" t="s">
        <v>2312</v>
      </c>
      <c r="F724" t="s">
        <v>915</v>
      </c>
      <c r="G724">
        <v>9</v>
      </c>
      <c r="H724">
        <v>540.48</v>
      </c>
      <c r="I724">
        <v>4864.32</v>
      </c>
      <c r="J724">
        <v>3.5</v>
      </c>
      <c r="K724">
        <v>778.29</v>
      </c>
      <c r="L724">
        <v>5472.36</v>
      </c>
      <c r="M724" t="s">
        <v>3428</v>
      </c>
      <c r="N724" t="s">
        <v>1121</v>
      </c>
      <c r="O724" t="s">
        <v>2425</v>
      </c>
      <c r="P724" t="s">
        <v>2538</v>
      </c>
      <c r="Q724" t="s">
        <v>5793</v>
      </c>
      <c r="R724" t="s">
        <v>3425</v>
      </c>
      <c r="S724" t="s">
        <v>3466</v>
      </c>
    </row>
    <row r="725" spans="1:19" hidden="1" x14ac:dyDescent="0.25">
      <c r="A725" t="s">
        <v>5794</v>
      </c>
      <c r="B725" t="s">
        <v>2964</v>
      </c>
      <c r="C725" t="s">
        <v>1828</v>
      </c>
      <c r="D725" t="s">
        <v>3174</v>
      </c>
      <c r="E725" t="s">
        <v>2127</v>
      </c>
      <c r="F725" t="s">
        <v>860</v>
      </c>
      <c r="G725">
        <v>50</v>
      </c>
      <c r="H725">
        <v>192.33</v>
      </c>
      <c r="I725">
        <v>9616.5</v>
      </c>
      <c r="J725">
        <v>2.9</v>
      </c>
      <c r="K725">
        <v>1538.64</v>
      </c>
      <c r="L725">
        <v>10876.26</v>
      </c>
      <c r="M725" t="s">
        <v>3442</v>
      </c>
      <c r="N725" t="s">
        <v>4243</v>
      </c>
      <c r="O725" t="s">
        <v>2432</v>
      </c>
      <c r="P725" t="s">
        <v>2551</v>
      </c>
      <c r="Q725" t="s">
        <v>5795</v>
      </c>
      <c r="R725" t="s">
        <v>4275</v>
      </c>
      <c r="S725" t="s">
        <v>4230</v>
      </c>
    </row>
    <row r="726" spans="1:19" hidden="1" x14ac:dyDescent="0.25">
      <c r="A726" t="s">
        <v>5796</v>
      </c>
      <c r="B726" t="s">
        <v>4737</v>
      </c>
      <c r="C726" t="s">
        <v>3536</v>
      </c>
      <c r="D726" t="s">
        <v>3574</v>
      </c>
      <c r="E726" t="s">
        <v>2119</v>
      </c>
      <c r="F726" t="s">
        <v>520</v>
      </c>
      <c r="G726">
        <v>23</v>
      </c>
      <c r="H726">
        <v>831.97</v>
      </c>
      <c r="I726">
        <v>19135.310000000001</v>
      </c>
      <c r="J726">
        <v>15.7</v>
      </c>
      <c r="K726">
        <v>3061.65</v>
      </c>
      <c r="L726">
        <v>19192.72</v>
      </c>
      <c r="M726" t="s">
        <v>4238</v>
      </c>
      <c r="N726" t="s">
        <v>4233</v>
      </c>
      <c r="O726" t="s">
        <v>2449</v>
      </c>
      <c r="P726" t="s">
        <v>2568</v>
      </c>
      <c r="Q726" t="s">
        <v>5797</v>
      </c>
      <c r="R726" t="s">
        <v>3425</v>
      </c>
      <c r="S726" t="s">
        <v>4235</v>
      </c>
    </row>
    <row r="727" spans="1:19" hidden="1" x14ac:dyDescent="0.25">
      <c r="A727" t="s">
        <v>5798</v>
      </c>
      <c r="B727" t="s">
        <v>3001</v>
      </c>
      <c r="C727" t="s">
        <v>3485</v>
      </c>
      <c r="D727" t="s">
        <v>2957</v>
      </c>
      <c r="E727" t="s">
        <v>2177</v>
      </c>
      <c r="F727" t="s">
        <v>662</v>
      </c>
      <c r="G727">
        <v>37</v>
      </c>
      <c r="H727">
        <v>610.11</v>
      </c>
      <c r="I727">
        <v>22574.07</v>
      </c>
      <c r="J727">
        <v>13.8</v>
      </c>
      <c r="K727">
        <v>3611.85</v>
      </c>
      <c r="L727">
        <v>23070.7</v>
      </c>
      <c r="M727" t="s">
        <v>4232</v>
      </c>
      <c r="N727" t="s">
        <v>4228</v>
      </c>
      <c r="O727" t="s">
        <v>2432</v>
      </c>
      <c r="P727" t="s">
        <v>2475</v>
      </c>
      <c r="Q727" t="s">
        <v>5799</v>
      </c>
      <c r="R727" t="s">
        <v>3425</v>
      </c>
      <c r="S727" t="s">
        <v>4235</v>
      </c>
    </row>
    <row r="728" spans="1:19" hidden="1" x14ac:dyDescent="0.25">
      <c r="A728" t="s">
        <v>5800</v>
      </c>
      <c r="B728" t="s">
        <v>3772</v>
      </c>
      <c r="C728" t="s">
        <v>2741</v>
      </c>
      <c r="D728" t="s">
        <v>3320</v>
      </c>
      <c r="E728" t="s">
        <v>1881</v>
      </c>
      <c r="F728" t="s">
        <v>646</v>
      </c>
      <c r="G728">
        <v>30</v>
      </c>
      <c r="H728">
        <v>292.47000000000003</v>
      </c>
      <c r="I728">
        <v>8774.1</v>
      </c>
      <c r="J728">
        <v>9</v>
      </c>
      <c r="K728">
        <v>1403.86</v>
      </c>
      <c r="L728">
        <v>9388.2900000000009</v>
      </c>
      <c r="M728" t="s">
        <v>4257</v>
      </c>
      <c r="N728" t="s">
        <v>4233</v>
      </c>
      <c r="O728" t="s">
        <v>2432</v>
      </c>
      <c r="P728" t="s">
        <v>2522</v>
      </c>
      <c r="Q728" t="s">
        <v>5801</v>
      </c>
      <c r="R728" t="s">
        <v>3429</v>
      </c>
    </row>
    <row r="729" spans="1:19" x14ac:dyDescent="0.25">
      <c r="A729" t="s">
        <v>5802</v>
      </c>
      <c r="B729" s="2" t="s">
        <v>4183</v>
      </c>
      <c r="C729" t="s">
        <v>4183</v>
      </c>
      <c r="D729" t="s">
        <v>3741</v>
      </c>
      <c r="E729" t="s">
        <v>1757</v>
      </c>
      <c r="F729" t="s">
        <v>646</v>
      </c>
      <c r="G729">
        <v>43</v>
      </c>
      <c r="H729">
        <v>548.11</v>
      </c>
      <c r="I729">
        <v>23568.73</v>
      </c>
      <c r="J729">
        <v>6</v>
      </c>
      <c r="K729">
        <v>3771</v>
      </c>
      <c r="L729">
        <v>25925.61</v>
      </c>
      <c r="M729" t="s">
        <v>4227</v>
      </c>
      <c r="N729" t="s">
        <v>1121</v>
      </c>
      <c r="O729" t="s">
        <v>2376</v>
      </c>
      <c r="P729" t="s">
        <v>2541</v>
      </c>
      <c r="Q729" t="s">
        <v>5803</v>
      </c>
      <c r="R729" t="s">
        <v>4245</v>
      </c>
      <c r="S729" t="s">
        <v>4235</v>
      </c>
    </row>
    <row r="730" spans="1:19" hidden="1" x14ac:dyDescent="0.25">
      <c r="A730" t="s">
        <v>5804</v>
      </c>
      <c r="B730" t="s">
        <v>3915</v>
      </c>
      <c r="C730" t="s">
        <v>5085</v>
      </c>
      <c r="D730" t="s">
        <v>2749</v>
      </c>
      <c r="E730" t="s">
        <v>2185</v>
      </c>
      <c r="F730" t="s">
        <v>900</v>
      </c>
      <c r="G730">
        <v>11</v>
      </c>
      <c r="H730">
        <v>612.12</v>
      </c>
      <c r="I730">
        <v>6733.32</v>
      </c>
      <c r="J730">
        <v>17</v>
      </c>
      <c r="K730">
        <v>1077.33</v>
      </c>
      <c r="L730">
        <v>6665.99</v>
      </c>
      <c r="M730" t="s">
        <v>3428</v>
      </c>
      <c r="N730" t="s">
        <v>1520</v>
      </c>
      <c r="O730" t="s">
        <v>2398</v>
      </c>
      <c r="P730" t="s">
        <v>2522</v>
      </c>
      <c r="Q730" t="s">
        <v>5805</v>
      </c>
      <c r="R730" t="s">
        <v>3434</v>
      </c>
    </row>
    <row r="731" spans="1:19" hidden="1" x14ac:dyDescent="0.25">
      <c r="A731" t="s">
        <v>5806</v>
      </c>
      <c r="B731" t="s">
        <v>2773</v>
      </c>
      <c r="C731" t="s">
        <v>2773</v>
      </c>
      <c r="D731" t="s">
        <v>2615</v>
      </c>
      <c r="E731" t="s">
        <v>1775</v>
      </c>
      <c r="F731" t="s">
        <v>1066</v>
      </c>
      <c r="G731">
        <v>10</v>
      </c>
      <c r="H731">
        <v>820.76</v>
      </c>
      <c r="I731">
        <v>8207.6</v>
      </c>
      <c r="J731">
        <v>3.5</v>
      </c>
      <c r="K731">
        <v>1313.22</v>
      </c>
      <c r="L731">
        <v>9233.5499999999993</v>
      </c>
      <c r="M731" t="s">
        <v>4257</v>
      </c>
      <c r="N731" t="s">
        <v>4248</v>
      </c>
      <c r="O731" t="s">
        <v>2388</v>
      </c>
      <c r="P731" t="s">
        <v>2535</v>
      </c>
      <c r="Q731" t="s">
        <v>5807</v>
      </c>
      <c r="R731" t="s">
        <v>3434</v>
      </c>
    </row>
    <row r="732" spans="1:19" hidden="1" x14ac:dyDescent="0.25">
      <c r="A732" t="s">
        <v>5808</v>
      </c>
      <c r="B732" t="s">
        <v>4171</v>
      </c>
      <c r="C732" t="s">
        <v>4171</v>
      </c>
      <c r="D732" t="s">
        <v>3758</v>
      </c>
      <c r="E732" t="s">
        <v>2304</v>
      </c>
      <c r="F732" t="s">
        <v>530</v>
      </c>
      <c r="G732">
        <v>22</v>
      </c>
      <c r="H732">
        <v>297.27999999999997</v>
      </c>
      <c r="I732">
        <v>6540.16</v>
      </c>
      <c r="J732">
        <v>17.5</v>
      </c>
      <c r="K732">
        <v>1046.43</v>
      </c>
      <c r="L732">
        <v>6442.06</v>
      </c>
      <c r="M732" t="s">
        <v>4232</v>
      </c>
      <c r="N732" t="s">
        <v>4248</v>
      </c>
      <c r="O732" t="s">
        <v>2425</v>
      </c>
      <c r="P732" t="s">
        <v>2535</v>
      </c>
      <c r="Q732" t="s">
        <v>5809</v>
      </c>
      <c r="R732" t="s">
        <v>3429</v>
      </c>
    </row>
    <row r="733" spans="1:19" hidden="1" x14ac:dyDescent="0.25">
      <c r="A733" t="s">
        <v>5810</v>
      </c>
      <c r="B733" t="s">
        <v>2683</v>
      </c>
      <c r="C733" t="s">
        <v>5811</v>
      </c>
      <c r="D733" t="s">
        <v>2871</v>
      </c>
      <c r="E733" t="s">
        <v>2060</v>
      </c>
      <c r="F733" t="s">
        <v>834</v>
      </c>
      <c r="G733">
        <v>25</v>
      </c>
      <c r="H733">
        <v>111.96</v>
      </c>
      <c r="I733">
        <v>2799</v>
      </c>
      <c r="J733">
        <v>5.6</v>
      </c>
      <c r="K733">
        <v>447.84</v>
      </c>
      <c r="L733">
        <v>3090.1</v>
      </c>
      <c r="M733" t="s">
        <v>3442</v>
      </c>
      <c r="N733" t="s">
        <v>1121</v>
      </c>
      <c r="O733" t="s">
        <v>2407</v>
      </c>
      <c r="P733" t="s">
        <v>2558</v>
      </c>
      <c r="Q733" t="s">
        <v>5812</v>
      </c>
      <c r="R733" t="s">
        <v>3434</v>
      </c>
      <c r="S733" t="s">
        <v>4230</v>
      </c>
    </row>
    <row r="734" spans="1:19" hidden="1" x14ac:dyDescent="0.25">
      <c r="A734" t="s">
        <v>5813</v>
      </c>
      <c r="B734" t="s">
        <v>2958</v>
      </c>
      <c r="C734" t="s">
        <v>3051</v>
      </c>
      <c r="D734" t="s">
        <v>2286</v>
      </c>
      <c r="E734" t="s">
        <v>1713</v>
      </c>
      <c r="F734" t="s">
        <v>384</v>
      </c>
      <c r="G734">
        <v>6</v>
      </c>
      <c r="H734">
        <v>357.73</v>
      </c>
      <c r="I734">
        <v>2146.38</v>
      </c>
      <c r="J734">
        <v>10.8</v>
      </c>
      <c r="K734">
        <v>343.42</v>
      </c>
      <c r="L734">
        <v>2257.9899999999998</v>
      </c>
      <c r="M734" t="s">
        <v>4257</v>
      </c>
      <c r="N734" t="s">
        <v>4248</v>
      </c>
      <c r="O734" t="s">
        <v>2376</v>
      </c>
      <c r="P734" t="s">
        <v>2495</v>
      </c>
      <c r="Q734" t="s">
        <v>5814</v>
      </c>
      <c r="R734" t="s">
        <v>3429</v>
      </c>
    </row>
    <row r="735" spans="1:19" hidden="1" x14ac:dyDescent="0.25">
      <c r="A735" t="s">
        <v>5815</v>
      </c>
      <c r="B735" t="s">
        <v>3389</v>
      </c>
      <c r="C735" t="s">
        <v>2673</v>
      </c>
      <c r="D735" t="s">
        <v>3479</v>
      </c>
      <c r="E735" t="s">
        <v>2270</v>
      </c>
      <c r="F735" t="s">
        <v>905</v>
      </c>
      <c r="G735">
        <v>39</v>
      </c>
      <c r="H735">
        <v>172.52</v>
      </c>
      <c r="I735">
        <v>6728.28</v>
      </c>
      <c r="J735">
        <v>3.2</v>
      </c>
      <c r="K735">
        <v>1076.52</v>
      </c>
      <c r="L735">
        <v>7589.5</v>
      </c>
      <c r="M735" t="s">
        <v>4232</v>
      </c>
      <c r="N735" t="s">
        <v>1121</v>
      </c>
      <c r="O735" t="s">
        <v>2398</v>
      </c>
      <c r="P735" t="s">
        <v>2475</v>
      </c>
      <c r="Q735" t="s">
        <v>5816</v>
      </c>
      <c r="R735" t="s">
        <v>3429</v>
      </c>
      <c r="S735" t="s">
        <v>3466</v>
      </c>
    </row>
    <row r="736" spans="1:19" hidden="1" x14ac:dyDescent="0.25">
      <c r="A736" t="s">
        <v>5817</v>
      </c>
      <c r="B736" t="s">
        <v>3152</v>
      </c>
      <c r="C736" t="s">
        <v>3606</v>
      </c>
      <c r="D736" t="s">
        <v>3914</v>
      </c>
      <c r="E736" t="s">
        <v>2111</v>
      </c>
      <c r="F736" t="s">
        <v>1096</v>
      </c>
      <c r="G736">
        <v>12</v>
      </c>
      <c r="H736">
        <v>824.14</v>
      </c>
      <c r="I736">
        <v>9889.68</v>
      </c>
      <c r="J736">
        <v>7.2</v>
      </c>
      <c r="K736">
        <v>1582.35</v>
      </c>
      <c r="L736">
        <v>10759.97</v>
      </c>
      <c r="M736" t="s">
        <v>3428</v>
      </c>
      <c r="N736" t="s">
        <v>1520</v>
      </c>
      <c r="O736" t="s">
        <v>2456</v>
      </c>
      <c r="P736" t="s">
        <v>2506</v>
      </c>
      <c r="Q736" t="s">
        <v>5818</v>
      </c>
      <c r="R736" t="s">
        <v>3425</v>
      </c>
    </row>
    <row r="737" spans="1:19" hidden="1" x14ac:dyDescent="0.25">
      <c r="A737" t="s">
        <v>5819</v>
      </c>
      <c r="B737" t="s">
        <v>3854</v>
      </c>
      <c r="C737" t="s">
        <v>2415</v>
      </c>
      <c r="D737" t="s">
        <v>3877</v>
      </c>
      <c r="E737" t="s">
        <v>1907</v>
      </c>
      <c r="F737" t="s">
        <v>1076</v>
      </c>
      <c r="G737">
        <v>3</v>
      </c>
      <c r="H737">
        <v>876.94</v>
      </c>
      <c r="I737">
        <v>2630.82</v>
      </c>
      <c r="J737">
        <v>2.4</v>
      </c>
      <c r="K737">
        <v>420.93</v>
      </c>
      <c r="L737">
        <v>2988.61</v>
      </c>
      <c r="M737" t="s">
        <v>4257</v>
      </c>
      <c r="N737" t="s">
        <v>4248</v>
      </c>
      <c r="O737" t="s">
        <v>2449</v>
      </c>
      <c r="P737" t="s">
        <v>2568</v>
      </c>
      <c r="Q737" t="s">
        <v>5820</v>
      </c>
      <c r="R737" t="s">
        <v>3425</v>
      </c>
    </row>
    <row r="738" spans="1:19" x14ac:dyDescent="0.25">
      <c r="A738" t="s">
        <v>5821</v>
      </c>
      <c r="B738" s="2" t="s">
        <v>3725</v>
      </c>
      <c r="C738" t="s">
        <v>3440</v>
      </c>
      <c r="D738" t="s">
        <v>5822</v>
      </c>
      <c r="E738" t="s">
        <v>1534</v>
      </c>
      <c r="F738" t="s">
        <v>646</v>
      </c>
      <c r="G738">
        <v>7</v>
      </c>
      <c r="H738">
        <v>637.14</v>
      </c>
      <c r="I738">
        <v>4459.9799999999996</v>
      </c>
      <c r="J738">
        <v>1</v>
      </c>
      <c r="K738">
        <v>713.6</v>
      </c>
      <c r="L738">
        <v>5128.9799999999996</v>
      </c>
      <c r="M738" t="s">
        <v>3442</v>
      </c>
      <c r="N738" t="s">
        <v>1121</v>
      </c>
      <c r="O738" t="s">
        <v>2425</v>
      </c>
      <c r="P738" t="s">
        <v>2551</v>
      </c>
      <c r="Q738" t="s">
        <v>5823</v>
      </c>
      <c r="R738" t="s">
        <v>4245</v>
      </c>
    </row>
    <row r="739" spans="1:19" hidden="1" x14ac:dyDescent="0.25">
      <c r="A739" t="s">
        <v>5824</v>
      </c>
      <c r="B739" t="s">
        <v>3497</v>
      </c>
      <c r="C739" t="s">
        <v>3747</v>
      </c>
      <c r="D739" t="s">
        <v>3553</v>
      </c>
      <c r="E739" t="s">
        <v>2177</v>
      </c>
      <c r="F739" t="s">
        <v>152</v>
      </c>
      <c r="G739">
        <v>1</v>
      </c>
      <c r="H739">
        <v>146.51</v>
      </c>
      <c r="I739">
        <v>146.51</v>
      </c>
      <c r="J739">
        <v>0.4</v>
      </c>
      <c r="K739">
        <v>23.44</v>
      </c>
      <c r="L739">
        <v>169.36</v>
      </c>
      <c r="M739" t="s">
        <v>4257</v>
      </c>
      <c r="N739" t="s">
        <v>1520</v>
      </c>
      <c r="O739" t="s">
        <v>2398</v>
      </c>
      <c r="P739" t="s">
        <v>2501</v>
      </c>
      <c r="Q739" t="s">
        <v>5825</v>
      </c>
      <c r="R739" t="s">
        <v>3429</v>
      </c>
      <c r="S739" t="s">
        <v>4292</v>
      </c>
    </row>
    <row r="740" spans="1:19" hidden="1" x14ac:dyDescent="0.25">
      <c r="A740" t="s">
        <v>5826</v>
      </c>
      <c r="B740" t="s">
        <v>4171</v>
      </c>
      <c r="C740" t="s">
        <v>3727</v>
      </c>
      <c r="D740" t="s">
        <v>3739</v>
      </c>
      <c r="E740" t="s">
        <v>2278</v>
      </c>
      <c r="F740" t="s">
        <v>744</v>
      </c>
      <c r="G740">
        <v>5</v>
      </c>
      <c r="H740">
        <v>511.3</v>
      </c>
      <c r="I740">
        <v>2556.5</v>
      </c>
      <c r="J740">
        <v>7.4</v>
      </c>
      <c r="K740">
        <v>409.04</v>
      </c>
      <c r="L740">
        <v>2776.36</v>
      </c>
      <c r="M740" t="s">
        <v>4247</v>
      </c>
      <c r="N740" t="s">
        <v>1520</v>
      </c>
      <c r="O740" t="s">
        <v>2456</v>
      </c>
      <c r="P740" t="s">
        <v>2551</v>
      </c>
      <c r="Q740" t="s">
        <v>5827</v>
      </c>
      <c r="R740" t="s">
        <v>3425</v>
      </c>
      <c r="S740" t="s">
        <v>4292</v>
      </c>
    </row>
    <row r="741" spans="1:19" hidden="1" x14ac:dyDescent="0.25">
      <c r="A741" t="s">
        <v>5828</v>
      </c>
      <c r="B741" t="s">
        <v>3672</v>
      </c>
      <c r="C741" t="s">
        <v>3483</v>
      </c>
      <c r="D741" t="s">
        <v>4087</v>
      </c>
      <c r="E741" t="s">
        <v>2361</v>
      </c>
      <c r="F741" t="s">
        <v>550</v>
      </c>
      <c r="G741">
        <v>47</v>
      </c>
      <c r="H741">
        <v>743.04</v>
      </c>
      <c r="I741">
        <v>34922.879999999997</v>
      </c>
      <c r="J741">
        <v>4.3</v>
      </c>
      <c r="K741">
        <v>5587.66</v>
      </c>
      <c r="L741">
        <v>39008.86</v>
      </c>
      <c r="M741" t="s">
        <v>3428</v>
      </c>
      <c r="N741" t="s">
        <v>4243</v>
      </c>
      <c r="O741" t="s">
        <v>2440</v>
      </c>
      <c r="P741" t="s">
        <v>2535</v>
      </c>
      <c r="Q741" t="s">
        <v>5829</v>
      </c>
      <c r="R741" t="s">
        <v>4275</v>
      </c>
      <c r="S741" t="s">
        <v>4235</v>
      </c>
    </row>
    <row r="742" spans="1:19" hidden="1" x14ac:dyDescent="0.25">
      <c r="A742" t="s">
        <v>5830</v>
      </c>
      <c r="B742" t="s">
        <v>2968</v>
      </c>
      <c r="C742" t="s">
        <v>2968</v>
      </c>
      <c r="D742" t="s">
        <v>4192</v>
      </c>
      <c r="E742" t="s">
        <v>1838</v>
      </c>
      <c r="F742" t="s">
        <v>672</v>
      </c>
      <c r="G742">
        <v>47</v>
      </c>
      <c r="H742">
        <v>330.35</v>
      </c>
      <c r="I742">
        <v>15526.45</v>
      </c>
      <c r="J742">
        <v>4.9000000000000004</v>
      </c>
      <c r="K742">
        <v>2484.23</v>
      </c>
      <c r="L742">
        <v>17249.88</v>
      </c>
      <c r="M742" t="s">
        <v>4227</v>
      </c>
      <c r="N742" t="s">
        <v>4248</v>
      </c>
      <c r="O742" t="s">
        <v>2407</v>
      </c>
      <c r="P742" t="s">
        <v>2558</v>
      </c>
      <c r="Q742" t="s">
        <v>5831</v>
      </c>
      <c r="R742" t="s">
        <v>3425</v>
      </c>
      <c r="S742" t="s">
        <v>3466</v>
      </c>
    </row>
    <row r="743" spans="1:19" hidden="1" x14ac:dyDescent="0.25">
      <c r="A743" t="s">
        <v>5832</v>
      </c>
      <c r="B743" t="s">
        <v>2707</v>
      </c>
      <c r="C743" t="s">
        <v>3806</v>
      </c>
      <c r="D743" t="s">
        <v>3512</v>
      </c>
      <c r="E743" t="s">
        <v>2060</v>
      </c>
      <c r="F743" t="s">
        <v>657</v>
      </c>
      <c r="G743">
        <v>27</v>
      </c>
      <c r="H743">
        <v>669.2</v>
      </c>
      <c r="I743">
        <v>18068.400000000001</v>
      </c>
      <c r="J743">
        <v>6.8</v>
      </c>
      <c r="K743">
        <v>2890.94</v>
      </c>
      <c r="L743">
        <v>19730.689999999999</v>
      </c>
      <c r="M743" t="s">
        <v>3428</v>
      </c>
      <c r="N743" t="s">
        <v>4243</v>
      </c>
      <c r="O743" t="s">
        <v>2432</v>
      </c>
      <c r="P743" t="s">
        <v>2486</v>
      </c>
      <c r="Q743" t="s">
        <v>5833</v>
      </c>
      <c r="R743" t="s">
        <v>3425</v>
      </c>
    </row>
    <row r="744" spans="1:19" hidden="1" x14ac:dyDescent="0.25">
      <c r="A744" t="s">
        <v>5834</v>
      </c>
      <c r="B744" t="s">
        <v>5217</v>
      </c>
      <c r="C744" t="s">
        <v>5217</v>
      </c>
      <c r="D744" t="s">
        <v>3597</v>
      </c>
      <c r="E744" t="s">
        <v>2278</v>
      </c>
      <c r="F744" t="s">
        <v>940</v>
      </c>
      <c r="G744">
        <v>21</v>
      </c>
      <c r="H744">
        <v>481.43</v>
      </c>
      <c r="I744">
        <v>10110.030000000001</v>
      </c>
      <c r="J744">
        <v>1.1000000000000001</v>
      </c>
      <c r="K744">
        <v>1617.6</v>
      </c>
      <c r="L744">
        <v>11616.42</v>
      </c>
      <c r="M744" t="s">
        <v>4247</v>
      </c>
      <c r="N744" t="s">
        <v>4228</v>
      </c>
      <c r="O744" t="s">
        <v>2376</v>
      </c>
      <c r="P744" t="s">
        <v>2495</v>
      </c>
      <c r="Q744" t="s">
        <v>5835</v>
      </c>
      <c r="R744" t="s">
        <v>3425</v>
      </c>
    </row>
    <row r="745" spans="1:19" hidden="1" x14ac:dyDescent="0.25">
      <c r="A745" t="s">
        <v>5836</v>
      </c>
      <c r="B745" t="s">
        <v>2849</v>
      </c>
      <c r="C745" t="s">
        <v>2521</v>
      </c>
      <c r="D745" t="s">
        <v>3952</v>
      </c>
      <c r="E745" t="s">
        <v>1949</v>
      </c>
      <c r="F745" t="s">
        <v>723</v>
      </c>
      <c r="G745">
        <v>41</v>
      </c>
      <c r="H745">
        <v>537.67999999999995</v>
      </c>
      <c r="I745">
        <v>22044.880000000001</v>
      </c>
      <c r="J745">
        <v>18.5</v>
      </c>
      <c r="K745">
        <v>3527.18</v>
      </c>
      <c r="L745">
        <v>21493.759999999998</v>
      </c>
      <c r="M745" t="s">
        <v>4238</v>
      </c>
      <c r="N745" t="s">
        <v>1520</v>
      </c>
      <c r="O745" t="s">
        <v>2432</v>
      </c>
      <c r="P745" t="s">
        <v>2506</v>
      </c>
      <c r="Q745" t="s">
        <v>5837</v>
      </c>
      <c r="R745" t="s">
        <v>3425</v>
      </c>
    </row>
    <row r="746" spans="1:19" hidden="1" x14ac:dyDescent="0.25">
      <c r="A746" t="s">
        <v>5838</v>
      </c>
      <c r="B746" t="s">
        <v>3036</v>
      </c>
      <c r="C746" t="s">
        <v>3036</v>
      </c>
      <c r="D746" t="s">
        <v>3865</v>
      </c>
      <c r="E746" t="s">
        <v>1731</v>
      </c>
      <c r="F746" t="s">
        <v>990</v>
      </c>
      <c r="G746">
        <v>32</v>
      </c>
      <c r="H746">
        <v>198.48</v>
      </c>
      <c r="I746">
        <v>6351.36</v>
      </c>
      <c r="J746">
        <v>7.1</v>
      </c>
      <c r="K746">
        <v>1016.22</v>
      </c>
      <c r="L746">
        <v>6916.63</v>
      </c>
      <c r="M746" t="s">
        <v>3442</v>
      </c>
      <c r="N746" t="s">
        <v>1520</v>
      </c>
      <c r="O746" t="s">
        <v>2449</v>
      </c>
      <c r="P746" t="s">
        <v>2564</v>
      </c>
      <c r="Q746" t="s">
        <v>5839</v>
      </c>
      <c r="R746" t="s">
        <v>3429</v>
      </c>
    </row>
    <row r="747" spans="1:19" hidden="1" x14ac:dyDescent="0.25">
      <c r="A747" t="s">
        <v>5840</v>
      </c>
      <c r="B747" t="s">
        <v>2858</v>
      </c>
      <c r="C747" t="s">
        <v>3018</v>
      </c>
      <c r="D747" t="s">
        <v>3018</v>
      </c>
      <c r="E747" t="s">
        <v>2060</v>
      </c>
      <c r="F747" t="s">
        <v>192</v>
      </c>
      <c r="G747">
        <v>6</v>
      </c>
      <c r="H747">
        <v>328.85</v>
      </c>
      <c r="I747">
        <v>1973.1</v>
      </c>
      <c r="J747">
        <v>3</v>
      </c>
      <c r="K747">
        <v>315.7</v>
      </c>
      <c r="L747">
        <v>2229.61</v>
      </c>
      <c r="M747" t="s">
        <v>4257</v>
      </c>
      <c r="N747" t="s">
        <v>4233</v>
      </c>
      <c r="O747" t="s">
        <v>2407</v>
      </c>
      <c r="P747" t="s">
        <v>2535</v>
      </c>
      <c r="Q747" t="s">
        <v>5841</v>
      </c>
      <c r="R747" t="s">
        <v>3425</v>
      </c>
    </row>
    <row r="748" spans="1:19" x14ac:dyDescent="0.25">
      <c r="A748" t="s">
        <v>5842</v>
      </c>
      <c r="B748" s="2" t="s">
        <v>3395</v>
      </c>
      <c r="C748" t="s">
        <v>2901</v>
      </c>
      <c r="D748" t="s">
        <v>2610</v>
      </c>
      <c r="E748" t="s">
        <v>1786</v>
      </c>
      <c r="F748" t="s">
        <v>1010</v>
      </c>
      <c r="G748">
        <v>45</v>
      </c>
      <c r="H748">
        <v>158.52000000000001</v>
      </c>
      <c r="I748">
        <v>7133.4</v>
      </c>
      <c r="J748">
        <v>2.9</v>
      </c>
      <c r="K748">
        <v>1141.3399999999999</v>
      </c>
      <c r="L748">
        <v>8067.87</v>
      </c>
      <c r="M748" t="s">
        <v>4247</v>
      </c>
      <c r="N748" t="s">
        <v>4243</v>
      </c>
      <c r="O748" t="s">
        <v>2449</v>
      </c>
      <c r="P748" t="s">
        <v>2527</v>
      </c>
      <c r="Q748" t="s">
        <v>5843</v>
      </c>
      <c r="R748" t="s">
        <v>4245</v>
      </c>
      <c r="S748" t="s">
        <v>4292</v>
      </c>
    </row>
    <row r="749" spans="1:19" hidden="1" x14ac:dyDescent="0.25">
      <c r="A749" t="s">
        <v>5844</v>
      </c>
      <c r="B749" t="s">
        <v>3478</v>
      </c>
      <c r="C749" t="s">
        <v>5845</v>
      </c>
      <c r="D749" t="s">
        <v>3505</v>
      </c>
      <c r="E749" t="s">
        <v>1619</v>
      </c>
      <c r="F749" t="s">
        <v>739</v>
      </c>
      <c r="G749">
        <v>43</v>
      </c>
      <c r="H749">
        <v>543</v>
      </c>
      <c r="I749">
        <v>23349</v>
      </c>
      <c r="J749">
        <v>16</v>
      </c>
      <c r="K749">
        <v>3735.84</v>
      </c>
      <c r="L749">
        <v>23349</v>
      </c>
      <c r="M749" t="s">
        <v>4232</v>
      </c>
      <c r="N749" t="s">
        <v>4233</v>
      </c>
      <c r="O749" t="s">
        <v>2425</v>
      </c>
      <c r="P749" t="s">
        <v>2506</v>
      </c>
      <c r="Q749" t="s">
        <v>5846</v>
      </c>
      <c r="R749" t="s">
        <v>3425</v>
      </c>
    </row>
    <row r="750" spans="1:19" hidden="1" x14ac:dyDescent="0.25">
      <c r="A750" t="s">
        <v>5847</v>
      </c>
      <c r="B750" t="s">
        <v>3184</v>
      </c>
      <c r="C750" t="s">
        <v>3698</v>
      </c>
      <c r="D750" t="s">
        <v>1721</v>
      </c>
      <c r="E750" t="s">
        <v>2361</v>
      </c>
      <c r="F750" t="s">
        <v>458</v>
      </c>
      <c r="G750">
        <v>43</v>
      </c>
      <c r="H750">
        <v>796.64</v>
      </c>
      <c r="I750">
        <v>34255.519999999997</v>
      </c>
      <c r="J750">
        <v>16.3</v>
      </c>
      <c r="K750">
        <v>5480.88</v>
      </c>
      <c r="L750">
        <v>34152.75</v>
      </c>
      <c r="M750" t="s">
        <v>3428</v>
      </c>
      <c r="N750" t="s">
        <v>1520</v>
      </c>
      <c r="O750" t="s">
        <v>2416</v>
      </c>
      <c r="P750" t="s">
        <v>2501</v>
      </c>
      <c r="Q750" t="s">
        <v>5848</v>
      </c>
      <c r="R750" t="s">
        <v>3425</v>
      </c>
      <c r="S750" t="s">
        <v>4230</v>
      </c>
    </row>
    <row r="751" spans="1:19" hidden="1" x14ac:dyDescent="0.25">
      <c r="A751" t="s">
        <v>5849</v>
      </c>
      <c r="B751" t="s">
        <v>3806</v>
      </c>
      <c r="C751" t="s">
        <v>3711</v>
      </c>
      <c r="D751" t="s">
        <v>3218</v>
      </c>
      <c r="E751" t="s">
        <v>1566</v>
      </c>
      <c r="F751" t="s">
        <v>279</v>
      </c>
      <c r="G751">
        <v>32</v>
      </c>
      <c r="H751">
        <v>246.46</v>
      </c>
      <c r="I751">
        <v>7886.72</v>
      </c>
      <c r="J751">
        <v>5.6</v>
      </c>
      <c r="K751">
        <v>1261.8800000000001</v>
      </c>
      <c r="L751">
        <v>8706.94</v>
      </c>
      <c r="M751" t="s">
        <v>3442</v>
      </c>
      <c r="N751" t="s">
        <v>1520</v>
      </c>
      <c r="O751" t="s">
        <v>2425</v>
      </c>
      <c r="P751" t="s">
        <v>2558</v>
      </c>
      <c r="Q751" t="s">
        <v>5850</v>
      </c>
      <c r="R751" t="s">
        <v>3429</v>
      </c>
      <c r="S751" t="s">
        <v>3466</v>
      </c>
    </row>
    <row r="752" spans="1:19" hidden="1" x14ac:dyDescent="0.25">
      <c r="A752" t="s">
        <v>5851</v>
      </c>
      <c r="B752" t="s">
        <v>3808</v>
      </c>
      <c r="C752" t="s">
        <v>3062</v>
      </c>
      <c r="D752" t="s">
        <v>2110</v>
      </c>
      <c r="E752" t="s">
        <v>1965</v>
      </c>
      <c r="F752" t="s">
        <v>438</v>
      </c>
      <c r="G752">
        <v>34</v>
      </c>
      <c r="H752">
        <v>453.03</v>
      </c>
      <c r="I752">
        <v>15403.02</v>
      </c>
      <c r="J752">
        <v>5.9</v>
      </c>
      <c r="K752">
        <v>2464.48</v>
      </c>
      <c r="L752">
        <v>16958.72</v>
      </c>
      <c r="M752" t="s">
        <v>4227</v>
      </c>
      <c r="N752" t="s">
        <v>4228</v>
      </c>
      <c r="O752" t="s">
        <v>2416</v>
      </c>
      <c r="P752" t="s">
        <v>2561</v>
      </c>
      <c r="Q752" t="s">
        <v>5852</v>
      </c>
      <c r="R752" t="s">
        <v>3434</v>
      </c>
      <c r="S752" t="s">
        <v>4235</v>
      </c>
    </row>
    <row r="753" spans="1:19" hidden="1" x14ac:dyDescent="0.25">
      <c r="A753" t="s">
        <v>5853</v>
      </c>
      <c r="B753" t="s">
        <v>2614</v>
      </c>
      <c r="C753" t="s">
        <v>3644</v>
      </c>
      <c r="D753" t="s">
        <v>3645</v>
      </c>
      <c r="E753" t="s">
        <v>2202</v>
      </c>
      <c r="F753" t="s">
        <v>274</v>
      </c>
      <c r="G753">
        <v>21</v>
      </c>
      <c r="H753">
        <v>104.65</v>
      </c>
      <c r="I753">
        <v>2197.65</v>
      </c>
      <c r="J753">
        <v>8.3000000000000007</v>
      </c>
      <c r="K753">
        <v>351.62</v>
      </c>
      <c r="L753">
        <v>2366.87</v>
      </c>
      <c r="M753" t="s">
        <v>3428</v>
      </c>
      <c r="N753" t="s">
        <v>4228</v>
      </c>
      <c r="O753" t="s">
        <v>2425</v>
      </c>
      <c r="P753" t="s">
        <v>2491</v>
      </c>
      <c r="Q753" t="s">
        <v>5854</v>
      </c>
      <c r="R753" t="s">
        <v>3429</v>
      </c>
    </row>
    <row r="754" spans="1:19" hidden="1" x14ac:dyDescent="0.25">
      <c r="A754" t="s">
        <v>5855</v>
      </c>
      <c r="B754" t="s">
        <v>3854</v>
      </c>
      <c r="C754" t="s">
        <v>3508</v>
      </c>
      <c r="D754" t="s">
        <v>2628</v>
      </c>
      <c r="E754" t="s">
        <v>2336</v>
      </c>
      <c r="F754" t="s">
        <v>682</v>
      </c>
      <c r="G754">
        <v>27</v>
      </c>
      <c r="H754">
        <v>668.77</v>
      </c>
      <c r="I754">
        <v>18056.79</v>
      </c>
      <c r="J754">
        <v>3.6</v>
      </c>
      <c r="K754">
        <v>2889.09</v>
      </c>
      <c r="L754">
        <v>20295.84</v>
      </c>
      <c r="M754" t="s">
        <v>4257</v>
      </c>
      <c r="N754" t="s">
        <v>4228</v>
      </c>
      <c r="O754" t="s">
        <v>2440</v>
      </c>
      <c r="P754" t="s">
        <v>2548</v>
      </c>
      <c r="Q754" t="s">
        <v>5856</v>
      </c>
      <c r="R754" t="s">
        <v>3434</v>
      </c>
      <c r="S754" t="s">
        <v>4292</v>
      </c>
    </row>
    <row r="755" spans="1:19" hidden="1" x14ac:dyDescent="0.25">
      <c r="A755" t="s">
        <v>5857</v>
      </c>
      <c r="B755" t="s">
        <v>3978</v>
      </c>
      <c r="C755" t="s">
        <v>3445</v>
      </c>
      <c r="D755" t="s">
        <v>3495</v>
      </c>
      <c r="E755" t="s">
        <v>1659</v>
      </c>
      <c r="F755" t="s">
        <v>174</v>
      </c>
      <c r="G755">
        <v>9</v>
      </c>
      <c r="H755">
        <v>560.41999999999996</v>
      </c>
      <c r="I755">
        <v>5043.78</v>
      </c>
      <c r="J755">
        <v>6</v>
      </c>
      <c r="K755">
        <v>807</v>
      </c>
      <c r="L755">
        <v>5548.15</v>
      </c>
      <c r="M755" t="s">
        <v>4257</v>
      </c>
      <c r="N755" t="s">
        <v>1121</v>
      </c>
      <c r="O755" t="s">
        <v>2398</v>
      </c>
      <c r="P755" t="s">
        <v>2506</v>
      </c>
      <c r="Q755" t="s">
        <v>5858</v>
      </c>
      <c r="R755" t="s">
        <v>3425</v>
      </c>
      <c r="S755" t="s">
        <v>4292</v>
      </c>
    </row>
    <row r="756" spans="1:19" x14ac:dyDescent="0.25">
      <c r="A756" t="s">
        <v>5859</v>
      </c>
      <c r="B756" s="2" t="s">
        <v>3821</v>
      </c>
      <c r="C756" t="s">
        <v>2958</v>
      </c>
      <c r="D756" t="s">
        <v>2958</v>
      </c>
      <c r="E756" t="s">
        <v>1899</v>
      </c>
      <c r="F756" t="s">
        <v>744</v>
      </c>
      <c r="G756">
        <v>47</v>
      </c>
      <c r="H756">
        <v>553.79</v>
      </c>
      <c r="I756">
        <v>26028.13</v>
      </c>
      <c r="J756">
        <v>17.2</v>
      </c>
      <c r="K756">
        <v>4164.5</v>
      </c>
      <c r="L756">
        <v>25715.79</v>
      </c>
      <c r="M756" t="s">
        <v>4238</v>
      </c>
      <c r="N756" t="s">
        <v>4228</v>
      </c>
      <c r="O756" t="s">
        <v>2416</v>
      </c>
      <c r="P756" t="s">
        <v>2561</v>
      </c>
      <c r="Q756" t="s">
        <v>5860</v>
      </c>
      <c r="R756" t="s">
        <v>4245</v>
      </c>
    </row>
    <row r="757" spans="1:19" hidden="1" x14ac:dyDescent="0.25">
      <c r="A757" t="s">
        <v>5861</v>
      </c>
      <c r="B757" t="s">
        <v>4645</v>
      </c>
      <c r="C757" t="s">
        <v>3915</v>
      </c>
      <c r="D757" t="s">
        <v>2773</v>
      </c>
      <c r="E757" t="s">
        <v>1739</v>
      </c>
      <c r="F757" t="s">
        <v>395</v>
      </c>
      <c r="G757">
        <v>42</v>
      </c>
      <c r="H757">
        <v>588.77</v>
      </c>
      <c r="I757">
        <v>24728.34</v>
      </c>
      <c r="J757">
        <v>2.7</v>
      </c>
      <c r="K757">
        <v>3956.53</v>
      </c>
      <c r="L757">
        <v>28017.200000000001</v>
      </c>
      <c r="M757" t="s">
        <v>4247</v>
      </c>
      <c r="N757" t="s">
        <v>1121</v>
      </c>
      <c r="O757" t="s">
        <v>2407</v>
      </c>
      <c r="P757" t="s">
        <v>2506</v>
      </c>
      <c r="Q757" t="s">
        <v>5862</v>
      </c>
      <c r="R757" t="s">
        <v>4275</v>
      </c>
    </row>
    <row r="758" spans="1:19" hidden="1" x14ac:dyDescent="0.25">
      <c r="A758" t="s">
        <v>5863</v>
      </c>
      <c r="B758" t="s">
        <v>3879</v>
      </c>
      <c r="C758" t="s">
        <v>4829</v>
      </c>
      <c r="D758" t="s">
        <v>3917</v>
      </c>
      <c r="E758" t="s">
        <v>2295</v>
      </c>
      <c r="F758" t="s">
        <v>616</v>
      </c>
      <c r="G758">
        <v>32</v>
      </c>
      <c r="H758">
        <v>420.16</v>
      </c>
      <c r="I758">
        <v>13445.12</v>
      </c>
      <c r="J758">
        <v>14.6</v>
      </c>
      <c r="K758">
        <v>2151.2199999999998</v>
      </c>
      <c r="L758">
        <v>13633.35</v>
      </c>
      <c r="M758" t="s">
        <v>3428</v>
      </c>
      <c r="N758" t="s">
        <v>4243</v>
      </c>
      <c r="O758" t="s">
        <v>2407</v>
      </c>
      <c r="P758" t="s">
        <v>2558</v>
      </c>
      <c r="Q758" t="s">
        <v>5864</v>
      </c>
      <c r="R758" t="s">
        <v>3425</v>
      </c>
    </row>
    <row r="759" spans="1:19" hidden="1" x14ac:dyDescent="0.25">
      <c r="A759" t="s">
        <v>5865</v>
      </c>
      <c r="B759" t="s">
        <v>2521</v>
      </c>
      <c r="C759" t="s">
        <v>2521</v>
      </c>
      <c r="D759" t="s">
        <v>2776</v>
      </c>
      <c r="E759" t="s">
        <v>1629</v>
      </c>
      <c r="F759" t="s">
        <v>165</v>
      </c>
      <c r="G759">
        <v>9</v>
      </c>
      <c r="H759">
        <v>806.62</v>
      </c>
      <c r="I759">
        <v>7259.58</v>
      </c>
      <c r="J759">
        <v>16.5</v>
      </c>
      <c r="K759">
        <v>1161.53</v>
      </c>
      <c r="L759">
        <v>7223.28</v>
      </c>
      <c r="M759" t="s">
        <v>4247</v>
      </c>
      <c r="N759" t="s">
        <v>4243</v>
      </c>
      <c r="O759" t="s">
        <v>2449</v>
      </c>
      <c r="P759" t="s">
        <v>2519</v>
      </c>
      <c r="Q759" t="s">
        <v>5866</v>
      </c>
      <c r="R759" t="s">
        <v>3429</v>
      </c>
      <c r="S759" t="s">
        <v>4292</v>
      </c>
    </row>
    <row r="760" spans="1:19" hidden="1" x14ac:dyDescent="0.25">
      <c r="A760" t="s">
        <v>5867</v>
      </c>
      <c r="B760" t="s">
        <v>3226</v>
      </c>
      <c r="C760" t="s">
        <v>3808</v>
      </c>
      <c r="D760" t="s">
        <v>2879</v>
      </c>
      <c r="E760" t="s">
        <v>2353</v>
      </c>
      <c r="F760" t="s">
        <v>809</v>
      </c>
      <c r="G760">
        <v>14</v>
      </c>
      <c r="H760">
        <v>263.67</v>
      </c>
      <c r="I760">
        <v>3691.38</v>
      </c>
      <c r="J760">
        <v>15.1</v>
      </c>
      <c r="K760">
        <v>590.62</v>
      </c>
      <c r="L760">
        <v>3724.6</v>
      </c>
      <c r="M760" t="s">
        <v>4232</v>
      </c>
      <c r="N760" t="s">
        <v>1520</v>
      </c>
      <c r="O760" t="s">
        <v>2376</v>
      </c>
      <c r="P760" t="s">
        <v>2541</v>
      </c>
      <c r="Q760" t="s">
        <v>5868</v>
      </c>
      <c r="R760" t="s">
        <v>3425</v>
      </c>
    </row>
    <row r="761" spans="1:19" hidden="1" x14ac:dyDescent="0.25">
      <c r="A761" t="s">
        <v>5869</v>
      </c>
      <c r="B761" t="s">
        <v>3366</v>
      </c>
      <c r="C761" t="s">
        <v>2961</v>
      </c>
      <c r="D761" t="s">
        <v>2749</v>
      </c>
      <c r="E761" t="s">
        <v>1932</v>
      </c>
      <c r="F761" t="s">
        <v>51</v>
      </c>
      <c r="G761">
        <v>22</v>
      </c>
      <c r="H761">
        <v>612.09</v>
      </c>
      <c r="I761">
        <v>13465.98</v>
      </c>
      <c r="J761">
        <v>5.0999999999999996</v>
      </c>
      <c r="K761">
        <v>2154.56</v>
      </c>
      <c r="L761">
        <v>14933.78</v>
      </c>
      <c r="M761" t="s">
        <v>4232</v>
      </c>
      <c r="N761" t="s">
        <v>1121</v>
      </c>
      <c r="O761" t="s">
        <v>2376</v>
      </c>
      <c r="P761" t="s">
        <v>2544</v>
      </c>
      <c r="Q761" t="s">
        <v>5870</v>
      </c>
      <c r="R761" t="s">
        <v>3429</v>
      </c>
      <c r="S761" t="s">
        <v>4292</v>
      </c>
    </row>
    <row r="762" spans="1:19" hidden="1" x14ac:dyDescent="0.25">
      <c r="A762" t="s">
        <v>5871</v>
      </c>
      <c r="B762" t="s">
        <v>4206</v>
      </c>
      <c r="C762" t="s">
        <v>3462</v>
      </c>
      <c r="D762" t="s">
        <v>2949</v>
      </c>
      <c r="E762" t="s">
        <v>2135</v>
      </c>
      <c r="F762" t="s">
        <v>1031</v>
      </c>
      <c r="G762">
        <v>4</v>
      </c>
      <c r="H762">
        <v>190.98</v>
      </c>
      <c r="I762">
        <v>763.92</v>
      </c>
      <c r="J762">
        <v>3.8</v>
      </c>
      <c r="K762">
        <v>122.23</v>
      </c>
      <c r="L762">
        <v>857.12</v>
      </c>
      <c r="M762" t="s">
        <v>4238</v>
      </c>
      <c r="N762" t="s">
        <v>4233</v>
      </c>
      <c r="O762" t="s">
        <v>2456</v>
      </c>
      <c r="P762" t="s">
        <v>2506</v>
      </c>
      <c r="Q762" t="s">
        <v>5872</v>
      </c>
      <c r="R762" t="s">
        <v>3425</v>
      </c>
    </row>
    <row r="763" spans="1:19" hidden="1" x14ac:dyDescent="0.25">
      <c r="A763" t="s">
        <v>5873</v>
      </c>
      <c r="B763" t="s">
        <v>4139</v>
      </c>
      <c r="C763" t="s">
        <v>4139</v>
      </c>
      <c r="D763" t="s">
        <v>4122</v>
      </c>
      <c r="E763" t="s">
        <v>1619</v>
      </c>
      <c r="F763" t="s">
        <v>530</v>
      </c>
      <c r="G763">
        <v>19</v>
      </c>
      <c r="H763">
        <v>413.2</v>
      </c>
      <c r="I763">
        <v>7850.8</v>
      </c>
      <c r="J763">
        <v>9.5</v>
      </c>
      <c r="K763">
        <v>1256.1300000000001</v>
      </c>
      <c r="L763">
        <v>8361.1</v>
      </c>
      <c r="M763" t="s">
        <v>4257</v>
      </c>
      <c r="N763" t="s">
        <v>1121</v>
      </c>
      <c r="O763" t="s">
        <v>2449</v>
      </c>
      <c r="P763" t="s">
        <v>2564</v>
      </c>
      <c r="Q763" t="s">
        <v>5874</v>
      </c>
      <c r="R763" t="s">
        <v>3434</v>
      </c>
    </row>
    <row r="764" spans="1:19" hidden="1" x14ac:dyDescent="0.25">
      <c r="A764" t="s">
        <v>5875</v>
      </c>
      <c r="B764" t="s">
        <v>3998</v>
      </c>
      <c r="C764" t="s">
        <v>2878</v>
      </c>
      <c r="D764" t="s">
        <v>2134</v>
      </c>
      <c r="E764" t="s">
        <v>1554</v>
      </c>
      <c r="F764" t="s">
        <v>468</v>
      </c>
      <c r="G764">
        <v>4</v>
      </c>
      <c r="H764">
        <v>317.55</v>
      </c>
      <c r="I764">
        <v>1270.2</v>
      </c>
      <c r="J764">
        <v>1.3</v>
      </c>
      <c r="K764">
        <v>203.23</v>
      </c>
      <c r="L764">
        <v>1456.92</v>
      </c>
      <c r="M764" t="s">
        <v>4232</v>
      </c>
      <c r="N764" t="s">
        <v>4248</v>
      </c>
      <c r="O764" t="s">
        <v>2388</v>
      </c>
      <c r="P764" t="s">
        <v>2558</v>
      </c>
      <c r="Q764" t="s">
        <v>5876</v>
      </c>
      <c r="R764" t="s">
        <v>3425</v>
      </c>
      <c r="S764" t="s">
        <v>4292</v>
      </c>
    </row>
    <row r="765" spans="1:19" hidden="1" x14ac:dyDescent="0.25">
      <c r="A765" t="s">
        <v>5877</v>
      </c>
      <c r="B765" t="s">
        <v>3525</v>
      </c>
      <c r="C765" t="s">
        <v>3525</v>
      </c>
      <c r="D765" t="s">
        <v>3148</v>
      </c>
      <c r="E765" t="s">
        <v>2076</v>
      </c>
      <c r="F765" t="s">
        <v>940</v>
      </c>
      <c r="G765">
        <v>14</v>
      </c>
      <c r="H765">
        <v>481.85</v>
      </c>
      <c r="I765">
        <v>6745.9</v>
      </c>
      <c r="J765">
        <v>9.1999999999999993</v>
      </c>
      <c r="K765">
        <v>1079.3399999999999</v>
      </c>
      <c r="L765">
        <v>7204.62</v>
      </c>
      <c r="M765" t="s">
        <v>4257</v>
      </c>
      <c r="N765" t="s">
        <v>4228</v>
      </c>
      <c r="O765" t="s">
        <v>2376</v>
      </c>
      <c r="P765" t="s">
        <v>2491</v>
      </c>
      <c r="Q765" t="s">
        <v>5878</v>
      </c>
      <c r="R765" t="s">
        <v>4275</v>
      </c>
      <c r="S765" t="s">
        <v>4235</v>
      </c>
    </row>
    <row r="766" spans="1:19" hidden="1" x14ac:dyDescent="0.25">
      <c r="A766" t="s">
        <v>5879</v>
      </c>
      <c r="B766" t="s">
        <v>3490</v>
      </c>
      <c r="C766" t="s">
        <v>3439</v>
      </c>
      <c r="D766" t="s">
        <v>4182</v>
      </c>
      <c r="E766" t="s">
        <v>1829</v>
      </c>
      <c r="F766" t="s">
        <v>682</v>
      </c>
      <c r="G766">
        <v>8</v>
      </c>
      <c r="H766">
        <v>489.65</v>
      </c>
      <c r="I766">
        <v>3917.2</v>
      </c>
      <c r="J766">
        <v>16.3</v>
      </c>
      <c r="K766">
        <v>626.75</v>
      </c>
      <c r="L766">
        <v>3905.45</v>
      </c>
      <c r="M766" t="s">
        <v>4257</v>
      </c>
      <c r="N766" t="s">
        <v>4228</v>
      </c>
      <c r="O766" t="s">
        <v>2376</v>
      </c>
      <c r="P766" t="s">
        <v>2495</v>
      </c>
      <c r="Q766" t="s">
        <v>5880</v>
      </c>
      <c r="R766" t="s">
        <v>3425</v>
      </c>
      <c r="S766" t="s">
        <v>4235</v>
      </c>
    </row>
    <row r="767" spans="1:19" hidden="1" x14ac:dyDescent="0.25">
      <c r="A767" t="s">
        <v>5881</v>
      </c>
      <c r="B767" t="s">
        <v>3886</v>
      </c>
      <c r="C767" t="s">
        <v>3886</v>
      </c>
      <c r="D767" t="s">
        <v>3885</v>
      </c>
      <c r="E767" t="s">
        <v>2177</v>
      </c>
      <c r="F767" t="s">
        <v>784</v>
      </c>
      <c r="G767">
        <v>45</v>
      </c>
      <c r="H767">
        <v>547</v>
      </c>
      <c r="I767">
        <v>24615</v>
      </c>
      <c r="J767">
        <v>14.1</v>
      </c>
      <c r="K767">
        <v>3938.4</v>
      </c>
      <c r="L767">
        <v>25082.69</v>
      </c>
      <c r="M767" t="s">
        <v>4257</v>
      </c>
      <c r="N767" t="s">
        <v>4233</v>
      </c>
      <c r="O767" t="s">
        <v>2425</v>
      </c>
      <c r="P767" t="s">
        <v>2541</v>
      </c>
      <c r="Q767" t="s">
        <v>5882</v>
      </c>
      <c r="R767" t="s">
        <v>3429</v>
      </c>
      <c r="S767" t="s">
        <v>4235</v>
      </c>
    </row>
    <row r="768" spans="1:19" hidden="1" x14ac:dyDescent="0.25">
      <c r="A768" t="s">
        <v>5883</v>
      </c>
      <c r="B768" t="s">
        <v>2900</v>
      </c>
      <c r="C768" t="s">
        <v>3235</v>
      </c>
      <c r="D768" t="s">
        <v>2980</v>
      </c>
      <c r="E768" t="s">
        <v>1629</v>
      </c>
      <c r="F768" t="s">
        <v>192</v>
      </c>
      <c r="G768">
        <v>37</v>
      </c>
      <c r="H768">
        <v>557.03</v>
      </c>
      <c r="I768">
        <v>20610.11</v>
      </c>
      <c r="J768">
        <v>16.5</v>
      </c>
      <c r="K768">
        <v>3297.62</v>
      </c>
      <c r="L768">
        <v>20507.060000000001</v>
      </c>
      <c r="M768" t="s">
        <v>4232</v>
      </c>
      <c r="N768" t="s">
        <v>4243</v>
      </c>
      <c r="O768" t="s">
        <v>2449</v>
      </c>
      <c r="P768" t="s">
        <v>2506</v>
      </c>
      <c r="Q768" t="s">
        <v>5884</v>
      </c>
      <c r="R768" t="s">
        <v>3425</v>
      </c>
      <c r="S768" t="s">
        <v>4235</v>
      </c>
    </row>
    <row r="769" spans="1:19" hidden="1" x14ac:dyDescent="0.25">
      <c r="A769" t="s">
        <v>5885</v>
      </c>
      <c r="B769" t="s">
        <v>2609</v>
      </c>
      <c r="C769" t="s">
        <v>3118</v>
      </c>
      <c r="D769" t="s">
        <v>2824</v>
      </c>
      <c r="E769" t="s">
        <v>1566</v>
      </c>
      <c r="F769" t="s">
        <v>718</v>
      </c>
      <c r="G769">
        <v>3</v>
      </c>
      <c r="H769">
        <v>675.53</v>
      </c>
      <c r="I769">
        <v>2026.59</v>
      </c>
      <c r="J769">
        <v>17.3</v>
      </c>
      <c r="K769">
        <v>324.25</v>
      </c>
      <c r="L769">
        <v>2000.24</v>
      </c>
      <c r="M769" t="s">
        <v>3442</v>
      </c>
      <c r="N769" t="s">
        <v>4248</v>
      </c>
      <c r="O769" t="s">
        <v>2425</v>
      </c>
      <c r="P769" t="s">
        <v>2554</v>
      </c>
      <c r="Q769" t="s">
        <v>5886</v>
      </c>
      <c r="R769" t="s">
        <v>4275</v>
      </c>
      <c r="S769" t="s">
        <v>4235</v>
      </c>
    </row>
    <row r="770" spans="1:19" hidden="1" x14ac:dyDescent="0.25">
      <c r="A770" t="s">
        <v>5887</v>
      </c>
      <c r="B770" t="s">
        <v>1721</v>
      </c>
      <c r="C770" t="s">
        <v>4657</v>
      </c>
      <c r="D770" t="s">
        <v>2683</v>
      </c>
      <c r="E770" t="s">
        <v>1872</v>
      </c>
      <c r="F770" t="s">
        <v>672</v>
      </c>
      <c r="G770">
        <v>46</v>
      </c>
      <c r="H770">
        <v>219.96</v>
      </c>
      <c r="I770">
        <v>10118.16</v>
      </c>
      <c r="J770">
        <v>7.4</v>
      </c>
      <c r="K770">
        <v>1618.91</v>
      </c>
      <c r="L770">
        <v>10988.33</v>
      </c>
      <c r="M770" t="s">
        <v>4232</v>
      </c>
      <c r="N770" t="s">
        <v>4243</v>
      </c>
      <c r="O770" t="s">
        <v>2456</v>
      </c>
      <c r="P770" t="s">
        <v>2568</v>
      </c>
      <c r="Q770" t="s">
        <v>5888</v>
      </c>
      <c r="R770" t="s">
        <v>3425</v>
      </c>
      <c r="S770" t="s">
        <v>4235</v>
      </c>
    </row>
    <row r="771" spans="1:19" hidden="1" x14ac:dyDescent="0.25">
      <c r="A771" t="s">
        <v>5889</v>
      </c>
      <c r="B771" t="s">
        <v>3798</v>
      </c>
      <c r="C771" t="s">
        <v>4151</v>
      </c>
      <c r="D771" t="s">
        <v>3694</v>
      </c>
      <c r="E771" t="s">
        <v>1956</v>
      </c>
      <c r="F771" t="s">
        <v>955</v>
      </c>
      <c r="G771">
        <v>10</v>
      </c>
      <c r="H771">
        <v>175.41</v>
      </c>
      <c r="I771">
        <v>1754.1</v>
      </c>
      <c r="J771">
        <v>18.100000000000001</v>
      </c>
      <c r="K771">
        <v>280.66000000000003</v>
      </c>
      <c r="L771">
        <v>1717.27</v>
      </c>
      <c r="M771" t="s">
        <v>4232</v>
      </c>
      <c r="N771" t="s">
        <v>4233</v>
      </c>
      <c r="O771" t="s">
        <v>2388</v>
      </c>
      <c r="P771" t="s">
        <v>2558</v>
      </c>
      <c r="Q771" t="s">
        <v>5890</v>
      </c>
      <c r="R771" t="s">
        <v>3429</v>
      </c>
      <c r="S771" t="s">
        <v>4235</v>
      </c>
    </row>
    <row r="772" spans="1:19" hidden="1" x14ac:dyDescent="0.25">
      <c r="A772" t="s">
        <v>5891</v>
      </c>
      <c r="B772" t="s">
        <v>4156</v>
      </c>
      <c r="C772" t="s">
        <v>3847</v>
      </c>
      <c r="D772" t="s">
        <v>3847</v>
      </c>
      <c r="E772" t="s">
        <v>2119</v>
      </c>
      <c r="F772" t="s">
        <v>734</v>
      </c>
      <c r="G772">
        <v>39</v>
      </c>
      <c r="H772">
        <v>795.21</v>
      </c>
      <c r="I772">
        <v>31013.19</v>
      </c>
      <c r="J772">
        <v>0.1</v>
      </c>
      <c r="K772">
        <v>4962.1099999999997</v>
      </c>
      <c r="L772">
        <v>35944.29</v>
      </c>
      <c r="M772" t="s">
        <v>3442</v>
      </c>
      <c r="N772" t="s">
        <v>4228</v>
      </c>
      <c r="O772" t="s">
        <v>2425</v>
      </c>
      <c r="P772" t="s">
        <v>2506</v>
      </c>
      <c r="Q772" t="s">
        <v>5892</v>
      </c>
      <c r="R772" t="s">
        <v>3425</v>
      </c>
      <c r="S772" t="s">
        <v>3466</v>
      </c>
    </row>
    <row r="773" spans="1:19" hidden="1" x14ac:dyDescent="0.25">
      <c r="A773" t="s">
        <v>5893</v>
      </c>
      <c r="B773" t="s">
        <v>2964</v>
      </c>
      <c r="C773" t="s">
        <v>2439</v>
      </c>
      <c r="D773" t="s">
        <v>2943</v>
      </c>
      <c r="E773" t="s">
        <v>2336</v>
      </c>
      <c r="F773" t="s">
        <v>601</v>
      </c>
      <c r="G773">
        <v>28</v>
      </c>
      <c r="H773">
        <v>574.02</v>
      </c>
      <c r="I773">
        <v>16072.56</v>
      </c>
      <c r="J773">
        <v>16.2</v>
      </c>
      <c r="K773">
        <v>2571.61</v>
      </c>
      <c r="L773">
        <v>16040.42</v>
      </c>
      <c r="M773" t="s">
        <v>4257</v>
      </c>
      <c r="N773" t="s">
        <v>4243</v>
      </c>
      <c r="O773" t="s">
        <v>2425</v>
      </c>
      <c r="P773" t="s">
        <v>2564</v>
      </c>
      <c r="Q773" t="s">
        <v>5894</v>
      </c>
      <c r="R773" t="s">
        <v>3425</v>
      </c>
      <c r="S773" t="s">
        <v>4230</v>
      </c>
    </row>
    <row r="774" spans="1:19" hidden="1" x14ac:dyDescent="0.25">
      <c r="A774" t="s">
        <v>5895</v>
      </c>
      <c r="B774" t="s">
        <v>2863</v>
      </c>
      <c r="C774" t="s">
        <v>2863</v>
      </c>
      <c r="D774" t="s">
        <v>3196</v>
      </c>
      <c r="E774" t="s">
        <v>1650</v>
      </c>
      <c r="F774" t="s">
        <v>774</v>
      </c>
      <c r="G774">
        <v>24</v>
      </c>
      <c r="H774">
        <v>854.71</v>
      </c>
      <c r="I774">
        <v>20513.04</v>
      </c>
      <c r="J774">
        <v>8.5</v>
      </c>
      <c r="K774">
        <v>3282.09</v>
      </c>
      <c r="L774">
        <v>22051.52</v>
      </c>
      <c r="M774" t="s">
        <v>4232</v>
      </c>
      <c r="N774" t="s">
        <v>1520</v>
      </c>
      <c r="O774" t="s">
        <v>2407</v>
      </c>
      <c r="P774" t="s">
        <v>2475</v>
      </c>
      <c r="Q774" t="s">
        <v>5896</v>
      </c>
      <c r="R774" t="s">
        <v>3425</v>
      </c>
      <c r="S774" t="s">
        <v>3466</v>
      </c>
    </row>
    <row r="775" spans="1:19" hidden="1" x14ac:dyDescent="0.25">
      <c r="A775" t="s">
        <v>5897</v>
      </c>
      <c r="B775" t="s">
        <v>3886</v>
      </c>
      <c r="C775" t="s">
        <v>3352</v>
      </c>
      <c r="D775" t="s">
        <v>3794</v>
      </c>
      <c r="E775" t="s">
        <v>2344</v>
      </c>
      <c r="F775" t="s">
        <v>390</v>
      </c>
      <c r="G775">
        <v>36</v>
      </c>
      <c r="H775">
        <v>792.02</v>
      </c>
      <c r="I775">
        <v>28512.720000000001</v>
      </c>
      <c r="J775">
        <v>16.899999999999999</v>
      </c>
      <c r="K775">
        <v>4562.04</v>
      </c>
      <c r="L775">
        <v>28256.11</v>
      </c>
      <c r="M775" t="s">
        <v>3428</v>
      </c>
      <c r="N775" t="s">
        <v>4243</v>
      </c>
      <c r="O775" t="s">
        <v>2388</v>
      </c>
      <c r="P775" t="s">
        <v>2491</v>
      </c>
      <c r="Q775" t="s">
        <v>5898</v>
      </c>
      <c r="R775" t="s">
        <v>3425</v>
      </c>
      <c r="S775" t="s">
        <v>4230</v>
      </c>
    </row>
    <row r="776" spans="1:19" hidden="1" x14ac:dyDescent="0.25">
      <c r="A776" t="s">
        <v>5899</v>
      </c>
      <c r="B776" t="s">
        <v>3321</v>
      </c>
      <c r="C776" t="s">
        <v>2980</v>
      </c>
      <c r="D776" t="s">
        <v>2980</v>
      </c>
      <c r="E776" t="s">
        <v>1650</v>
      </c>
      <c r="F776" t="s">
        <v>1000</v>
      </c>
      <c r="G776">
        <v>47</v>
      </c>
      <c r="H776">
        <v>484.59</v>
      </c>
      <c r="I776">
        <v>22775.73</v>
      </c>
      <c r="J776">
        <v>10.1</v>
      </c>
      <c r="K776">
        <v>3644.12</v>
      </c>
      <c r="L776">
        <v>24119.5</v>
      </c>
      <c r="M776" t="s">
        <v>4238</v>
      </c>
      <c r="N776" t="s">
        <v>4228</v>
      </c>
      <c r="O776" t="s">
        <v>2376</v>
      </c>
      <c r="P776" t="s">
        <v>2475</v>
      </c>
      <c r="Q776" t="s">
        <v>5900</v>
      </c>
      <c r="R776" t="s">
        <v>3425</v>
      </c>
    </row>
    <row r="777" spans="1:19" x14ac:dyDescent="0.25">
      <c r="A777" t="s">
        <v>5901</v>
      </c>
      <c r="B777" s="2" t="s">
        <v>3069</v>
      </c>
      <c r="C777" t="s">
        <v>2252</v>
      </c>
      <c r="D777" t="s">
        <v>2712</v>
      </c>
      <c r="E777" t="s">
        <v>1668</v>
      </c>
      <c r="F777" t="s">
        <v>1031</v>
      </c>
      <c r="G777">
        <v>18</v>
      </c>
      <c r="H777">
        <v>212.65</v>
      </c>
      <c r="I777">
        <v>3827.7</v>
      </c>
      <c r="J777">
        <v>5.9</v>
      </c>
      <c r="K777">
        <v>612.42999999999995</v>
      </c>
      <c r="L777">
        <v>4214.3</v>
      </c>
      <c r="M777" t="s">
        <v>4247</v>
      </c>
      <c r="N777" t="s">
        <v>4233</v>
      </c>
      <c r="O777" t="s">
        <v>2425</v>
      </c>
      <c r="P777" t="s">
        <v>2564</v>
      </c>
      <c r="Q777" t="s">
        <v>5902</v>
      </c>
      <c r="R777" t="s">
        <v>4245</v>
      </c>
      <c r="S777" t="s">
        <v>3466</v>
      </c>
    </row>
    <row r="778" spans="1:19" hidden="1" x14ac:dyDescent="0.25">
      <c r="A778" t="s">
        <v>5903</v>
      </c>
      <c r="B778" t="s">
        <v>3062</v>
      </c>
      <c r="C778" t="s">
        <v>3062</v>
      </c>
      <c r="D778" t="s">
        <v>2143</v>
      </c>
      <c r="E778" t="s">
        <v>1608</v>
      </c>
      <c r="F778" t="s">
        <v>1081</v>
      </c>
      <c r="G778">
        <v>40</v>
      </c>
      <c r="H778">
        <v>767.37</v>
      </c>
      <c r="I778">
        <v>30694.799999999999</v>
      </c>
      <c r="J778">
        <v>15.7</v>
      </c>
      <c r="K778">
        <v>4911.17</v>
      </c>
      <c r="L778">
        <v>30786.89</v>
      </c>
      <c r="M778" t="s">
        <v>4232</v>
      </c>
      <c r="N778" t="s">
        <v>4228</v>
      </c>
      <c r="O778" t="s">
        <v>2440</v>
      </c>
      <c r="P778" t="s">
        <v>2491</v>
      </c>
      <c r="Q778" t="s">
        <v>5904</v>
      </c>
      <c r="R778" t="s">
        <v>3429</v>
      </c>
      <c r="S778" t="s">
        <v>4230</v>
      </c>
    </row>
    <row r="779" spans="1:19" hidden="1" x14ac:dyDescent="0.25">
      <c r="A779" t="s">
        <v>5905</v>
      </c>
      <c r="B779" t="s">
        <v>3555</v>
      </c>
      <c r="C779" t="s">
        <v>2448</v>
      </c>
      <c r="D779" t="s">
        <v>2682</v>
      </c>
      <c r="E779" t="s">
        <v>2353</v>
      </c>
      <c r="F779" t="s">
        <v>621</v>
      </c>
      <c r="G779">
        <v>26</v>
      </c>
      <c r="H779">
        <v>715.73</v>
      </c>
      <c r="I779">
        <v>18608.98</v>
      </c>
      <c r="J779">
        <v>8.1</v>
      </c>
      <c r="K779">
        <v>2977.44</v>
      </c>
      <c r="L779">
        <v>20079.09</v>
      </c>
      <c r="M779" t="s">
        <v>4238</v>
      </c>
      <c r="N779" t="s">
        <v>1121</v>
      </c>
      <c r="O779" t="s">
        <v>2407</v>
      </c>
      <c r="P779" t="s">
        <v>2519</v>
      </c>
      <c r="Q779" t="s">
        <v>5906</v>
      </c>
      <c r="R779" t="s">
        <v>3425</v>
      </c>
    </row>
    <row r="780" spans="1:19" hidden="1" x14ac:dyDescent="0.25">
      <c r="A780" t="s">
        <v>5907</v>
      </c>
      <c r="B780" t="s">
        <v>3980</v>
      </c>
      <c r="C780" t="s">
        <v>4607</v>
      </c>
      <c r="D780" t="s">
        <v>4645</v>
      </c>
      <c r="E780" t="s">
        <v>2185</v>
      </c>
      <c r="F780" t="s">
        <v>1026</v>
      </c>
      <c r="G780">
        <v>24</v>
      </c>
      <c r="H780">
        <v>221.87</v>
      </c>
      <c r="I780">
        <v>5324.88</v>
      </c>
      <c r="J780">
        <v>18.7</v>
      </c>
      <c r="K780">
        <v>851.98</v>
      </c>
      <c r="L780">
        <v>5181.1099999999997</v>
      </c>
      <c r="M780" t="s">
        <v>3428</v>
      </c>
      <c r="N780" t="s">
        <v>4243</v>
      </c>
      <c r="O780" t="s">
        <v>2425</v>
      </c>
      <c r="P780" t="s">
        <v>2506</v>
      </c>
      <c r="Q780" t="s">
        <v>5908</v>
      </c>
      <c r="R780" t="s">
        <v>3425</v>
      </c>
    </row>
    <row r="781" spans="1:19" hidden="1" x14ac:dyDescent="0.25">
      <c r="A781" t="s">
        <v>5909</v>
      </c>
      <c r="B781" t="s">
        <v>5910</v>
      </c>
      <c r="C781" t="s">
        <v>5910</v>
      </c>
      <c r="D781" t="s">
        <v>3603</v>
      </c>
      <c r="E781" t="s">
        <v>1650</v>
      </c>
      <c r="F781" t="s">
        <v>198</v>
      </c>
      <c r="G781">
        <v>38</v>
      </c>
      <c r="H781">
        <v>160.75</v>
      </c>
      <c r="I781">
        <v>6108.5</v>
      </c>
      <c r="J781">
        <v>5.2</v>
      </c>
      <c r="K781">
        <v>977.36</v>
      </c>
      <c r="L781">
        <v>6768.22</v>
      </c>
      <c r="M781" t="s">
        <v>4257</v>
      </c>
      <c r="N781" t="s">
        <v>4248</v>
      </c>
      <c r="O781" t="s">
        <v>2416</v>
      </c>
      <c r="P781" t="s">
        <v>2538</v>
      </c>
      <c r="Q781" t="s">
        <v>5911</v>
      </c>
      <c r="R781" t="s">
        <v>3429</v>
      </c>
    </row>
    <row r="782" spans="1:19" hidden="1" x14ac:dyDescent="0.25">
      <c r="A782" t="s">
        <v>5912</v>
      </c>
      <c r="B782" t="s">
        <v>5028</v>
      </c>
      <c r="C782" t="s">
        <v>5028</v>
      </c>
      <c r="D782" t="s">
        <v>2614</v>
      </c>
      <c r="E782" t="s">
        <v>2344</v>
      </c>
      <c r="F782" t="s">
        <v>240</v>
      </c>
      <c r="G782">
        <v>22</v>
      </c>
      <c r="H782">
        <v>494.27</v>
      </c>
      <c r="I782">
        <v>10873.94</v>
      </c>
      <c r="J782">
        <v>12.8</v>
      </c>
      <c r="K782">
        <v>1739.83</v>
      </c>
      <c r="L782">
        <v>11221.91</v>
      </c>
      <c r="M782" t="s">
        <v>4227</v>
      </c>
      <c r="N782" t="s">
        <v>4233</v>
      </c>
      <c r="O782" t="s">
        <v>2388</v>
      </c>
      <c r="P782" t="s">
        <v>2481</v>
      </c>
      <c r="Q782" t="s">
        <v>5913</v>
      </c>
      <c r="R782" t="s">
        <v>3425</v>
      </c>
      <c r="S782" t="s">
        <v>4235</v>
      </c>
    </row>
    <row r="783" spans="1:19" hidden="1" x14ac:dyDescent="0.25">
      <c r="A783" t="s">
        <v>5914</v>
      </c>
      <c r="B783" t="s">
        <v>3441</v>
      </c>
      <c r="C783" t="s">
        <v>3617</v>
      </c>
      <c r="D783" t="s">
        <v>3563</v>
      </c>
      <c r="E783" t="s">
        <v>1489</v>
      </c>
      <c r="F783" t="s">
        <v>95</v>
      </c>
      <c r="G783">
        <v>33</v>
      </c>
      <c r="H783">
        <v>126.16</v>
      </c>
      <c r="I783">
        <v>4163.28</v>
      </c>
      <c r="J783">
        <v>8</v>
      </c>
      <c r="K783">
        <v>666.12</v>
      </c>
      <c r="L783">
        <v>4496.34</v>
      </c>
      <c r="M783" t="s">
        <v>4227</v>
      </c>
      <c r="N783" t="s">
        <v>1520</v>
      </c>
      <c r="O783" t="s">
        <v>2425</v>
      </c>
      <c r="P783" t="s">
        <v>2551</v>
      </c>
      <c r="Q783" t="s">
        <v>5915</v>
      </c>
      <c r="R783" t="s">
        <v>3425</v>
      </c>
      <c r="S783" t="s">
        <v>4230</v>
      </c>
    </row>
    <row r="784" spans="1:19" hidden="1" x14ac:dyDescent="0.25">
      <c r="A784" t="s">
        <v>5916</v>
      </c>
      <c r="B784" t="s">
        <v>3114</v>
      </c>
      <c r="C784" t="s">
        <v>3305</v>
      </c>
      <c r="D784" t="s">
        <v>3761</v>
      </c>
      <c r="E784" t="s">
        <v>1829</v>
      </c>
      <c r="F784" t="s">
        <v>759</v>
      </c>
      <c r="G784">
        <v>33</v>
      </c>
      <c r="H784">
        <v>670.98</v>
      </c>
      <c r="I784">
        <v>22142.34</v>
      </c>
      <c r="J784">
        <v>7.2</v>
      </c>
      <c r="K784">
        <v>3542.77</v>
      </c>
      <c r="L784">
        <v>24090.86</v>
      </c>
      <c r="M784" t="s">
        <v>4227</v>
      </c>
      <c r="N784" t="s">
        <v>4228</v>
      </c>
      <c r="O784" t="s">
        <v>2432</v>
      </c>
      <c r="P784" t="s">
        <v>2538</v>
      </c>
      <c r="Q784" t="s">
        <v>5917</v>
      </c>
      <c r="R784" t="s">
        <v>3434</v>
      </c>
      <c r="S784" t="s">
        <v>4235</v>
      </c>
    </row>
    <row r="785" spans="1:19" hidden="1" x14ac:dyDescent="0.25">
      <c r="A785" t="s">
        <v>5918</v>
      </c>
      <c r="B785" t="s">
        <v>3715</v>
      </c>
      <c r="C785" t="s">
        <v>2627</v>
      </c>
      <c r="D785" t="s">
        <v>2033</v>
      </c>
      <c r="E785" t="s">
        <v>1786</v>
      </c>
      <c r="F785" t="s">
        <v>1021</v>
      </c>
      <c r="G785">
        <v>33</v>
      </c>
      <c r="H785">
        <v>839.3</v>
      </c>
      <c r="I785">
        <v>27696.9</v>
      </c>
      <c r="J785">
        <v>19.7</v>
      </c>
      <c r="K785">
        <v>4431.5</v>
      </c>
      <c r="L785">
        <v>26672.11</v>
      </c>
      <c r="M785" t="s">
        <v>4238</v>
      </c>
      <c r="N785" t="s">
        <v>1121</v>
      </c>
      <c r="O785" t="s">
        <v>2398</v>
      </c>
      <c r="P785" t="s">
        <v>2475</v>
      </c>
      <c r="Q785" t="s">
        <v>5919</v>
      </c>
      <c r="R785" t="s">
        <v>3425</v>
      </c>
      <c r="S785" t="s">
        <v>3466</v>
      </c>
    </row>
    <row r="786" spans="1:19" hidden="1" x14ac:dyDescent="0.25">
      <c r="A786" t="s">
        <v>5920</v>
      </c>
      <c r="B786" t="s">
        <v>3975</v>
      </c>
      <c r="C786" t="s">
        <v>3456</v>
      </c>
      <c r="D786" t="s">
        <v>3968</v>
      </c>
      <c r="E786" t="s">
        <v>2270</v>
      </c>
      <c r="F786" t="s">
        <v>274</v>
      </c>
      <c r="G786">
        <v>43</v>
      </c>
      <c r="H786">
        <v>426.13</v>
      </c>
      <c r="I786">
        <v>18323.59</v>
      </c>
      <c r="J786">
        <v>7.3</v>
      </c>
      <c r="K786">
        <v>2931.77</v>
      </c>
      <c r="L786">
        <v>19917.740000000002</v>
      </c>
      <c r="M786" t="s">
        <v>3428</v>
      </c>
      <c r="N786" t="s">
        <v>4228</v>
      </c>
      <c r="O786" t="s">
        <v>2425</v>
      </c>
      <c r="P786" t="s">
        <v>2515</v>
      </c>
      <c r="Q786" t="s">
        <v>5921</v>
      </c>
      <c r="R786" t="s">
        <v>3425</v>
      </c>
      <c r="S786" t="s">
        <v>4292</v>
      </c>
    </row>
    <row r="787" spans="1:19" hidden="1" x14ac:dyDescent="0.25">
      <c r="A787" t="s">
        <v>5922</v>
      </c>
      <c r="B787" t="s">
        <v>3888</v>
      </c>
      <c r="C787" t="s">
        <v>3445</v>
      </c>
      <c r="D787" t="s">
        <v>3445</v>
      </c>
      <c r="E787" t="s">
        <v>1475</v>
      </c>
      <c r="F787" t="s">
        <v>117</v>
      </c>
      <c r="G787">
        <v>3</v>
      </c>
      <c r="H787">
        <v>651.36</v>
      </c>
      <c r="I787">
        <v>1954.08</v>
      </c>
      <c r="J787">
        <v>14.7</v>
      </c>
      <c r="K787">
        <v>312.64999999999998</v>
      </c>
      <c r="L787">
        <v>1979.48</v>
      </c>
      <c r="M787" t="s">
        <v>4232</v>
      </c>
      <c r="N787" t="s">
        <v>1520</v>
      </c>
      <c r="O787" t="s">
        <v>2376</v>
      </c>
      <c r="P787" t="s">
        <v>2486</v>
      </c>
      <c r="Q787" t="s">
        <v>5923</v>
      </c>
      <c r="R787" t="s">
        <v>3425</v>
      </c>
      <c r="S787" t="s">
        <v>4230</v>
      </c>
    </row>
    <row r="788" spans="1:19" hidden="1" x14ac:dyDescent="0.25">
      <c r="A788" t="s">
        <v>5924</v>
      </c>
      <c r="B788" t="s">
        <v>3859</v>
      </c>
      <c r="C788" t="s">
        <v>3309</v>
      </c>
      <c r="D788" t="s">
        <v>2725</v>
      </c>
      <c r="E788" t="s">
        <v>1599</v>
      </c>
      <c r="F788" t="s">
        <v>865</v>
      </c>
      <c r="G788">
        <v>2</v>
      </c>
      <c r="H788">
        <v>547.58000000000004</v>
      </c>
      <c r="I788">
        <v>1095.1600000000001</v>
      </c>
      <c r="J788">
        <v>6.8</v>
      </c>
      <c r="K788">
        <v>175.23</v>
      </c>
      <c r="L788">
        <v>1195.92</v>
      </c>
      <c r="M788" t="s">
        <v>4257</v>
      </c>
      <c r="N788" t="s">
        <v>1520</v>
      </c>
      <c r="O788" t="s">
        <v>2407</v>
      </c>
      <c r="P788" t="s">
        <v>2564</v>
      </c>
      <c r="Q788" t="s">
        <v>5925</v>
      </c>
      <c r="R788" t="s">
        <v>3425</v>
      </c>
      <c r="S788" t="s">
        <v>4230</v>
      </c>
    </row>
    <row r="789" spans="1:19" hidden="1" x14ac:dyDescent="0.25">
      <c r="A789" t="s">
        <v>5926</v>
      </c>
      <c r="B789" t="s">
        <v>3209</v>
      </c>
      <c r="C789" t="s">
        <v>3209</v>
      </c>
      <c r="D789" t="s">
        <v>3177</v>
      </c>
      <c r="E789" t="s">
        <v>1973</v>
      </c>
      <c r="F789" t="s">
        <v>950</v>
      </c>
      <c r="G789">
        <v>14</v>
      </c>
      <c r="H789">
        <v>405.11</v>
      </c>
      <c r="I789">
        <v>5671.54</v>
      </c>
      <c r="J789">
        <v>14.3</v>
      </c>
      <c r="K789">
        <v>907.45</v>
      </c>
      <c r="L789">
        <v>5767.96</v>
      </c>
      <c r="M789" t="s">
        <v>4257</v>
      </c>
      <c r="N789" t="s">
        <v>4233</v>
      </c>
      <c r="O789" t="s">
        <v>2376</v>
      </c>
      <c r="P789" t="s">
        <v>2548</v>
      </c>
      <c r="Q789" t="s">
        <v>5927</v>
      </c>
      <c r="R789" t="s">
        <v>3425</v>
      </c>
    </row>
    <row r="790" spans="1:19" hidden="1" x14ac:dyDescent="0.25">
      <c r="A790" t="s">
        <v>5928</v>
      </c>
      <c r="B790" t="s">
        <v>3516</v>
      </c>
      <c r="C790" t="s">
        <v>3516</v>
      </c>
      <c r="D790" t="s">
        <v>3018</v>
      </c>
      <c r="E790" t="s">
        <v>2119</v>
      </c>
      <c r="F790" t="s">
        <v>677</v>
      </c>
      <c r="G790">
        <v>34</v>
      </c>
      <c r="H790">
        <v>191.17</v>
      </c>
      <c r="I790">
        <v>6499.78</v>
      </c>
      <c r="J790">
        <v>0.1</v>
      </c>
      <c r="K790">
        <v>1039.96</v>
      </c>
      <c r="L790">
        <v>7533.24</v>
      </c>
      <c r="M790" t="s">
        <v>4232</v>
      </c>
      <c r="N790" t="s">
        <v>4243</v>
      </c>
      <c r="O790" t="s">
        <v>2407</v>
      </c>
      <c r="P790" t="s">
        <v>2522</v>
      </c>
      <c r="Q790" t="s">
        <v>5929</v>
      </c>
      <c r="R790" t="s">
        <v>4275</v>
      </c>
    </row>
    <row r="791" spans="1:19" hidden="1" x14ac:dyDescent="0.25">
      <c r="A791" t="s">
        <v>5930</v>
      </c>
      <c r="B791" t="s">
        <v>3464</v>
      </c>
      <c r="C791" t="s">
        <v>3462</v>
      </c>
      <c r="D791" t="s">
        <v>3772</v>
      </c>
      <c r="E791" t="s">
        <v>2194</v>
      </c>
      <c r="F791" t="s">
        <v>985</v>
      </c>
      <c r="G791">
        <v>4</v>
      </c>
      <c r="H791">
        <v>597.30999999999995</v>
      </c>
      <c r="I791">
        <v>2389.2399999999998</v>
      </c>
      <c r="J791">
        <v>4.5999999999999996</v>
      </c>
      <c r="K791">
        <v>382.28</v>
      </c>
      <c r="L791">
        <v>2661.61</v>
      </c>
      <c r="M791" t="s">
        <v>3428</v>
      </c>
      <c r="N791" t="s">
        <v>1520</v>
      </c>
      <c r="O791" t="s">
        <v>2432</v>
      </c>
      <c r="P791" t="s">
        <v>2486</v>
      </c>
      <c r="Q791" t="s">
        <v>5931</v>
      </c>
      <c r="R791" t="s">
        <v>3425</v>
      </c>
    </row>
    <row r="792" spans="1:19" hidden="1" x14ac:dyDescent="0.25">
      <c r="A792" t="s">
        <v>5932</v>
      </c>
      <c r="B792" t="s">
        <v>2110</v>
      </c>
      <c r="C792" t="s">
        <v>2110</v>
      </c>
      <c r="D792" t="s">
        <v>4967</v>
      </c>
      <c r="E792" t="s">
        <v>2076</v>
      </c>
      <c r="F792" t="s">
        <v>192</v>
      </c>
      <c r="G792">
        <v>9</v>
      </c>
      <c r="H792">
        <v>888.04</v>
      </c>
      <c r="I792">
        <v>7992.36</v>
      </c>
      <c r="J792">
        <v>13.5</v>
      </c>
      <c r="K792">
        <v>1278.78</v>
      </c>
      <c r="L792">
        <v>8192.17</v>
      </c>
      <c r="M792" t="s">
        <v>4238</v>
      </c>
      <c r="N792" t="s">
        <v>4228</v>
      </c>
      <c r="O792" t="s">
        <v>2416</v>
      </c>
      <c r="P792" t="s">
        <v>2568</v>
      </c>
      <c r="Q792" t="s">
        <v>5933</v>
      </c>
      <c r="R792" t="s">
        <v>3425</v>
      </c>
    </row>
    <row r="793" spans="1:19" x14ac:dyDescent="0.25">
      <c r="A793" t="s">
        <v>5934</v>
      </c>
      <c r="B793" s="2" t="s">
        <v>3456</v>
      </c>
      <c r="C793" t="s">
        <v>3905</v>
      </c>
      <c r="D793" t="s">
        <v>3905</v>
      </c>
      <c r="E793" t="s">
        <v>1524</v>
      </c>
      <c r="F793" t="s">
        <v>555</v>
      </c>
      <c r="G793">
        <v>44</v>
      </c>
      <c r="H793">
        <v>538.78</v>
      </c>
      <c r="I793">
        <v>23706.32</v>
      </c>
      <c r="J793">
        <v>4.2</v>
      </c>
      <c r="K793">
        <v>3793.01</v>
      </c>
      <c r="L793">
        <v>26503.66</v>
      </c>
      <c r="M793" t="s">
        <v>4238</v>
      </c>
      <c r="N793" t="s">
        <v>4228</v>
      </c>
      <c r="O793" t="s">
        <v>2432</v>
      </c>
      <c r="P793" t="s">
        <v>2538</v>
      </c>
      <c r="Q793" t="s">
        <v>5935</v>
      </c>
      <c r="R793" t="s">
        <v>4245</v>
      </c>
      <c r="S793" t="s">
        <v>4292</v>
      </c>
    </row>
    <row r="794" spans="1:19" hidden="1" x14ac:dyDescent="0.25">
      <c r="A794" t="s">
        <v>5936</v>
      </c>
      <c r="B794" t="s">
        <v>3279</v>
      </c>
      <c r="C794" t="s">
        <v>3549</v>
      </c>
      <c r="D794" t="s">
        <v>3375</v>
      </c>
      <c r="E794" t="s">
        <v>1659</v>
      </c>
      <c r="F794" t="s">
        <v>209</v>
      </c>
      <c r="G794">
        <v>36</v>
      </c>
      <c r="H794">
        <v>567.62</v>
      </c>
      <c r="I794">
        <v>20434.32</v>
      </c>
      <c r="J794">
        <v>2.5</v>
      </c>
      <c r="K794">
        <v>3269.49</v>
      </c>
      <c r="L794">
        <v>23192.95</v>
      </c>
      <c r="M794" t="s">
        <v>3428</v>
      </c>
      <c r="N794" t="s">
        <v>4228</v>
      </c>
      <c r="O794" t="s">
        <v>2407</v>
      </c>
      <c r="P794" t="s">
        <v>2538</v>
      </c>
      <c r="Q794" t="s">
        <v>5937</v>
      </c>
      <c r="R794" t="s">
        <v>4275</v>
      </c>
    </row>
    <row r="795" spans="1:19" hidden="1" x14ac:dyDescent="0.25">
      <c r="A795" t="s">
        <v>5938</v>
      </c>
      <c r="B795" t="s">
        <v>2721</v>
      </c>
      <c r="C795" t="s">
        <v>2721</v>
      </c>
      <c r="D795" t="s">
        <v>2673</v>
      </c>
      <c r="E795" t="s">
        <v>2336</v>
      </c>
      <c r="F795" t="s">
        <v>1046</v>
      </c>
      <c r="G795">
        <v>7</v>
      </c>
      <c r="H795">
        <v>424.43</v>
      </c>
      <c r="I795">
        <v>2971.01</v>
      </c>
      <c r="J795">
        <v>9.6999999999999993</v>
      </c>
      <c r="K795">
        <v>475.36</v>
      </c>
      <c r="L795">
        <v>3158.18</v>
      </c>
      <c r="M795" t="s">
        <v>3428</v>
      </c>
      <c r="N795" t="s">
        <v>1520</v>
      </c>
      <c r="O795" t="s">
        <v>2432</v>
      </c>
      <c r="P795" t="s">
        <v>2495</v>
      </c>
      <c r="Q795" t="s">
        <v>5939</v>
      </c>
      <c r="R795" t="s">
        <v>3429</v>
      </c>
    </row>
    <row r="796" spans="1:19" hidden="1" x14ac:dyDescent="0.25">
      <c r="A796" t="s">
        <v>5940</v>
      </c>
      <c r="B796" t="s">
        <v>4422</v>
      </c>
      <c r="C796" t="s">
        <v>4422</v>
      </c>
      <c r="D796" t="s">
        <v>3649</v>
      </c>
      <c r="E796" t="s">
        <v>1990</v>
      </c>
      <c r="F796" t="s">
        <v>809</v>
      </c>
      <c r="G796">
        <v>34</v>
      </c>
      <c r="H796">
        <v>824.84</v>
      </c>
      <c r="I796">
        <v>28044.560000000001</v>
      </c>
      <c r="J796">
        <v>13.3</v>
      </c>
      <c r="K796">
        <v>4487.13</v>
      </c>
      <c r="L796">
        <v>28801.759999999998</v>
      </c>
      <c r="M796" t="s">
        <v>4247</v>
      </c>
      <c r="N796" t="s">
        <v>1520</v>
      </c>
      <c r="O796" t="s">
        <v>2398</v>
      </c>
      <c r="P796" t="s">
        <v>2535</v>
      </c>
      <c r="Q796" t="s">
        <v>5941</v>
      </c>
      <c r="R796" t="s">
        <v>3425</v>
      </c>
    </row>
    <row r="797" spans="1:19" hidden="1" x14ac:dyDescent="0.25">
      <c r="A797" t="s">
        <v>5942</v>
      </c>
      <c r="B797" t="s">
        <v>4553</v>
      </c>
      <c r="C797" t="s">
        <v>4553</v>
      </c>
      <c r="D797" t="s">
        <v>3798</v>
      </c>
      <c r="E797" t="s">
        <v>1713</v>
      </c>
      <c r="F797" t="s">
        <v>651</v>
      </c>
      <c r="G797">
        <v>28</v>
      </c>
      <c r="H797">
        <v>447.99</v>
      </c>
      <c r="I797">
        <v>12543.72</v>
      </c>
      <c r="J797">
        <v>10.3</v>
      </c>
      <c r="K797">
        <v>2007</v>
      </c>
      <c r="L797">
        <v>13258.72</v>
      </c>
      <c r="M797" t="s">
        <v>4247</v>
      </c>
      <c r="N797" t="s">
        <v>4243</v>
      </c>
      <c r="O797" t="s">
        <v>2407</v>
      </c>
      <c r="P797" t="s">
        <v>2535</v>
      </c>
      <c r="Q797" t="s">
        <v>5943</v>
      </c>
      <c r="R797" t="s">
        <v>3425</v>
      </c>
      <c r="S797" t="s">
        <v>4235</v>
      </c>
    </row>
    <row r="798" spans="1:19" hidden="1" x14ac:dyDescent="0.25">
      <c r="A798" t="s">
        <v>5944</v>
      </c>
      <c r="B798" t="s">
        <v>3745</v>
      </c>
      <c r="C798" t="s">
        <v>3745</v>
      </c>
      <c r="D798" t="s">
        <v>3896</v>
      </c>
      <c r="E798" t="s">
        <v>1872</v>
      </c>
      <c r="F798" t="s">
        <v>316</v>
      </c>
      <c r="G798">
        <v>12</v>
      </c>
      <c r="H798">
        <v>540.24</v>
      </c>
      <c r="I798">
        <v>6482.88</v>
      </c>
      <c r="J798">
        <v>12.8</v>
      </c>
      <c r="K798">
        <v>1037.26</v>
      </c>
      <c r="L798">
        <v>6690.33</v>
      </c>
      <c r="M798" t="s">
        <v>4227</v>
      </c>
      <c r="N798" t="s">
        <v>4228</v>
      </c>
      <c r="O798" t="s">
        <v>2456</v>
      </c>
      <c r="P798" t="s">
        <v>2512</v>
      </c>
      <c r="Q798" t="s">
        <v>5945</v>
      </c>
      <c r="R798" t="s">
        <v>3425</v>
      </c>
    </row>
    <row r="799" spans="1:19" hidden="1" x14ac:dyDescent="0.25">
      <c r="A799" t="s">
        <v>5946</v>
      </c>
      <c r="B799" t="s">
        <v>2879</v>
      </c>
      <c r="C799" t="s">
        <v>3582</v>
      </c>
      <c r="D799" t="s">
        <v>2937</v>
      </c>
      <c r="E799" t="s">
        <v>1872</v>
      </c>
      <c r="F799" t="s">
        <v>545</v>
      </c>
      <c r="G799">
        <v>40</v>
      </c>
      <c r="H799">
        <v>481.3</v>
      </c>
      <c r="I799">
        <v>19252</v>
      </c>
      <c r="J799">
        <v>9.3000000000000007</v>
      </c>
      <c r="K799">
        <v>3080.32</v>
      </c>
      <c r="L799">
        <v>20541.88</v>
      </c>
      <c r="M799" t="s">
        <v>4238</v>
      </c>
      <c r="N799" t="s">
        <v>1520</v>
      </c>
      <c r="O799" t="s">
        <v>2432</v>
      </c>
      <c r="P799" t="s">
        <v>2519</v>
      </c>
      <c r="Q799" t="s">
        <v>5947</v>
      </c>
      <c r="R799" t="s">
        <v>3425</v>
      </c>
      <c r="S799" t="s">
        <v>4230</v>
      </c>
    </row>
    <row r="800" spans="1:19" x14ac:dyDescent="0.25">
      <c r="A800" t="s">
        <v>5948</v>
      </c>
      <c r="B800" s="2" t="s">
        <v>3747</v>
      </c>
      <c r="C800" t="s">
        <v>3676</v>
      </c>
      <c r="D800" t="s">
        <v>3676</v>
      </c>
      <c r="E800" t="s">
        <v>2320</v>
      </c>
      <c r="F800" t="s">
        <v>794</v>
      </c>
      <c r="G800">
        <v>2</v>
      </c>
      <c r="H800">
        <v>353.67</v>
      </c>
      <c r="I800">
        <v>707.34</v>
      </c>
      <c r="J800">
        <v>18.5</v>
      </c>
      <c r="K800">
        <v>113.17</v>
      </c>
      <c r="L800">
        <v>689.65</v>
      </c>
      <c r="M800" t="s">
        <v>4238</v>
      </c>
      <c r="N800" t="s">
        <v>1520</v>
      </c>
      <c r="O800" t="s">
        <v>2388</v>
      </c>
      <c r="P800" t="s">
        <v>2568</v>
      </c>
      <c r="Q800" t="s">
        <v>5949</v>
      </c>
      <c r="R800" t="s">
        <v>4245</v>
      </c>
    </row>
    <row r="801" spans="1:19" hidden="1" x14ac:dyDescent="0.25">
      <c r="A801" t="s">
        <v>5950</v>
      </c>
      <c r="B801" t="s">
        <v>3525</v>
      </c>
      <c r="C801" t="s">
        <v>3512</v>
      </c>
      <c r="D801" t="s">
        <v>3218</v>
      </c>
      <c r="E801" t="s">
        <v>2144</v>
      </c>
      <c r="F801" t="s">
        <v>165</v>
      </c>
      <c r="G801">
        <v>9</v>
      </c>
      <c r="H801">
        <v>572.19000000000005</v>
      </c>
      <c r="I801">
        <v>5149.71</v>
      </c>
      <c r="J801">
        <v>19</v>
      </c>
      <c r="K801">
        <v>823.95</v>
      </c>
      <c r="L801">
        <v>4995.22</v>
      </c>
      <c r="M801" t="s">
        <v>4238</v>
      </c>
      <c r="N801" t="s">
        <v>4233</v>
      </c>
      <c r="O801" t="s">
        <v>2449</v>
      </c>
      <c r="P801" t="s">
        <v>2544</v>
      </c>
      <c r="Q801" t="s">
        <v>5951</v>
      </c>
      <c r="R801" t="s">
        <v>3425</v>
      </c>
      <c r="S801" t="s">
        <v>4292</v>
      </c>
    </row>
    <row r="802" spans="1:19" x14ac:dyDescent="0.25">
      <c r="A802">
        <f>SUBTOTAL(3,A6:A800)</f>
        <v>92</v>
      </c>
    </row>
  </sheetData>
  <autoFilter ref="A1:S801" xr:uid="{00000000-0001-0000-0700-000000000000}">
    <filterColumn colId="17">
      <filters>
        <filter val="Devuelta"/>
      </filters>
    </filterColumn>
  </autoFilter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601"/>
  <sheetViews>
    <sheetView tabSelected="1" workbookViewId="0"/>
  </sheetViews>
  <sheetFormatPr baseColWidth="10" defaultColWidth="9.140625" defaultRowHeight="15" x14ac:dyDescent="0.25"/>
  <sheetData>
    <row r="1" spans="1:18" x14ac:dyDescent="0.25">
      <c r="A1" s="1" t="s">
        <v>1116</v>
      </c>
      <c r="B1" s="1" t="s">
        <v>1128</v>
      </c>
      <c r="C1" s="1" t="s">
        <v>5952</v>
      </c>
      <c r="D1" s="1" t="s">
        <v>0</v>
      </c>
      <c r="E1" s="1" t="s">
        <v>4219</v>
      </c>
      <c r="F1" s="1" t="s">
        <v>4223</v>
      </c>
      <c r="G1" s="1" t="s">
        <v>3418</v>
      </c>
      <c r="H1" s="1" t="s">
        <v>5953</v>
      </c>
      <c r="I1" s="1" t="s">
        <v>5954</v>
      </c>
      <c r="J1" s="1" t="s">
        <v>5955</v>
      </c>
      <c r="K1" s="1" t="s">
        <v>2580</v>
      </c>
      <c r="L1" s="1" t="s">
        <v>5956</v>
      </c>
      <c r="M1" s="1" t="s">
        <v>3409</v>
      </c>
      <c r="N1" s="1" t="s">
        <v>5957</v>
      </c>
      <c r="O1" s="1" t="s">
        <v>2374</v>
      </c>
      <c r="P1" s="1" t="s">
        <v>5958</v>
      </c>
      <c r="Q1" s="1" t="s">
        <v>17</v>
      </c>
      <c r="R1" s="1" t="s">
        <v>3420</v>
      </c>
    </row>
    <row r="2" spans="1:18" x14ac:dyDescent="0.25">
      <c r="A2" t="s">
        <v>5959</v>
      </c>
      <c r="B2" t="s">
        <v>5960</v>
      </c>
      <c r="C2" t="s">
        <v>5961</v>
      </c>
      <c r="D2" t="s">
        <v>945</v>
      </c>
      <c r="E2">
        <v>47</v>
      </c>
      <c r="F2" t="s">
        <v>2376</v>
      </c>
      <c r="G2" t="s">
        <v>2456</v>
      </c>
      <c r="H2" t="s">
        <v>3186</v>
      </c>
      <c r="I2" t="s">
        <v>2813</v>
      </c>
      <c r="J2" t="s">
        <v>2501</v>
      </c>
      <c r="K2">
        <v>302.52999999999997</v>
      </c>
      <c r="L2">
        <v>21152.22</v>
      </c>
      <c r="M2" t="s">
        <v>3976</v>
      </c>
      <c r="N2" t="s">
        <v>5962</v>
      </c>
      <c r="O2" t="s">
        <v>2447</v>
      </c>
      <c r="P2" t="s">
        <v>1648</v>
      </c>
      <c r="Q2" t="s">
        <v>5963</v>
      </c>
    </row>
    <row r="3" spans="1:18" x14ac:dyDescent="0.25">
      <c r="A3" t="s">
        <v>5964</v>
      </c>
      <c r="B3" t="s">
        <v>5965</v>
      </c>
      <c r="C3" t="s">
        <v>5966</v>
      </c>
      <c r="D3" t="s">
        <v>353</v>
      </c>
      <c r="E3">
        <v>3</v>
      </c>
      <c r="F3" t="s">
        <v>2398</v>
      </c>
      <c r="H3" t="s">
        <v>3288</v>
      </c>
      <c r="J3" t="s">
        <v>2541</v>
      </c>
      <c r="K3">
        <v>426.03</v>
      </c>
      <c r="L3">
        <v>198.77</v>
      </c>
      <c r="M3" t="s">
        <v>4904</v>
      </c>
      <c r="N3" t="s">
        <v>5967</v>
      </c>
      <c r="O3" t="s">
        <v>2447</v>
      </c>
      <c r="P3" t="s">
        <v>1897</v>
      </c>
      <c r="Q3" t="s">
        <v>5968</v>
      </c>
    </row>
    <row r="4" spans="1:18" x14ac:dyDescent="0.25">
      <c r="A4" t="s">
        <v>5969</v>
      </c>
      <c r="B4" t="s">
        <v>5970</v>
      </c>
      <c r="C4" t="s">
        <v>5971</v>
      </c>
      <c r="D4" t="s">
        <v>332</v>
      </c>
      <c r="E4">
        <v>21</v>
      </c>
      <c r="F4" t="s">
        <v>2432</v>
      </c>
      <c r="H4" t="s">
        <v>2898</v>
      </c>
      <c r="J4" t="s">
        <v>2475</v>
      </c>
      <c r="K4">
        <v>125.67</v>
      </c>
      <c r="L4">
        <v>1445.46</v>
      </c>
      <c r="M4" t="s">
        <v>3174</v>
      </c>
      <c r="N4" t="s">
        <v>5972</v>
      </c>
      <c r="O4" t="s">
        <v>2447</v>
      </c>
      <c r="P4" t="s">
        <v>1746</v>
      </c>
      <c r="Q4" t="s">
        <v>5963</v>
      </c>
    </row>
    <row r="5" spans="1:18" x14ac:dyDescent="0.25">
      <c r="A5" t="s">
        <v>5973</v>
      </c>
      <c r="B5" t="s">
        <v>5974</v>
      </c>
      <c r="C5" t="s">
        <v>5975</v>
      </c>
      <c r="D5" t="s">
        <v>945</v>
      </c>
      <c r="E5">
        <v>91</v>
      </c>
      <c r="F5" t="s">
        <v>2416</v>
      </c>
      <c r="H5" t="s">
        <v>2635</v>
      </c>
      <c r="J5" t="s">
        <v>5291</v>
      </c>
      <c r="K5">
        <v>497.36</v>
      </c>
      <c r="L5">
        <v>33103.870000000003</v>
      </c>
      <c r="M5" t="s">
        <v>3226</v>
      </c>
      <c r="N5" t="s">
        <v>5976</v>
      </c>
      <c r="O5" t="s">
        <v>5977</v>
      </c>
      <c r="P5" t="s">
        <v>5978</v>
      </c>
      <c r="Q5" t="s">
        <v>5963</v>
      </c>
      <c r="R5" t="s">
        <v>5979</v>
      </c>
    </row>
    <row r="6" spans="1:18" x14ac:dyDescent="0.25">
      <c r="A6" t="s">
        <v>5980</v>
      </c>
      <c r="B6" t="s">
        <v>5981</v>
      </c>
      <c r="C6" t="s">
        <v>5982</v>
      </c>
      <c r="D6" t="s">
        <v>875</v>
      </c>
      <c r="E6">
        <v>48</v>
      </c>
      <c r="F6" t="s">
        <v>2416</v>
      </c>
      <c r="H6" t="s">
        <v>3023</v>
      </c>
      <c r="J6" t="s">
        <v>5342</v>
      </c>
      <c r="K6">
        <v>340.67</v>
      </c>
      <c r="L6">
        <v>7868.08</v>
      </c>
      <c r="M6" t="s">
        <v>3192</v>
      </c>
      <c r="N6" t="s">
        <v>5983</v>
      </c>
      <c r="O6" t="s">
        <v>5984</v>
      </c>
      <c r="P6" t="s">
        <v>5977</v>
      </c>
      <c r="Q6" t="s">
        <v>5963</v>
      </c>
      <c r="R6" t="s">
        <v>5979</v>
      </c>
    </row>
    <row r="7" spans="1:18" x14ac:dyDescent="0.25">
      <c r="A7" t="s">
        <v>5985</v>
      </c>
      <c r="B7" t="s">
        <v>5981</v>
      </c>
      <c r="C7" t="s">
        <v>5981</v>
      </c>
      <c r="D7" t="s">
        <v>657</v>
      </c>
      <c r="E7">
        <v>71</v>
      </c>
      <c r="F7" t="s">
        <v>2425</v>
      </c>
      <c r="H7" t="s">
        <v>3169</v>
      </c>
      <c r="J7" t="s">
        <v>4005</v>
      </c>
      <c r="K7">
        <v>347.61</v>
      </c>
      <c r="L7">
        <v>33162.19</v>
      </c>
      <c r="M7" t="s">
        <v>3504</v>
      </c>
      <c r="N7" t="s">
        <v>5986</v>
      </c>
      <c r="O7" t="s">
        <v>1746</v>
      </c>
      <c r="P7" t="s">
        <v>1897</v>
      </c>
      <c r="Q7" t="s">
        <v>3434</v>
      </c>
    </row>
    <row r="8" spans="1:18" x14ac:dyDescent="0.25">
      <c r="A8" t="s">
        <v>5987</v>
      </c>
      <c r="B8" t="s">
        <v>5974</v>
      </c>
      <c r="C8" t="s">
        <v>5988</v>
      </c>
      <c r="D8" t="s">
        <v>611</v>
      </c>
      <c r="E8">
        <v>39</v>
      </c>
      <c r="F8" t="s">
        <v>2407</v>
      </c>
      <c r="H8" t="s">
        <v>2798</v>
      </c>
      <c r="J8" t="s">
        <v>5272</v>
      </c>
      <c r="K8">
        <v>286.04000000000002</v>
      </c>
      <c r="L8">
        <v>2030.3</v>
      </c>
      <c r="M8" t="s">
        <v>4043</v>
      </c>
      <c r="N8" t="s">
        <v>5989</v>
      </c>
      <c r="O8" t="s">
        <v>5978</v>
      </c>
      <c r="P8" t="s">
        <v>1648</v>
      </c>
      <c r="Q8" t="s">
        <v>5963</v>
      </c>
      <c r="R8" t="s">
        <v>4235</v>
      </c>
    </row>
    <row r="9" spans="1:18" x14ac:dyDescent="0.25">
      <c r="A9" t="s">
        <v>5990</v>
      </c>
      <c r="B9" t="s">
        <v>5974</v>
      </c>
      <c r="C9" t="s">
        <v>5971</v>
      </c>
      <c r="D9" t="s">
        <v>1101</v>
      </c>
      <c r="E9">
        <v>79</v>
      </c>
      <c r="F9" t="s">
        <v>2416</v>
      </c>
      <c r="H9" t="s">
        <v>3211</v>
      </c>
      <c r="J9" t="s">
        <v>5206</v>
      </c>
      <c r="K9">
        <v>439.93</v>
      </c>
      <c r="L9">
        <v>5076</v>
      </c>
      <c r="M9" t="s">
        <v>3617</v>
      </c>
      <c r="N9" t="s">
        <v>5991</v>
      </c>
      <c r="O9" t="s">
        <v>5978</v>
      </c>
      <c r="P9" t="s">
        <v>5984</v>
      </c>
      <c r="Q9" t="s">
        <v>5963</v>
      </c>
    </row>
    <row r="10" spans="1:18" x14ac:dyDescent="0.25">
      <c r="A10" t="s">
        <v>5992</v>
      </c>
      <c r="B10" t="s">
        <v>5981</v>
      </c>
      <c r="C10" t="s">
        <v>5993</v>
      </c>
      <c r="D10" t="s">
        <v>103</v>
      </c>
      <c r="E10">
        <v>77</v>
      </c>
      <c r="F10" t="s">
        <v>2416</v>
      </c>
      <c r="H10" t="s">
        <v>2978</v>
      </c>
      <c r="K10">
        <v>256.05</v>
      </c>
      <c r="L10">
        <v>13564.62</v>
      </c>
      <c r="M10" t="s">
        <v>4158</v>
      </c>
      <c r="N10" t="s">
        <v>5994</v>
      </c>
      <c r="O10" t="s">
        <v>2447</v>
      </c>
      <c r="P10" t="s">
        <v>1764</v>
      </c>
      <c r="Q10" t="s">
        <v>3434</v>
      </c>
    </row>
    <row r="11" spans="1:18" x14ac:dyDescent="0.25">
      <c r="A11" t="s">
        <v>5995</v>
      </c>
      <c r="B11" t="s">
        <v>5981</v>
      </c>
      <c r="C11" t="s">
        <v>5988</v>
      </c>
      <c r="D11" t="s">
        <v>739</v>
      </c>
      <c r="E11">
        <v>19</v>
      </c>
      <c r="F11" t="s">
        <v>2416</v>
      </c>
      <c r="H11" t="s">
        <v>3288</v>
      </c>
      <c r="K11">
        <v>239.77</v>
      </c>
      <c r="L11">
        <v>3814.96</v>
      </c>
      <c r="M11" t="s">
        <v>2550</v>
      </c>
      <c r="N11" t="s">
        <v>5996</v>
      </c>
      <c r="O11" t="s">
        <v>2447</v>
      </c>
      <c r="P11" t="s">
        <v>1746</v>
      </c>
      <c r="Q11" t="s">
        <v>5963</v>
      </c>
    </row>
    <row r="12" spans="1:18" x14ac:dyDescent="0.25">
      <c r="A12" t="s">
        <v>5997</v>
      </c>
      <c r="B12" t="s">
        <v>3442</v>
      </c>
      <c r="C12" t="s">
        <v>5993</v>
      </c>
      <c r="D12" t="s">
        <v>77</v>
      </c>
      <c r="E12">
        <v>85</v>
      </c>
      <c r="F12" t="s">
        <v>2388</v>
      </c>
      <c r="G12" t="s">
        <v>2416</v>
      </c>
      <c r="H12" t="s">
        <v>5998</v>
      </c>
      <c r="I12" t="s">
        <v>2868</v>
      </c>
      <c r="J12" t="s">
        <v>5280</v>
      </c>
      <c r="K12">
        <v>397.3</v>
      </c>
      <c r="L12">
        <v>30514.92</v>
      </c>
      <c r="M12" t="s">
        <v>2589</v>
      </c>
      <c r="N12" t="s">
        <v>5999</v>
      </c>
      <c r="O12" t="s">
        <v>1648</v>
      </c>
      <c r="P12" t="s">
        <v>1764</v>
      </c>
      <c r="Q12" t="s">
        <v>5968</v>
      </c>
    </row>
    <row r="13" spans="1:18" x14ac:dyDescent="0.25">
      <c r="A13" t="s">
        <v>6000</v>
      </c>
      <c r="B13" t="s">
        <v>5970</v>
      </c>
      <c r="C13" t="s">
        <v>5966</v>
      </c>
      <c r="D13" t="s">
        <v>186</v>
      </c>
      <c r="E13">
        <v>93</v>
      </c>
      <c r="F13" t="s">
        <v>2388</v>
      </c>
      <c r="H13" t="s">
        <v>2639</v>
      </c>
      <c r="K13">
        <v>173.65</v>
      </c>
      <c r="L13">
        <v>41015.019999999997</v>
      </c>
      <c r="M13" t="s">
        <v>3863</v>
      </c>
      <c r="N13" t="s">
        <v>6001</v>
      </c>
      <c r="O13" t="s">
        <v>1764</v>
      </c>
      <c r="P13" t="s">
        <v>5978</v>
      </c>
      <c r="Q13" t="s">
        <v>5963</v>
      </c>
      <c r="R13" t="s">
        <v>6002</v>
      </c>
    </row>
    <row r="14" spans="1:18" x14ac:dyDescent="0.25">
      <c r="A14" t="s">
        <v>6003</v>
      </c>
      <c r="B14" t="s">
        <v>5974</v>
      </c>
      <c r="C14" t="s">
        <v>5988</v>
      </c>
      <c r="D14" t="s">
        <v>975</v>
      </c>
      <c r="E14">
        <v>49</v>
      </c>
      <c r="F14" t="s">
        <v>2388</v>
      </c>
      <c r="H14" t="s">
        <v>2731</v>
      </c>
      <c r="J14" t="s">
        <v>3864</v>
      </c>
      <c r="K14">
        <v>299.3</v>
      </c>
      <c r="L14">
        <v>17375.580000000002</v>
      </c>
      <c r="M14" t="s">
        <v>3701</v>
      </c>
      <c r="N14" t="s">
        <v>6004</v>
      </c>
      <c r="O14" t="s">
        <v>5977</v>
      </c>
      <c r="P14" t="s">
        <v>5978</v>
      </c>
      <c r="Q14" t="s">
        <v>3434</v>
      </c>
    </row>
    <row r="15" spans="1:18" x14ac:dyDescent="0.25">
      <c r="A15" t="s">
        <v>6005</v>
      </c>
      <c r="B15" t="s">
        <v>5960</v>
      </c>
      <c r="C15" t="s">
        <v>5971</v>
      </c>
      <c r="D15" t="s">
        <v>885</v>
      </c>
      <c r="E15">
        <v>81</v>
      </c>
      <c r="F15" t="s">
        <v>2425</v>
      </c>
      <c r="G15" t="s">
        <v>2388</v>
      </c>
      <c r="H15" t="s">
        <v>2714</v>
      </c>
      <c r="I15" t="s">
        <v>6006</v>
      </c>
      <c r="J15" t="s">
        <v>3858</v>
      </c>
      <c r="K15">
        <v>359.89</v>
      </c>
      <c r="L15">
        <v>29511.7</v>
      </c>
      <c r="M15" t="s">
        <v>3386</v>
      </c>
      <c r="N15" t="s">
        <v>6007</v>
      </c>
      <c r="O15" t="s">
        <v>1746</v>
      </c>
      <c r="P15" t="s">
        <v>5977</v>
      </c>
      <c r="Q15" t="s">
        <v>3434</v>
      </c>
      <c r="R15" t="s">
        <v>5979</v>
      </c>
    </row>
    <row r="16" spans="1:18" x14ac:dyDescent="0.25">
      <c r="A16" t="s">
        <v>6008</v>
      </c>
      <c r="B16" t="s">
        <v>5970</v>
      </c>
      <c r="C16" t="s">
        <v>5981</v>
      </c>
      <c r="D16" t="s">
        <v>420</v>
      </c>
      <c r="E16">
        <v>57</v>
      </c>
      <c r="F16" t="s">
        <v>2388</v>
      </c>
      <c r="H16" t="s">
        <v>3336</v>
      </c>
      <c r="J16" t="s">
        <v>4962</v>
      </c>
      <c r="K16">
        <v>483.5</v>
      </c>
      <c r="L16">
        <v>21295.99</v>
      </c>
      <c r="M16" t="s">
        <v>3301</v>
      </c>
      <c r="N16" t="s">
        <v>6009</v>
      </c>
      <c r="O16" t="s">
        <v>1897</v>
      </c>
      <c r="P16" t="s">
        <v>5978</v>
      </c>
      <c r="Q16" t="s">
        <v>5963</v>
      </c>
    </row>
    <row r="17" spans="1:18" x14ac:dyDescent="0.25">
      <c r="A17" t="s">
        <v>6010</v>
      </c>
      <c r="B17" t="s">
        <v>5960</v>
      </c>
      <c r="C17" t="s">
        <v>6011</v>
      </c>
      <c r="D17" t="s">
        <v>651</v>
      </c>
      <c r="E17">
        <v>4</v>
      </c>
      <c r="F17" t="s">
        <v>2449</v>
      </c>
      <c r="G17" t="s">
        <v>2388</v>
      </c>
      <c r="H17" t="s">
        <v>6012</v>
      </c>
      <c r="I17" t="s">
        <v>2798</v>
      </c>
      <c r="J17" t="s">
        <v>2481</v>
      </c>
      <c r="K17">
        <v>306.95999999999998</v>
      </c>
      <c r="L17">
        <v>350.91</v>
      </c>
      <c r="M17" t="s">
        <v>4271</v>
      </c>
      <c r="N17" t="s">
        <v>6013</v>
      </c>
      <c r="O17" t="s">
        <v>1648</v>
      </c>
      <c r="P17" t="s">
        <v>5984</v>
      </c>
      <c r="Q17" t="s">
        <v>5963</v>
      </c>
      <c r="R17" t="s">
        <v>5979</v>
      </c>
    </row>
    <row r="18" spans="1:18" x14ac:dyDescent="0.25">
      <c r="A18" t="s">
        <v>6014</v>
      </c>
      <c r="B18" t="s">
        <v>5981</v>
      </c>
      <c r="C18" t="s">
        <v>5988</v>
      </c>
      <c r="D18" t="s">
        <v>744</v>
      </c>
      <c r="E18">
        <v>8</v>
      </c>
      <c r="F18" t="s">
        <v>2376</v>
      </c>
      <c r="H18" t="s">
        <v>2586</v>
      </c>
      <c r="J18" t="s">
        <v>4073</v>
      </c>
      <c r="K18">
        <v>461.47</v>
      </c>
      <c r="L18">
        <v>2934.04</v>
      </c>
      <c r="M18" t="s">
        <v>4465</v>
      </c>
      <c r="N18" t="s">
        <v>6015</v>
      </c>
      <c r="O18" t="s">
        <v>5977</v>
      </c>
      <c r="P18" t="s">
        <v>1746</v>
      </c>
      <c r="Q18" t="s">
        <v>5963</v>
      </c>
    </row>
    <row r="19" spans="1:18" x14ac:dyDescent="0.25">
      <c r="A19" t="s">
        <v>6016</v>
      </c>
      <c r="B19" t="s">
        <v>5960</v>
      </c>
      <c r="C19" t="s">
        <v>5993</v>
      </c>
      <c r="D19" t="s">
        <v>395</v>
      </c>
      <c r="E19">
        <v>100</v>
      </c>
      <c r="F19" t="s">
        <v>2449</v>
      </c>
      <c r="G19" t="s">
        <v>2376</v>
      </c>
      <c r="H19" t="s">
        <v>2620</v>
      </c>
      <c r="I19" t="s">
        <v>3121</v>
      </c>
      <c r="J19" t="s">
        <v>4123</v>
      </c>
      <c r="K19">
        <v>75.73</v>
      </c>
      <c r="L19">
        <v>21618.38</v>
      </c>
      <c r="M19" t="s">
        <v>4139</v>
      </c>
      <c r="N19" t="s">
        <v>6017</v>
      </c>
      <c r="O19" t="s">
        <v>5984</v>
      </c>
      <c r="P19" t="s">
        <v>2447</v>
      </c>
      <c r="Q19" t="s">
        <v>5963</v>
      </c>
      <c r="R19" t="s">
        <v>6002</v>
      </c>
    </row>
    <row r="20" spans="1:18" x14ac:dyDescent="0.25">
      <c r="A20" t="s">
        <v>6018</v>
      </c>
      <c r="B20" t="s">
        <v>5970</v>
      </c>
      <c r="C20" t="s">
        <v>5971</v>
      </c>
      <c r="D20" t="s">
        <v>1036</v>
      </c>
      <c r="E20">
        <v>31</v>
      </c>
      <c r="F20" t="s">
        <v>2416</v>
      </c>
      <c r="H20" t="s">
        <v>2661</v>
      </c>
      <c r="J20" t="s">
        <v>2525</v>
      </c>
      <c r="K20">
        <v>220.37</v>
      </c>
      <c r="L20">
        <v>4128.03</v>
      </c>
      <c r="M20" t="s">
        <v>2728</v>
      </c>
      <c r="N20" t="s">
        <v>6019</v>
      </c>
      <c r="O20" t="s">
        <v>5984</v>
      </c>
      <c r="P20" t="s">
        <v>5978</v>
      </c>
      <c r="Q20" t="s">
        <v>5968</v>
      </c>
    </row>
    <row r="21" spans="1:18" x14ac:dyDescent="0.25">
      <c r="A21" t="s">
        <v>6020</v>
      </c>
      <c r="B21" t="s">
        <v>5981</v>
      </c>
      <c r="C21" t="s">
        <v>5971</v>
      </c>
      <c r="D21" t="s">
        <v>473</v>
      </c>
      <c r="E21">
        <v>81</v>
      </c>
      <c r="F21" t="s">
        <v>2388</v>
      </c>
      <c r="H21" t="s">
        <v>2719</v>
      </c>
      <c r="J21" t="s">
        <v>5219</v>
      </c>
      <c r="K21">
        <v>151.26</v>
      </c>
      <c r="L21">
        <v>33047.629999999997</v>
      </c>
      <c r="M21" t="s">
        <v>3012</v>
      </c>
      <c r="N21" t="s">
        <v>6021</v>
      </c>
      <c r="O21" t="s">
        <v>1746</v>
      </c>
      <c r="P21" t="s">
        <v>1764</v>
      </c>
      <c r="Q21" t="s">
        <v>3434</v>
      </c>
    </row>
    <row r="22" spans="1:18" x14ac:dyDescent="0.25">
      <c r="A22" t="s">
        <v>6022</v>
      </c>
      <c r="B22" t="s">
        <v>5981</v>
      </c>
      <c r="C22" t="s">
        <v>5961</v>
      </c>
      <c r="D22" t="s">
        <v>935</v>
      </c>
      <c r="E22">
        <v>14</v>
      </c>
      <c r="F22" t="s">
        <v>2432</v>
      </c>
      <c r="H22" t="s">
        <v>6023</v>
      </c>
      <c r="J22" t="s">
        <v>3581</v>
      </c>
      <c r="K22">
        <v>225.42</v>
      </c>
      <c r="L22">
        <v>5628.23</v>
      </c>
      <c r="M22" t="s">
        <v>4137</v>
      </c>
      <c r="N22" t="s">
        <v>6024</v>
      </c>
      <c r="O22" t="s">
        <v>1764</v>
      </c>
      <c r="P22" t="s">
        <v>1648</v>
      </c>
      <c r="Q22" t="s">
        <v>5963</v>
      </c>
      <c r="R22" t="s">
        <v>6002</v>
      </c>
    </row>
    <row r="23" spans="1:18" x14ac:dyDescent="0.25">
      <c r="A23" t="s">
        <v>6025</v>
      </c>
      <c r="B23" t="s">
        <v>6026</v>
      </c>
      <c r="C23" t="s">
        <v>5966</v>
      </c>
      <c r="D23" t="s">
        <v>657</v>
      </c>
      <c r="E23">
        <v>19</v>
      </c>
      <c r="F23" t="s">
        <v>2376</v>
      </c>
      <c r="H23" t="s">
        <v>3077</v>
      </c>
      <c r="K23">
        <v>317.17</v>
      </c>
      <c r="L23">
        <v>3054.89</v>
      </c>
      <c r="M23" t="s">
        <v>3551</v>
      </c>
      <c r="N23" t="s">
        <v>6027</v>
      </c>
      <c r="O23" t="s">
        <v>5984</v>
      </c>
      <c r="P23" t="s">
        <v>1764</v>
      </c>
      <c r="Q23" t="s">
        <v>5963</v>
      </c>
      <c r="R23" t="s">
        <v>4235</v>
      </c>
    </row>
    <row r="24" spans="1:18" x14ac:dyDescent="0.25">
      <c r="A24" t="s">
        <v>6028</v>
      </c>
      <c r="B24" t="s">
        <v>5974</v>
      </c>
      <c r="C24" t="s">
        <v>5966</v>
      </c>
      <c r="D24" t="s">
        <v>667</v>
      </c>
      <c r="E24">
        <v>100</v>
      </c>
      <c r="F24" t="s">
        <v>2376</v>
      </c>
      <c r="H24" t="s">
        <v>2685</v>
      </c>
      <c r="J24" t="s">
        <v>2558</v>
      </c>
      <c r="K24">
        <v>269.3</v>
      </c>
      <c r="L24">
        <v>24893.19</v>
      </c>
      <c r="M24" t="s">
        <v>3886</v>
      </c>
      <c r="N24" t="s">
        <v>6029</v>
      </c>
      <c r="O24" t="s">
        <v>5977</v>
      </c>
      <c r="P24" t="s">
        <v>5984</v>
      </c>
      <c r="Q24" t="s">
        <v>5963</v>
      </c>
    </row>
    <row r="25" spans="1:18" x14ac:dyDescent="0.25">
      <c r="A25" t="s">
        <v>6030</v>
      </c>
      <c r="B25" t="s">
        <v>3442</v>
      </c>
      <c r="C25" t="s">
        <v>5961</v>
      </c>
      <c r="D25" t="s">
        <v>458</v>
      </c>
      <c r="E25">
        <v>41</v>
      </c>
      <c r="F25" t="s">
        <v>2398</v>
      </c>
      <c r="G25" t="s">
        <v>2376</v>
      </c>
      <c r="H25" t="s">
        <v>2670</v>
      </c>
      <c r="I25" t="s">
        <v>6031</v>
      </c>
      <c r="K25">
        <v>449.17</v>
      </c>
      <c r="L25">
        <v>15791.12</v>
      </c>
      <c r="M25" t="s">
        <v>2905</v>
      </c>
      <c r="N25" t="s">
        <v>6032</v>
      </c>
      <c r="O25" t="s">
        <v>2447</v>
      </c>
      <c r="P25" t="s">
        <v>1746</v>
      </c>
      <c r="Q25" t="s">
        <v>5968</v>
      </c>
    </row>
    <row r="26" spans="1:18" x14ac:dyDescent="0.25">
      <c r="A26" t="s">
        <v>6033</v>
      </c>
      <c r="B26" t="s">
        <v>5965</v>
      </c>
      <c r="C26" t="s">
        <v>5981</v>
      </c>
      <c r="D26" t="s">
        <v>621</v>
      </c>
      <c r="E26">
        <v>58</v>
      </c>
      <c r="F26" t="s">
        <v>2376</v>
      </c>
      <c r="H26" t="s">
        <v>3401</v>
      </c>
      <c r="J26" t="s">
        <v>3771</v>
      </c>
      <c r="K26">
        <v>172.91</v>
      </c>
      <c r="L26">
        <v>20774.43</v>
      </c>
      <c r="M26" t="s">
        <v>3473</v>
      </c>
      <c r="N26" t="s">
        <v>6034</v>
      </c>
      <c r="O26" t="s">
        <v>5978</v>
      </c>
      <c r="P26" t="s">
        <v>5977</v>
      </c>
      <c r="Q26" t="s">
        <v>5968</v>
      </c>
      <c r="R26" t="s">
        <v>4235</v>
      </c>
    </row>
    <row r="27" spans="1:18" x14ac:dyDescent="0.25">
      <c r="A27" t="s">
        <v>6035</v>
      </c>
      <c r="B27" t="s">
        <v>5981</v>
      </c>
      <c r="C27" t="s">
        <v>5993</v>
      </c>
      <c r="D27" t="s">
        <v>284</v>
      </c>
      <c r="E27">
        <v>31</v>
      </c>
      <c r="F27" t="s">
        <v>2449</v>
      </c>
      <c r="H27" t="s">
        <v>2644</v>
      </c>
      <c r="J27" t="s">
        <v>3534</v>
      </c>
      <c r="K27">
        <v>250.88</v>
      </c>
      <c r="L27">
        <v>2549.81</v>
      </c>
      <c r="M27" t="s">
        <v>3813</v>
      </c>
      <c r="N27" t="s">
        <v>6036</v>
      </c>
      <c r="O27" t="s">
        <v>1648</v>
      </c>
      <c r="P27" t="s">
        <v>5978</v>
      </c>
      <c r="Q27" t="s">
        <v>3434</v>
      </c>
    </row>
    <row r="28" spans="1:18" x14ac:dyDescent="0.25">
      <c r="A28" t="s">
        <v>6037</v>
      </c>
      <c r="B28" t="s">
        <v>6026</v>
      </c>
      <c r="C28" t="s">
        <v>5975</v>
      </c>
      <c r="D28" t="s">
        <v>809</v>
      </c>
      <c r="E28">
        <v>40</v>
      </c>
      <c r="F28" t="s">
        <v>2376</v>
      </c>
      <c r="H28" t="s">
        <v>3140</v>
      </c>
      <c r="J28" t="s">
        <v>4029</v>
      </c>
      <c r="K28">
        <v>212.75</v>
      </c>
      <c r="L28">
        <v>6248.83</v>
      </c>
      <c r="M28" t="s">
        <v>3399</v>
      </c>
      <c r="N28" t="s">
        <v>6038</v>
      </c>
      <c r="O28" t="s">
        <v>1648</v>
      </c>
      <c r="P28" t="s">
        <v>5977</v>
      </c>
      <c r="Q28" t="s">
        <v>3434</v>
      </c>
      <c r="R28" t="s">
        <v>6002</v>
      </c>
    </row>
    <row r="29" spans="1:18" x14ac:dyDescent="0.25">
      <c r="A29" t="s">
        <v>6039</v>
      </c>
      <c r="B29" t="s">
        <v>6026</v>
      </c>
      <c r="C29" t="s">
        <v>5981</v>
      </c>
      <c r="D29" t="s">
        <v>1041</v>
      </c>
      <c r="E29">
        <v>100</v>
      </c>
      <c r="F29" t="s">
        <v>2407</v>
      </c>
      <c r="H29" t="s">
        <v>6040</v>
      </c>
      <c r="K29">
        <v>341.83</v>
      </c>
      <c r="L29">
        <v>36563.620000000003</v>
      </c>
      <c r="M29" t="s">
        <v>3596</v>
      </c>
      <c r="N29" t="s">
        <v>6041</v>
      </c>
      <c r="O29" t="s">
        <v>2447</v>
      </c>
      <c r="P29" t="s">
        <v>1764</v>
      </c>
      <c r="Q29" t="s">
        <v>5968</v>
      </c>
      <c r="R29" t="s">
        <v>6002</v>
      </c>
    </row>
    <row r="30" spans="1:18" x14ac:dyDescent="0.25">
      <c r="A30" t="s">
        <v>6042</v>
      </c>
      <c r="B30" t="s">
        <v>5981</v>
      </c>
      <c r="C30" t="s">
        <v>5981</v>
      </c>
      <c r="D30" t="s">
        <v>500</v>
      </c>
      <c r="E30">
        <v>83</v>
      </c>
      <c r="F30" t="s">
        <v>2440</v>
      </c>
      <c r="H30" t="s">
        <v>3101</v>
      </c>
      <c r="J30" t="s">
        <v>3494</v>
      </c>
      <c r="K30">
        <v>86.36</v>
      </c>
      <c r="L30">
        <v>30248.29</v>
      </c>
      <c r="M30" t="s">
        <v>3389</v>
      </c>
      <c r="N30" t="s">
        <v>6043</v>
      </c>
      <c r="O30" t="s">
        <v>1764</v>
      </c>
      <c r="P30" t="s">
        <v>2447</v>
      </c>
      <c r="Q30" t="s">
        <v>3434</v>
      </c>
    </row>
    <row r="31" spans="1:18" x14ac:dyDescent="0.25">
      <c r="A31" t="s">
        <v>6044</v>
      </c>
      <c r="B31" t="s">
        <v>5974</v>
      </c>
      <c r="C31" t="s">
        <v>5988</v>
      </c>
      <c r="D31" t="s">
        <v>410</v>
      </c>
      <c r="E31">
        <v>35</v>
      </c>
      <c r="F31" t="s">
        <v>2376</v>
      </c>
      <c r="H31" t="s">
        <v>2625</v>
      </c>
      <c r="K31">
        <v>288.08999999999997</v>
      </c>
      <c r="L31">
        <v>3024.6</v>
      </c>
      <c r="M31" t="s">
        <v>3617</v>
      </c>
      <c r="N31" t="s">
        <v>6045</v>
      </c>
      <c r="O31" t="s">
        <v>5977</v>
      </c>
      <c r="P31" t="s">
        <v>5978</v>
      </c>
      <c r="Q31" t="s">
        <v>5963</v>
      </c>
    </row>
    <row r="32" spans="1:18" x14ac:dyDescent="0.25">
      <c r="A32" t="s">
        <v>6046</v>
      </c>
      <c r="B32" t="s">
        <v>3442</v>
      </c>
      <c r="C32" t="s">
        <v>5982</v>
      </c>
      <c r="D32" t="s">
        <v>576</v>
      </c>
      <c r="E32">
        <v>54</v>
      </c>
      <c r="F32" t="s">
        <v>2398</v>
      </c>
      <c r="G32" t="s">
        <v>2456</v>
      </c>
      <c r="H32" t="s">
        <v>2705</v>
      </c>
      <c r="I32" t="s">
        <v>3126</v>
      </c>
      <c r="J32" t="s">
        <v>2501</v>
      </c>
      <c r="K32">
        <v>242.5</v>
      </c>
      <c r="L32">
        <v>4601.41</v>
      </c>
      <c r="M32" t="s">
        <v>3758</v>
      </c>
      <c r="N32" t="s">
        <v>6047</v>
      </c>
      <c r="O32" t="s">
        <v>5977</v>
      </c>
      <c r="P32" t="s">
        <v>1897</v>
      </c>
      <c r="Q32" t="s">
        <v>5963</v>
      </c>
      <c r="R32" t="s">
        <v>5979</v>
      </c>
    </row>
    <row r="33" spans="1:18" x14ac:dyDescent="0.25">
      <c r="A33" t="s">
        <v>6048</v>
      </c>
      <c r="B33" t="s">
        <v>5970</v>
      </c>
      <c r="C33" t="s">
        <v>5966</v>
      </c>
      <c r="D33" t="s">
        <v>860</v>
      </c>
      <c r="E33">
        <v>46</v>
      </c>
      <c r="F33" t="s">
        <v>2398</v>
      </c>
      <c r="H33" t="s">
        <v>2955</v>
      </c>
      <c r="J33" t="s">
        <v>4211</v>
      </c>
      <c r="K33">
        <v>472.98</v>
      </c>
      <c r="L33">
        <v>10005.68</v>
      </c>
      <c r="M33" t="s">
        <v>2632</v>
      </c>
      <c r="N33" t="s">
        <v>6049</v>
      </c>
      <c r="O33" t="s">
        <v>5977</v>
      </c>
      <c r="P33" t="s">
        <v>1648</v>
      </c>
      <c r="Q33" t="s">
        <v>5968</v>
      </c>
      <c r="R33" t="s">
        <v>6002</v>
      </c>
    </row>
    <row r="34" spans="1:18" x14ac:dyDescent="0.25">
      <c r="A34" t="s">
        <v>6050</v>
      </c>
      <c r="B34" t="s">
        <v>5974</v>
      </c>
      <c r="C34" t="s">
        <v>5975</v>
      </c>
      <c r="D34" t="s">
        <v>1071</v>
      </c>
      <c r="E34">
        <v>37</v>
      </c>
      <c r="F34" t="s">
        <v>2398</v>
      </c>
      <c r="H34" t="s">
        <v>2719</v>
      </c>
      <c r="J34" t="s">
        <v>5099</v>
      </c>
      <c r="K34">
        <v>183.7</v>
      </c>
      <c r="L34">
        <v>8359.86</v>
      </c>
      <c r="M34" t="s">
        <v>2722</v>
      </c>
      <c r="N34" t="s">
        <v>6051</v>
      </c>
      <c r="O34" t="s">
        <v>1897</v>
      </c>
      <c r="P34" t="s">
        <v>1648</v>
      </c>
      <c r="Q34" t="s">
        <v>5963</v>
      </c>
    </row>
    <row r="35" spans="1:18" x14ac:dyDescent="0.25">
      <c r="A35" t="s">
        <v>6052</v>
      </c>
      <c r="B35" t="s">
        <v>3442</v>
      </c>
      <c r="C35" t="s">
        <v>5982</v>
      </c>
      <c r="D35" t="s">
        <v>985</v>
      </c>
      <c r="E35">
        <v>15</v>
      </c>
      <c r="F35" t="s">
        <v>2432</v>
      </c>
      <c r="G35" t="s">
        <v>2388</v>
      </c>
      <c r="H35" t="s">
        <v>2617</v>
      </c>
      <c r="I35" t="s">
        <v>2837</v>
      </c>
      <c r="J35" t="s">
        <v>3667</v>
      </c>
      <c r="K35">
        <v>100.71</v>
      </c>
      <c r="L35">
        <v>3428.28</v>
      </c>
      <c r="M35" t="s">
        <v>3058</v>
      </c>
      <c r="N35" t="s">
        <v>6053</v>
      </c>
      <c r="O35" t="s">
        <v>1648</v>
      </c>
      <c r="P35" t="s">
        <v>1897</v>
      </c>
      <c r="Q35" t="s">
        <v>5963</v>
      </c>
      <c r="R35" t="s">
        <v>5979</v>
      </c>
    </row>
    <row r="36" spans="1:18" x14ac:dyDescent="0.25">
      <c r="A36" t="s">
        <v>6054</v>
      </c>
      <c r="B36" t="s">
        <v>6026</v>
      </c>
      <c r="C36" t="s">
        <v>5981</v>
      </c>
      <c r="D36" t="s">
        <v>426</v>
      </c>
      <c r="E36">
        <v>50</v>
      </c>
      <c r="F36" t="s">
        <v>2449</v>
      </c>
      <c r="H36" t="s">
        <v>2939</v>
      </c>
      <c r="J36" t="s">
        <v>4011</v>
      </c>
      <c r="K36">
        <v>219.83</v>
      </c>
      <c r="L36">
        <v>15071.49</v>
      </c>
      <c r="M36" t="s">
        <v>3018</v>
      </c>
      <c r="N36" t="s">
        <v>6055</v>
      </c>
      <c r="O36" t="s">
        <v>5978</v>
      </c>
      <c r="P36" t="s">
        <v>1648</v>
      </c>
      <c r="Q36" t="s">
        <v>3434</v>
      </c>
      <c r="R36" t="s">
        <v>4235</v>
      </c>
    </row>
    <row r="37" spans="1:18" x14ac:dyDescent="0.25">
      <c r="A37" t="s">
        <v>6056</v>
      </c>
      <c r="B37" t="s">
        <v>5965</v>
      </c>
      <c r="C37" t="s">
        <v>5971</v>
      </c>
      <c r="D37" t="s">
        <v>935</v>
      </c>
      <c r="E37">
        <v>30</v>
      </c>
      <c r="F37" t="s">
        <v>2388</v>
      </c>
      <c r="H37" t="s">
        <v>3267</v>
      </c>
      <c r="K37">
        <v>347.59</v>
      </c>
      <c r="L37">
        <v>3763.51</v>
      </c>
      <c r="M37" t="s">
        <v>3719</v>
      </c>
      <c r="N37" t="s">
        <v>6057</v>
      </c>
      <c r="O37" t="s">
        <v>1648</v>
      </c>
      <c r="P37" t="s">
        <v>5978</v>
      </c>
      <c r="Q37" t="s">
        <v>5963</v>
      </c>
    </row>
    <row r="38" spans="1:18" x14ac:dyDescent="0.25">
      <c r="A38" t="s">
        <v>6058</v>
      </c>
      <c r="B38" t="s">
        <v>3442</v>
      </c>
      <c r="C38" t="s">
        <v>5975</v>
      </c>
      <c r="D38" t="s">
        <v>131</v>
      </c>
      <c r="E38">
        <v>49</v>
      </c>
      <c r="F38" t="s">
        <v>2456</v>
      </c>
      <c r="G38" t="s">
        <v>2388</v>
      </c>
      <c r="H38" t="s">
        <v>2963</v>
      </c>
      <c r="I38" t="s">
        <v>3067</v>
      </c>
      <c r="J38" t="s">
        <v>5389</v>
      </c>
      <c r="K38">
        <v>265.92</v>
      </c>
      <c r="L38">
        <v>13885</v>
      </c>
      <c r="M38" t="s">
        <v>3672</v>
      </c>
      <c r="N38" t="s">
        <v>6059</v>
      </c>
      <c r="O38" t="s">
        <v>5977</v>
      </c>
      <c r="P38" t="s">
        <v>1764</v>
      </c>
      <c r="Q38" t="s">
        <v>5968</v>
      </c>
      <c r="R38" t="s">
        <v>5979</v>
      </c>
    </row>
    <row r="39" spans="1:18" x14ac:dyDescent="0.25">
      <c r="A39" t="s">
        <v>6060</v>
      </c>
      <c r="B39" t="s">
        <v>5981</v>
      </c>
      <c r="C39" t="s">
        <v>5982</v>
      </c>
      <c r="D39" t="s">
        <v>139</v>
      </c>
      <c r="E39">
        <v>62</v>
      </c>
      <c r="F39" t="s">
        <v>2449</v>
      </c>
      <c r="H39" t="s">
        <v>3179</v>
      </c>
      <c r="J39" t="s">
        <v>2548</v>
      </c>
      <c r="K39">
        <v>330.93</v>
      </c>
      <c r="L39">
        <v>4686.96</v>
      </c>
      <c r="M39" t="s">
        <v>5302</v>
      </c>
      <c r="N39" t="s">
        <v>6061</v>
      </c>
      <c r="O39" t="s">
        <v>1746</v>
      </c>
      <c r="P39" t="s">
        <v>5977</v>
      </c>
      <c r="Q39" t="s">
        <v>3434</v>
      </c>
    </row>
    <row r="40" spans="1:18" x14ac:dyDescent="0.25">
      <c r="A40" t="s">
        <v>6062</v>
      </c>
      <c r="B40" t="s">
        <v>6026</v>
      </c>
      <c r="C40" t="s">
        <v>5988</v>
      </c>
      <c r="D40" t="s">
        <v>463</v>
      </c>
      <c r="E40">
        <v>70</v>
      </c>
      <c r="F40" t="s">
        <v>2432</v>
      </c>
      <c r="H40" t="s">
        <v>3257</v>
      </c>
      <c r="K40">
        <v>497.71</v>
      </c>
      <c r="L40">
        <v>31578.65</v>
      </c>
      <c r="M40" t="s">
        <v>5240</v>
      </c>
      <c r="N40" t="s">
        <v>6063</v>
      </c>
      <c r="O40" t="s">
        <v>1764</v>
      </c>
      <c r="P40" t="s">
        <v>1648</v>
      </c>
      <c r="Q40" t="s">
        <v>5963</v>
      </c>
      <c r="R40" t="s">
        <v>5979</v>
      </c>
    </row>
    <row r="41" spans="1:18" x14ac:dyDescent="0.25">
      <c r="A41" t="s">
        <v>6064</v>
      </c>
      <c r="B41" t="s">
        <v>5960</v>
      </c>
      <c r="C41" t="s">
        <v>5971</v>
      </c>
      <c r="D41" t="s">
        <v>415</v>
      </c>
      <c r="E41">
        <v>13</v>
      </c>
      <c r="F41" t="s">
        <v>2388</v>
      </c>
      <c r="G41" t="s">
        <v>2398</v>
      </c>
      <c r="H41" t="s">
        <v>2635</v>
      </c>
      <c r="I41" t="s">
        <v>2935</v>
      </c>
      <c r="J41" t="s">
        <v>2568</v>
      </c>
      <c r="K41">
        <v>96.51</v>
      </c>
      <c r="L41">
        <v>4140.6000000000004</v>
      </c>
      <c r="M41" t="s">
        <v>3192</v>
      </c>
      <c r="N41" t="s">
        <v>6065</v>
      </c>
      <c r="O41" t="s">
        <v>1764</v>
      </c>
      <c r="P41" t="s">
        <v>5977</v>
      </c>
      <c r="Q41" t="s">
        <v>5963</v>
      </c>
      <c r="R41" t="s">
        <v>6002</v>
      </c>
    </row>
    <row r="42" spans="1:18" x14ac:dyDescent="0.25">
      <c r="A42" t="s">
        <v>6066</v>
      </c>
      <c r="B42" t="s">
        <v>5960</v>
      </c>
      <c r="C42" t="s">
        <v>5961</v>
      </c>
      <c r="D42" t="s">
        <v>373</v>
      </c>
      <c r="E42">
        <v>68</v>
      </c>
      <c r="F42" t="s">
        <v>2432</v>
      </c>
      <c r="G42" t="s">
        <v>2449</v>
      </c>
      <c r="H42" t="s">
        <v>3101</v>
      </c>
      <c r="I42" t="s">
        <v>6067</v>
      </c>
      <c r="K42">
        <v>241.71</v>
      </c>
      <c r="L42">
        <v>18508.8</v>
      </c>
      <c r="M42" t="s">
        <v>4124</v>
      </c>
      <c r="N42" t="s">
        <v>6068</v>
      </c>
      <c r="O42" t="s">
        <v>1746</v>
      </c>
      <c r="P42" t="s">
        <v>5977</v>
      </c>
      <c r="Q42" t="s">
        <v>3434</v>
      </c>
    </row>
    <row r="43" spans="1:18" x14ac:dyDescent="0.25">
      <c r="A43" t="s">
        <v>6069</v>
      </c>
      <c r="B43" t="s">
        <v>5960</v>
      </c>
      <c r="C43" t="s">
        <v>5966</v>
      </c>
      <c r="D43" t="s">
        <v>995</v>
      </c>
      <c r="E43">
        <v>25</v>
      </c>
      <c r="F43" t="s">
        <v>2407</v>
      </c>
      <c r="G43" t="s">
        <v>2388</v>
      </c>
      <c r="H43" t="s">
        <v>2982</v>
      </c>
      <c r="I43" t="s">
        <v>2970</v>
      </c>
      <c r="K43">
        <v>189.71</v>
      </c>
      <c r="L43">
        <v>8023.08</v>
      </c>
      <c r="M43" t="s">
        <v>3965</v>
      </c>
      <c r="N43" t="s">
        <v>6070</v>
      </c>
      <c r="O43" t="s">
        <v>1746</v>
      </c>
      <c r="P43" t="s">
        <v>5984</v>
      </c>
      <c r="Q43" t="s">
        <v>5963</v>
      </c>
    </row>
    <row r="44" spans="1:18" x14ac:dyDescent="0.25">
      <c r="A44" t="s">
        <v>6071</v>
      </c>
      <c r="B44" t="s">
        <v>5965</v>
      </c>
      <c r="C44" t="s">
        <v>5971</v>
      </c>
      <c r="D44" t="s">
        <v>1106</v>
      </c>
      <c r="E44">
        <v>43</v>
      </c>
      <c r="F44" t="s">
        <v>2425</v>
      </c>
      <c r="H44" t="s">
        <v>3359</v>
      </c>
      <c r="K44">
        <v>118.92</v>
      </c>
      <c r="L44">
        <v>18609.330000000002</v>
      </c>
      <c r="M44" t="s">
        <v>3493</v>
      </c>
      <c r="N44" t="s">
        <v>6072</v>
      </c>
      <c r="O44" t="s">
        <v>1746</v>
      </c>
      <c r="P44" t="s">
        <v>1746</v>
      </c>
      <c r="Q44" t="s">
        <v>5963</v>
      </c>
    </row>
    <row r="45" spans="1:18" x14ac:dyDescent="0.25">
      <c r="A45" t="s">
        <v>6073</v>
      </c>
      <c r="B45" t="s">
        <v>6026</v>
      </c>
      <c r="C45" t="s">
        <v>5975</v>
      </c>
      <c r="D45" t="s">
        <v>672</v>
      </c>
      <c r="E45">
        <v>35</v>
      </c>
      <c r="F45" t="s">
        <v>2425</v>
      </c>
      <c r="H45" t="s">
        <v>6074</v>
      </c>
      <c r="K45">
        <v>418.51</v>
      </c>
      <c r="L45">
        <v>17365.46</v>
      </c>
      <c r="M45" t="s">
        <v>2989</v>
      </c>
      <c r="N45" t="s">
        <v>6075</v>
      </c>
      <c r="O45" t="s">
        <v>2447</v>
      </c>
      <c r="P45" t="s">
        <v>5977</v>
      </c>
      <c r="Q45" t="s">
        <v>5968</v>
      </c>
      <c r="R45" t="s">
        <v>5979</v>
      </c>
    </row>
    <row r="46" spans="1:18" x14ac:dyDescent="0.25">
      <c r="A46" t="s">
        <v>6076</v>
      </c>
      <c r="B46" t="s">
        <v>5970</v>
      </c>
      <c r="C46" t="s">
        <v>5988</v>
      </c>
      <c r="D46" t="s">
        <v>844</v>
      </c>
      <c r="E46">
        <v>77</v>
      </c>
      <c r="F46" t="s">
        <v>2416</v>
      </c>
      <c r="H46" t="s">
        <v>6067</v>
      </c>
      <c r="J46" t="s">
        <v>5934</v>
      </c>
      <c r="K46">
        <v>193.25</v>
      </c>
      <c r="L46">
        <v>7100.73</v>
      </c>
      <c r="M46" t="s">
        <v>4206</v>
      </c>
      <c r="N46" t="s">
        <v>6077</v>
      </c>
      <c r="O46" t="s">
        <v>2447</v>
      </c>
      <c r="P46" t="s">
        <v>1648</v>
      </c>
      <c r="Q46" t="s">
        <v>5963</v>
      </c>
      <c r="R46" t="s">
        <v>5979</v>
      </c>
    </row>
    <row r="47" spans="1:18" x14ac:dyDescent="0.25">
      <c r="A47" t="s">
        <v>6078</v>
      </c>
      <c r="B47" t="s">
        <v>5965</v>
      </c>
      <c r="C47" t="s">
        <v>5988</v>
      </c>
      <c r="D47" t="s">
        <v>621</v>
      </c>
      <c r="E47">
        <v>67</v>
      </c>
      <c r="F47" t="s">
        <v>2456</v>
      </c>
      <c r="H47" t="s">
        <v>3200</v>
      </c>
      <c r="J47" t="s">
        <v>5772</v>
      </c>
      <c r="K47">
        <v>213.06</v>
      </c>
      <c r="L47">
        <v>27116.04</v>
      </c>
      <c r="M47" t="s">
        <v>4109</v>
      </c>
      <c r="N47" t="s">
        <v>6079</v>
      </c>
      <c r="O47" t="s">
        <v>5978</v>
      </c>
      <c r="P47" t="s">
        <v>2447</v>
      </c>
      <c r="Q47" t="s">
        <v>5968</v>
      </c>
      <c r="R47" t="s">
        <v>4235</v>
      </c>
    </row>
    <row r="48" spans="1:18" x14ac:dyDescent="0.25">
      <c r="A48" t="s">
        <v>6080</v>
      </c>
      <c r="B48" t="s">
        <v>5965</v>
      </c>
      <c r="C48" t="s">
        <v>5966</v>
      </c>
      <c r="D48" t="s">
        <v>885</v>
      </c>
      <c r="E48">
        <v>23</v>
      </c>
      <c r="F48" t="s">
        <v>2440</v>
      </c>
      <c r="H48" t="s">
        <v>3176</v>
      </c>
      <c r="K48">
        <v>238.34</v>
      </c>
      <c r="L48">
        <v>6410.1</v>
      </c>
      <c r="M48" t="s">
        <v>4000</v>
      </c>
      <c r="N48" t="s">
        <v>6081</v>
      </c>
      <c r="O48" t="s">
        <v>1648</v>
      </c>
      <c r="P48" t="s">
        <v>1764</v>
      </c>
      <c r="Q48" t="s">
        <v>5963</v>
      </c>
      <c r="R48" t="s">
        <v>5979</v>
      </c>
    </row>
    <row r="49" spans="1:18" x14ac:dyDescent="0.25">
      <c r="A49" t="s">
        <v>6082</v>
      </c>
      <c r="B49" t="s">
        <v>5974</v>
      </c>
      <c r="C49" t="s">
        <v>5975</v>
      </c>
      <c r="D49" t="s">
        <v>95</v>
      </c>
      <c r="E49">
        <v>62</v>
      </c>
      <c r="F49" t="s">
        <v>2388</v>
      </c>
      <c r="H49" t="s">
        <v>3077</v>
      </c>
      <c r="J49" t="s">
        <v>4159</v>
      </c>
      <c r="K49">
        <v>187.53</v>
      </c>
      <c r="L49">
        <v>21247.73</v>
      </c>
      <c r="M49" t="s">
        <v>3943</v>
      </c>
      <c r="N49" t="s">
        <v>6083</v>
      </c>
      <c r="O49" t="s">
        <v>5978</v>
      </c>
      <c r="P49" t="s">
        <v>5977</v>
      </c>
      <c r="Q49" t="s">
        <v>5968</v>
      </c>
      <c r="R49" t="s">
        <v>6002</v>
      </c>
    </row>
    <row r="50" spans="1:18" x14ac:dyDescent="0.25">
      <c r="A50" t="s">
        <v>6084</v>
      </c>
      <c r="B50" t="s">
        <v>5960</v>
      </c>
      <c r="C50" t="s">
        <v>5981</v>
      </c>
      <c r="D50" t="s">
        <v>1036</v>
      </c>
      <c r="E50">
        <v>30</v>
      </c>
      <c r="F50" t="s">
        <v>2407</v>
      </c>
      <c r="G50" t="s">
        <v>2398</v>
      </c>
      <c r="H50" t="s">
        <v>2752</v>
      </c>
      <c r="I50" t="s">
        <v>3016</v>
      </c>
      <c r="K50">
        <v>341.97</v>
      </c>
      <c r="L50">
        <v>5685.05</v>
      </c>
      <c r="M50" t="s">
        <v>2750</v>
      </c>
      <c r="N50" t="s">
        <v>6085</v>
      </c>
      <c r="O50" t="s">
        <v>5978</v>
      </c>
      <c r="P50" t="s">
        <v>1746</v>
      </c>
      <c r="Q50" t="s">
        <v>5963</v>
      </c>
    </row>
    <row r="51" spans="1:18" x14ac:dyDescent="0.25">
      <c r="A51" t="s">
        <v>6086</v>
      </c>
      <c r="B51" t="s">
        <v>5981</v>
      </c>
      <c r="C51" t="s">
        <v>5988</v>
      </c>
      <c r="D51" t="s">
        <v>463</v>
      </c>
      <c r="E51">
        <v>32</v>
      </c>
      <c r="F51" t="s">
        <v>2376</v>
      </c>
      <c r="H51" t="s">
        <v>3049</v>
      </c>
      <c r="K51">
        <v>103.11</v>
      </c>
      <c r="L51">
        <v>12196.08</v>
      </c>
      <c r="M51" t="s">
        <v>3452</v>
      </c>
      <c r="N51" t="s">
        <v>6087</v>
      </c>
      <c r="O51" t="s">
        <v>5984</v>
      </c>
      <c r="P51" t="s">
        <v>1897</v>
      </c>
      <c r="Q51" t="s">
        <v>5963</v>
      </c>
    </row>
    <row r="52" spans="1:18" x14ac:dyDescent="0.25">
      <c r="A52" t="s">
        <v>6088</v>
      </c>
      <c r="B52" t="s">
        <v>5965</v>
      </c>
      <c r="C52" t="s">
        <v>6011</v>
      </c>
      <c r="D52" t="s">
        <v>850</v>
      </c>
      <c r="E52">
        <v>37</v>
      </c>
      <c r="F52" t="s">
        <v>2440</v>
      </c>
      <c r="H52" t="s">
        <v>6089</v>
      </c>
      <c r="K52">
        <v>453.76</v>
      </c>
      <c r="L52">
        <v>9633.18</v>
      </c>
      <c r="M52" t="s">
        <v>4262</v>
      </c>
      <c r="N52" t="s">
        <v>6090</v>
      </c>
      <c r="O52" t="s">
        <v>1746</v>
      </c>
      <c r="P52" t="s">
        <v>5978</v>
      </c>
      <c r="Q52" t="s">
        <v>5963</v>
      </c>
    </row>
    <row r="53" spans="1:18" x14ac:dyDescent="0.25">
      <c r="A53" t="s">
        <v>6091</v>
      </c>
      <c r="B53" t="s">
        <v>5981</v>
      </c>
      <c r="C53" t="s">
        <v>5993</v>
      </c>
      <c r="D53" t="s">
        <v>925</v>
      </c>
      <c r="E53">
        <v>80</v>
      </c>
      <c r="F53" t="s">
        <v>2398</v>
      </c>
      <c r="H53" t="s">
        <v>2841</v>
      </c>
      <c r="K53">
        <v>339.35</v>
      </c>
      <c r="L53">
        <v>15459.02</v>
      </c>
      <c r="M53" t="s">
        <v>2641</v>
      </c>
      <c r="N53" t="s">
        <v>6092</v>
      </c>
      <c r="O53" t="s">
        <v>1746</v>
      </c>
      <c r="P53" t="s">
        <v>1746</v>
      </c>
      <c r="Q53" t="s">
        <v>5963</v>
      </c>
      <c r="R53" t="s">
        <v>4235</v>
      </c>
    </row>
    <row r="54" spans="1:18" x14ac:dyDescent="0.25">
      <c r="A54" t="s">
        <v>6093</v>
      </c>
      <c r="B54" t="s">
        <v>5970</v>
      </c>
      <c r="C54" t="s">
        <v>5981</v>
      </c>
      <c r="D54" t="s">
        <v>410</v>
      </c>
      <c r="E54">
        <v>62</v>
      </c>
      <c r="F54" t="s">
        <v>2432</v>
      </c>
      <c r="H54" t="s">
        <v>6094</v>
      </c>
      <c r="J54" t="s">
        <v>5938</v>
      </c>
      <c r="K54">
        <v>155.18</v>
      </c>
      <c r="L54">
        <v>18089.54</v>
      </c>
      <c r="M54" t="s">
        <v>2702</v>
      </c>
      <c r="N54" t="s">
        <v>6095</v>
      </c>
      <c r="O54" t="s">
        <v>5977</v>
      </c>
      <c r="P54" t="s">
        <v>5977</v>
      </c>
      <c r="Q54" t="s">
        <v>5968</v>
      </c>
    </row>
    <row r="55" spans="1:18" x14ac:dyDescent="0.25">
      <c r="A55" t="s">
        <v>6096</v>
      </c>
      <c r="B55" t="s">
        <v>5965</v>
      </c>
      <c r="C55" t="s">
        <v>5971</v>
      </c>
      <c r="D55" t="s">
        <v>980</v>
      </c>
      <c r="E55">
        <v>3</v>
      </c>
      <c r="F55" t="s">
        <v>2416</v>
      </c>
      <c r="H55" t="s">
        <v>3186</v>
      </c>
      <c r="J55" t="s">
        <v>5638</v>
      </c>
      <c r="K55">
        <v>50.99</v>
      </c>
      <c r="L55">
        <v>723.26</v>
      </c>
      <c r="M55" t="s">
        <v>3658</v>
      </c>
      <c r="N55" t="s">
        <v>6097</v>
      </c>
      <c r="O55" t="s">
        <v>1648</v>
      </c>
      <c r="P55" t="s">
        <v>5978</v>
      </c>
      <c r="Q55" t="s">
        <v>3434</v>
      </c>
    </row>
    <row r="56" spans="1:18" x14ac:dyDescent="0.25">
      <c r="A56" t="s">
        <v>6098</v>
      </c>
      <c r="B56" t="s">
        <v>5970</v>
      </c>
      <c r="C56" t="s">
        <v>5993</v>
      </c>
      <c r="D56" t="s">
        <v>490</v>
      </c>
      <c r="E56">
        <v>87</v>
      </c>
      <c r="F56" t="s">
        <v>2456</v>
      </c>
      <c r="H56" t="s">
        <v>3046</v>
      </c>
      <c r="J56" t="s">
        <v>4721</v>
      </c>
      <c r="K56">
        <v>96.14</v>
      </c>
      <c r="L56">
        <v>41819.14</v>
      </c>
      <c r="M56" t="s">
        <v>4387</v>
      </c>
      <c r="N56" t="s">
        <v>6099</v>
      </c>
      <c r="O56" t="s">
        <v>5978</v>
      </c>
      <c r="P56" t="s">
        <v>2447</v>
      </c>
      <c r="Q56" t="s">
        <v>5968</v>
      </c>
      <c r="R56" t="s">
        <v>5979</v>
      </c>
    </row>
    <row r="57" spans="1:18" x14ac:dyDescent="0.25">
      <c r="A57" t="s">
        <v>6100</v>
      </c>
      <c r="B57" t="s">
        <v>5960</v>
      </c>
      <c r="C57" t="s">
        <v>6011</v>
      </c>
      <c r="D57" t="s">
        <v>571</v>
      </c>
      <c r="E57">
        <v>37</v>
      </c>
      <c r="F57" t="s">
        <v>2407</v>
      </c>
      <c r="G57" t="s">
        <v>2449</v>
      </c>
      <c r="H57" t="s">
        <v>2670</v>
      </c>
      <c r="I57" t="s">
        <v>3292</v>
      </c>
      <c r="J57" t="s">
        <v>2475</v>
      </c>
      <c r="K57">
        <v>171.04</v>
      </c>
      <c r="L57">
        <v>7511.43</v>
      </c>
      <c r="M57" t="s">
        <v>4158</v>
      </c>
      <c r="N57" t="s">
        <v>6101</v>
      </c>
      <c r="O57" t="s">
        <v>5984</v>
      </c>
      <c r="P57" t="s">
        <v>1746</v>
      </c>
      <c r="Q57" t="s">
        <v>5968</v>
      </c>
      <c r="R57" t="s">
        <v>4235</v>
      </c>
    </row>
    <row r="58" spans="1:18" x14ac:dyDescent="0.25">
      <c r="A58" t="s">
        <v>6102</v>
      </c>
      <c r="B58" t="s">
        <v>5965</v>
      </c>
      <c r="C58" t="s">
        <v>6011</v>
      </c>
      <c r="D58" t="s">
        <v>910</v>
      </c>
      <c r="E58">
        <v>48</v>
      </c>
      <c r="F58" t="s">
        <v>2440</v>
      </c>
      <c r="H58" t="s">
        <v>2909</v>
      </c>
      <c r="J58" t="s">
        <v>2551</v>
      </c>
      <c r="K58">
        <v>177.52</v>
      </c>
      <c r="L58">
        <v>6925.83</v>
      </c>
      <c r="M58" t="s">
        <v>3726</v>
      </c>
      <c r="N58" t="s">
        <v>6103</v>
      </c>
      <c r="O58" t="s">
        <v>1764</v>
      </c>
      <c r="P58" t="s">
        <v>1897</v>
      </c>
      <c r="Q58" t="s">
        <v>5963</v>
      </c>
    </row>
    <row r="59" spans="1:18" x14ac:dyDescent="0.25">
      <c r="A59" t="s">
        <v>6104</v>
      </c>
      <c r="B59" t="s">
        <v>3442</v>
      </c>
      <c r="C59" t="s">
        <v>5993</v>
      </c>
      <c r="D59" t="s">
        <v>698</v>
      </c>
      <c r="E59">
        <v>16</v>
      </c>
      <c r="F59" t="s">
        <v>2407</v>
      </c>
      <c r="G59" t="s">
        <v>2376</v>
      </c>
      <c r="H59" t="s">
        <v>3200</v>
      </c>
      <c r="I59" t="s">
        <v>2970</v>
      </c>
      <c r="J59" t="s">
        <v>2541</v>
      </c>
      <c r="K59">
        <v>145.52000000000001</v>
      </c>
      <c r="L59">
        <v>2778.36</v>
      </c>
      <c r="M59" t="s">
        <v>3490</v>
      </c>
      <c r="N59" t="s">
        <v>6105</v>
      </c>
      <c r="O59" t="s">
        <v>1897</v>
      </c>
      <c r="P59" t="s">
        <v>1897</v>
      </c>
      <c r="Q59" t="s">
        <v>5968</v>
      </c>
      <c r="R59" t="s">
        <v>5979</v>
      </c>
    </row>
    <row r="60" spans="1:18" x14ac:dyDescent="0.25">
      <c r="A60" t="s">
        <v>6106</v>
      </c>
      <c r="B60" t="s">
        <v>5974</v>
      </c>
      <c r="C60" t="s">
        <v>6011</v>
      </c>
      <c r="D60" t="s">
        <v>687</v>
      </c>
      <c r="E60">
        <v>76</v>
      </c>
      <c r="F60" t="s">
        <v>2440</v>
      </c>
      <c r="H60" t="s">
        <v>3303</v>
      </c>
      <c r="K60">
        <v>442.48</v>
      </c>
      <c r="L60">
        <v>33435.56</v>
      </c>
      <c r="M60" t="s">
        <v>5359</v>
      </c>
      <c r="N60" t="s">
        <v>6107</v>
      </c>
      <c r="O60" t="s">
        <v>5977</v>
      </c>
      <c r="P60" t="s">
        <v>5978</v>
      </c>
      <c r="Q60" t="s">
        <v>5968</v>
      </c>
      <c r="R60" t="s">
        <v>5979</v>
      </c>
    </row>
    <row r="61" spans="1:18" x14ac:dyDescent="0.25">
      <c r="A61" t="s">
        <v>6108</v>
      </c>
      <c r="B61" t="s">
        <v>6026</v>
      </c>
      <c r="C61" t="s">
        <v>5971</v>
      </c>
      <c r="D61" t="s">
        <v>186</v>
      </c>
      <c r="E61">
        <v>4</v>
      </c>
      <c r="F61" t="s">
        <v>2449</v>
      </c>
      <c r="H61" t="s">
        <v>3049</v>
      </c>
      <c r="J61" t="s">
        <v>2527</v>
      </c>
      <c r="K61">
        <v>423.17</v>
      </c>
      <c r="L61">
        <v>953.9</v>
      </c>
      <c r="M61" t="s">
        <v>3868</v>
      </c>
      <c r="N61" t="s">
        <v>6109</v>
      </c>
      <c r="O61" t="s">
        <v>5984</v>
      </c>
      <c r="P61" t="s">
        <v>5977</v>
      </c>
      <c r="Q61" t="s">
        <v>5968</v>
      </c>
      <c r="R61" t="s">
        <v>4235</v>
      </c>
    </row>
    <row r="62" spans="1:18" x14ac:dyDescent="0.25">
      <c r="A62" t="s">
        <v>6110</v>
      </c>
      <c r="B62" t="s">
        <v>5965</v>
      </c>
      <c r="C62" t="s">
        <v>5966</v>
      </c>
      <c r="D62" t="s">
        <v>651</v>
      </c>
      <c r="E62">
        <v>3</v>
      </c>
      <c r="F62" t="s">
        <v>2432</v>
      </c>
      <c r="H62" t="s">
        <v>2846</v>
      </c>
      <c r="J62" t="s">
        <v>3759</v>
      </c>
      <c r="K62">
        <v>141.97999999999999</v>
      </c>
      <c r="L62">
        <v>1087.3</v>
      </c>
      <c r="M62" t="s">
        <v>4583</v>
      </c>
      <c r="N62" t="s">
        <v>6111</v>
      </c>
      <c r="O62" t="s">
        <v>1897</v>
      </c>
      <c r="P62" t="s">
        <v>5984</v>
      </c>
      <c r="Q62" t="s">
        <v>5963</v>
      </c>
    </row>
    <row r="63" spans="1:18" x14ac:dyDescent="0.25">
      <c r="A63" t="s">
        <v>6112</v>
      </c>
      <c r="B63" t="s">
        <v>3442</v>
      </c>
      <c r="C63" t="s">
        <v>5988</v>
      </c>
      <c r="D63" t="s">
        <v>1086</v>
      </c>
      <c r="E63">
        <v>3</v>
      </c>
      <c r="F63" t="s">
        <v>2432</v>
      </c>
      <c r="G63" t="s">
        <v>2432</v>
      </c>
      <c r="H63" t="s">
        <v>2886</v>
      </c>
      <c r="I63" t="s">
        <v>3016</v>
      </c>
      <c r="J63" t="s">
        <v>4550</v>
      </c>
      <c r="K63">
        <v>455.56</v>
      </c>
      <c r="L63">
        <v>1223.8</v>
      </c>
      <c r="M63" t="s">
        <v>3828</v>
      </c>
      <c r="N63" t="s">
        <v>6113</v>
      </c>
      <c r="O63" t="s">
        <v>1746</v>
      </c>
      <c r="P63" t="s">
        <v>5984</v>
      </c>
      <c r="Q63" t="s">
        <v>3434</v>
      </c>
    </row>
    <row r="64" spans="1:18" x14ac:dyDescent="0.25">
      <c r="A64" t="s">
        <v>6114</v>
      </c>
      <c r="B64" t="s">
        <v>3442</v>
      </c>
      <c r="C64" t="s">
        <v>5961</v>
      </c>
      <c r="D64" t="s">
        <v>103</v>
      </c>
      <c r="E64">
        <v>17</v>
      </c>
      <c r="F64" t="s">
        <v>2407</v>
      </c>
      <c r="G64" t="s">
        <v>2449</v>
      </c>
      <c r="H64" t="s">
        <v>2889</v>
      </c>
      <c r="I64" t="s">
        <v>6115</v>
      </c>
      <c r="K64">
        <v>333.13</v>
      </c>
      <c r="L64">
        <v>6668.52</v>
      </c>
      <c r="M64" t="s">
        <v>2729</v>
      </c>
      <c r="N64" t="s">
        <v>6116</v>
      </c>
      <c r="O64" t="s">
        <v>5978</v>
      </c>
      <c r="P64" t="s">
        <v>1648</v>
      </c>
      <c r="Q64" t="s">
        <v>3434</v>
      </c>
      <c r="R64" t="s">
        <v>6002</v>
      </c>
    </row>
    <row r="65" spans="1:18" x14ac:dyDescent="0.25">
      <c r="A65" t="s">
        <v>6117</v>
      </c>
      <c r="B65" t="s">
        <v>5960</v>
      </c>
      <c r="C65" t="s">
        <v>5971</v>
      </c>
      <c r="D65" t="s">
        <v>139</v>
      </c>
      <c r="E65">
        <v>86</v>
      </c>
      <c r="F65" t="s">
        <v>2425</v>
      </c>
      <c r="G65" t="s">
        <v>2449</v>
      </c>
      <c r="H65" t="s">
        <v>3281</v>
      </c>
      <c r="I65" t="s">
        <v>6118</v>
      </c>
      <c r="J65" t="s">
        <v>3463</v>
      </c>
      <c r="K65">
        <v>247.67</v>
      </c>
      <c r="L65">
        <v>26672.69</v>
      </c>
      <c r="M65" t="s">
        <v>2900</v>
      </c>
      <c r="N65" t="s">
        <v>6119</v>
      </c>
      <c r="O65" t="s">
        <v>1648</v>
      </c>
      <c r="P65" t="s">
        <v>2447</v>
      </c>
      <c r="Q65" t="s">
        <v>5963</v>
      </c>
      <c r="R65" t="s">
        <v>4235</v>
      </c>
    </row>
    <row r="66" spans="1:18" x14ac:dyDescent="0.25">
      <c r="A66" t="s">
        <v>6120</v>
      </c>
      <c r="B66" t="s">
        <v>5965</v>
      </c>
      <c r="C66" t="s">
        <v>5982</v>
      </c>
      <c r="D66" t="s">
        <v>581</v>
      </c>
      <c r="E66">
        <v>19</v>
      </c>
      <c r="F66" t="s">
        <v>2440</v>
      </c>
      <c r="H66" t="s">
        <v>3257</v>
      </c>
      <c r="K66">
        <v>451.19</v>
      </c>
      <c r="L66">
        <v>4261.34</v>
      </c>
      <c r="M66" t="s">
        <v>3497</v>
      </c>
      <c r="N66" t="s">
        <v>6121</v>
      </c>
      <c r="O66" t="s">
        <v>1648</v>
      </c>
      <c r="P66" t="s">
        <v>1897</v>
      </c>
      <c r="Q66" t="s">
        <v>5963</v>
      </c>
    </row>
    <row r="67" spans="1:18" x14ac:dyDescent="0.25">
      <c r="A67" t="s">
        <v>6122</v>
      </c>
      <c r="B67" t="s">
        <v>3442</v>
      </c>
      <c r="C67" t="s">
        <v>6011</v>
      </c>
      <c r="D67" t="s">
        <v>985</v>
      </c>
      <c r="E67">
        <v>37</v>
      </c>
      <c r="F67" t="s">
        <v>2432</v>
      </c>
      <c r="G67" t="s">
        <v>2449</v>
      </c>
      <c r="H67" t="s">
        <v>3359</v>
      </c>
      <c r="I67" t="s">
        <v>2898</v>
      </c>
      <c r="J67" t="s">
        <v>4032</v>
      </c>
      <c r="K67">
        <v>138.28</v>
      </c>
      <c r="L67">
        <v>8023.55</v>
      </c>
      <c r="M67" t="s">
        <v>2839</v>
      </c>
      <c r="N67" t="s">
        <v>6123</v>
      </c>
      <c r="O67" t="s">
        <v>1764</v>
      </c>
      <c r="P67" t="s">
        <v>2447</v>
      </c>
      <c r="Q67" t="s">
        <v>3434</v>
      </c>
    </row>
    <row r="68" spans="1:18" x14ac:dyDescent="0.25">
      <c r="A68" t="s">
        <v>6124</v>
      </c>
      <c r="B68" t="s">
        <v>5960</v>
      </c>
      <c r="C68" t="s">
        <v>6011</v>
      </c>
      <c r="D68" t="s">
        <v>253</v>
      </c>
      <c r="E68">
        <v>58</v>
      </c>
      <c r="F68" t="s">
        <v>2425</v>
      </c>
      <c r="G68" t="s">
        <v>2440</v>
      </c>
      <c r="H68" t="s">
        <v>2724</v>
      </c>
      <c r="I68" t="s">
        <v>3255</v>
      </c>
      <c r="J68" t="s">
        <v>2512</v>
      </c>
      <c r="K68">
        <v>250.02</v>
      </c>
      <c r="L68">
        <v>11073.52</v>
      </c>
      <c r="M68" t="s">
        <v>2773</v>
      </c>
      <c r="N68" t="s">
        <v>6125</v>
      </c>
      <c r="O68" t="s">
        <v>1764</v>
      </c>
      <c r="P68" t="s">
        <v>1764</v>
      </c>
      <c r="Q68" t="s">
        <v>5963</v>
      </c>
      <c r="R68" t="s">
        <v>5979</v>
      </c>
    </row>
    <row r="69" spans="1:18" x14ac:dyDescent="0.25">
      <c r="A69" t="s">
        <v>6126</v>
      </c>
      <c r="B69" t="s">
        <v>5960</v>
      </c>
      <c r="C69" t="s">
        <v>6011</v>
      </c>
      <c r="D69" t="s">
        <v>586</v>
      </c>
      <c r="E69">
        <v>79</v>
      </c>
      <c r="F69" t="s">
        <v>2407</v>
      </c>
      <c r="G69" t="s">
        <v>2416</v>
      </c>
      <c r="H69" t="s">
        <v>2685</v>
      </c>
      <c r="I69" t="s">
        <v>6089</v>
      </c>
      <c r="J69" t="s">
        <v>5885</v>
      </c>
      <c r="K69">
        <v>445.18</v>
      </c>
      <c r="L69">
        <v>34850.519999999997</v>
      </c>
      <c r="M69" t="s">
        <v>3772</v>
      </c>
      <c r="N69" t="s">
        <v>6127</v>
      </c>
      <c r="O69" t="s">
        <v>1764</v>
      </c>
      <c r="P69" t="s">
        <v>1897</v>
      </c>
      <c r="Q69" t="s">
        <v>5968</v>
      </c>
      <c r="R69" t="s">
        <v>5979</v>
      </c>
    </row>
    <row r="70" spans="1:18" x14ac:dyDescent="0.25">
      <c r="A70" t="s">
        <v>6128</v>
      </c>
      <c r="B70" t="s">
        <v>3442</v>
      </c>
      <c r="C70" t="s">
        <v>5961</v>
      </c>
      <c r="D70" t="s">
        <v>87</v>
      </c>
      <c r="E70">
        <v>34</v>
      </c>
      <c r="F70" t="s">
        <v>2440</v>
      </c>
      <c r="G70" t="s">
        <v>2432</v>
      </c>
      <c r="H70" t="s">
        <v>2635</v>
      </c>
      <c r="I70" t="s">
        <v>3173</v>
      </c>
      <c r="J70" t="s">
        <v>4077</v>
      </c>
      <c r="K70">
        <v>184.12</v>
      </c>
      <c r="L70">
        <v>2863.28</v>
      </c>
      <c r="M70" t="s">
        <v>1756</v>
      </c>
      <c r="N70" t="s">
        <v>6129</v>
      </c>
      <c r="O70" t="s">
        <v>1648</v>
      </c>
      <c r="P70" t="s">
        <v>2447</v>
      </c>
      <c r="Q70" t="s">
        <v>5968</v>
      </c>
      <c r="R70" t="s">
        <v>6002</v>
      </c>
    </row>
    <row r="71" spans="1:18" x14ac:dyDescent="0.25">
      <c r="A71" t="s">
        <v>6130</v>
      </c>
      <c r="B71" t="s">
        <v>6026</v>
      </c>
      <c r="C71" t="s">
        <v>5961</v>
      </c>
      <c r="D71" t="s">
        <v>103</v>
      </c>
      <c r="E71">
        <v>83</v>
      </c>
      <c r="F71" t="s">
        <v>2456</v>
      </c>
      <c r="H71" t="s">
        <v>2987</v>
      </c>
      <c r="J71" t="s">
        <v>5082</v>
      </c>
      <c r="K71">
        <v>376.69</v>
      </c>
      <c r="L71">
        <v>9753.07</v>
      </c>
      <c r="M71" t="s">
        <v>3481</v>
      </c>
      <c r="N71" t="s">
        <v>6131</v>
      </c>
      <c r="O71" t="s">
        <v>5978</v>
      </c>
      <c r="P71" t="s">
        <v>5984</v>
      </c>
      <c r="Q71" t="s">
        <v>5963</v>
      </c>
      <c r="R71" t="s">
        <v>6002</v>
      </c>
    </row>
    <row r="72" spans="1:18" x14ac:dyDescent="0.25">
      <c r="A72" t="s">
        <v>6132</v>
      </c>
      <c r="B72" t="s">
        <v>5960</v>
      </c>
      <c r="C72" t="s">
        <v>5981</v>
      </c>
      <c r="D72" t="s">
        <v>535</v>
      </c>
      <c r="E72">
        <v>84</v>
      </c>
      <c r="F72" t="s">
        <v>2425</v>
      </c>
      <c r="G72" t="s">
        <v>2407</v>
      </c>
      <c r="H72" t="s">
        <v>6133</v>
      </c>
      <c r="I72" t="s">
        <v>2912</v>
      </c>
      <c r="K72">
        <v>437.77</v>
      </c>
      <c r="L72">
        <v>5591.76</v>
      </c>
      <c r="M72" t="s">
        <v>3978</v>
      </c>
      <c r="N72" t="s">
        <v>6134</v>
      </c>
      <c r="O72" t="s">
        <v>5977</v>
      </c>
      <c r="P72" t="s">
        <v>5977</v>
      </c>
      <c r="Q72" t="s">
        <v>5963</v>
      </c>
      <c r="R72" t="s">
        <v>4235</v>
      </c>
    </row>
    <row r="73" spans="1:18" x14ac:dyDescent="0.25">
      <c r="A73" t="s">
        <v>6135</v>
      </c>
      <c r="B73" t="s">
        <v>5970</v>
      </c>
      <c r="C73" t="s">
        <v>5988</v>
      </c>
      <c r="D73" t="s">
        <v>500</v>
      </c>
      <c r="E73">
        <v>75</v>
      </c>
      <c r="F73" t="s">
        <v>2432</v>
      </c>
      <c r="H73" t="s">
        <v>3373</v>
      </c>
      <c r="J73" t="s">
        <v>2568</v>
      </c>
      <c r="K73">
        <v>425.1</v>
      </c>
      <c r="L73">
        <v>37284.620000000003</v>
      </c>
      <c r="M73" t="s">
        <v>4556</v>
      </c>
      <c r="N73" t="s">
        <v>6136</v>
      </c>
      <c r="O73" t="s">
        <v>5984</v>
      </c>
      <c r="P73" t="s">
        <v>1648</v>
      </c>
      <c r="Q73" t="s">
        <v>3434</v>
      </c>
    </row>
    <row r="74" spans="1:18" x14ac:dyDescent="0.25">
      <c r="A74" t="s">
        <v>6137</v>
      </c>
      <c r="B74" t="s">
        <v>5974</v>
      </c>
      <c r="C74" t="s">
        <v>6011</v>
      </c>
      <c r="D74" t="s">
        <v>657</v>
      </c>
      <c r="E74">
        <v>10</v>
      </c>
      <c r="F74" t="s">
        <v>2440</v>
      </c>
      <c r="H74" t="s">
        <v>2724</v>
      </c>
      <c r="J74" t="s">
        <v>2554</v>
      </c>
      <c r="K74">
        <v>280</v>
      </c>
      <c r="L74">
        <v>3510.18</v>
      </c>
      <c r="M74" t="s">
        <v>2858</v>
      </c>
      <c r="N74" t="s">
        <v>6138</v>
      </c>
      <c r="O74" t="s">
        <v>1897</v>
      </c>
      <c r="P74" t="s">
        <v>1897</v>
      </c>
      <c r="Q74" t="s">
        <v>3434</v>
      </c>
      <c r="R74" t="s">
        <v>6002</v>
      </c>
    </row>
    <row r="75" spans="1:18" x14ac:dyDescent="0.25">
      <c r="A75" t="s">
        <v>6139</v>
      </c>
      <c r="B75" t="s">
        <v>5970</v>
      </c>
      <c r="C75" t="s">
        <v>5988</v>
      </c>
      <c r="D75" t="s">
        <v>1021</v>
      </c>
      <c r="E75">
        <v>79</v>
      </c>
      <c r="F75" t="s">
        <v>2398</v>
      </c>
      <c r="H75" t="s">
        <v>3126</v>
      </c>
      <c r="J75" t="s">
        <v>5571</v>
      </c>
      <c r="K75">
        <v>57.55</v>
      </c>
      <c r="L75">
        <v>26769.68</v>
      </c>
      <c r="M75" t="s">
        <v>3917</v>
      </c>
      <c r="N75" t="s">
        <v>6140</v>
      </c>
      <c r="O75" t="s">
        <v>1746</v>
      </c>
      <c r="P75" t="s">
        <v>1648</v>
      </c>
      <c r="Q75" t="s">
        <v>5963</v>
      </c>
    </row>
    <row r="76" spans="1:18" x14ac:dyDescent="0.25">
      <c r="A76" t="s">
        <v>6141</v>
      </c>
      <c r="B76" t="s">
        <v>5981</v>
      </c>
      <c r="C76" t="s">
        <v>5975</v>
      </c>
      <c r="D76" t="s">
        <v>332</v>
      </c>
      <c r="E76">
        <v>74</v>
      </c>
      <c r="F76" t="s">
        <v>2440</v>
      </c>
      <c r="H76" t="s">
        <v>2666</v>
      </c>
      <c r="J76" t="s">
        <v>2515</v>
      </c>
      <c r="K76">
        <v>356.18</v>
      </c>
      <c r="L76">
        <v>24450.62</v>
      </c>
      <c r="M76" t="s">
        <v>4253</v>
      </c>
      <c r="N76" t="s">
        <v>6142</v>
      </c>
      <c r="O76" t="s">
        <v>1746</v>
      </c>
      <c r="P76" t="s">
        <v>5977</v>
      </c>
      <c r="Q76" t="s">
        <v>5963</v>
      </c>
    </row>
    <row r="77" spans="1:18" x14ac:dyDescent="0.25">
      <c r="A77" t="s">
        <v>6143</v>
      </c>
      <c r="B77" t="s">
        <v>3442</v>
      </c>
      <c r="C77" t="s">
        <v>5993</v>
      </c>
      <c r="D77" t="s">
        <v>165</v>
      </c>
      <c r="E77">
        <v>28</v>
      </c>
      <c r="F77" t="s">
        <v>2432</v>
      </c>
      <c r="G77" t="s">
        <v>2432</v>
      </c>
      <c r="H77" t="s">
        <v>6144</v>
      </c>
      <c r="I77" t="s">
        <v>2846</v>
      </c>
      <c r="K77">
        <v>164</v>
      </c>
      <c r="L77">
        <v>10638.73</v>
      </c>
      <c r="M77" t="s">
        <v>1989</v>
      </c>
      <c r="N77" t="s">
        <v>6145</v>
      </c>
      <c r="O77" t="s">
        <v>5978</v>
      </c>
      <c r="P77" t="s">
        <v>1764</v>
      </c>
      <c r="Q77" t="s">
        <v>5963</v>
      </c>
    </row>
    <row r="78" spans="1:18" x14ac:dyDescent="0.25">
      <c r="A78" t="s">
        <v>6146</v>
      </c>
      <c r="B78" t="s">
        <v>5960</v>
      </c>
      <c r="C78" t="s">
        <v>5988</v>
      </c>
      <c r="D78" t="s">
        <v>258</v>
      </c>
      <c r="E78">
        <v>1</v>
      </c>
      <c r="F78" t="s">
        <v>2456</v>
      </c>
      <c r="G78" t="s">
        <v>2416</v>
      </c>
      <c r="H78" t="s">
        <v>2861</v>
      </c>
      <c r="I78" t="s">
        <v>6147</v>
      </c>
      <c r="J78" t="s">
        <v>2541</v>
      </c>
      <c r="K78">
        <v>340.31</v>
      </c>
      <c r="L78">
        <v>427.24</v>
      </c>
      <c r="M78" t="s">
        <v>2600</v>
      </c>
      <c r="N78" t="s">
        <v>6148</v>
      </c>
      <c r="O78" t="s">
        <v>1897</v>
      </c>
      <c r="P78" t="s">
        <v>1897</v>
      </c>
      <c r="Q78" t="s">
        <v>5963</v>
      </c>
      <c r="R78" t="s">
        <v>5979</v>
      </c>
    </row>
    <row r="79" spans="1:18" x14ac:dyDescent="0.25">
      <c r="A79" t="s">
        <v>6149</v>
      </c>
      <c r="B79" t="s">
        <v>5974</v>
      </c>
      <c r="C79" t="s">
        <v>5966</v>
      </c>
      <c r="D79" t="s">
        <v>495</v>
      </c>
      <c r="E79">
        <v>13</v>
      </c>
      <c r="F79" t="s">
        <v>2407</v>
      </c>
      <c r="H79" t="s">
        <v>3121</v>
      </c>
      <c r="K79">
        <v>113.61</v>
      </c>
      <c r="L79">
        <v>3657.58</v>
      </c>
      <c r="M79" t="s">
        <v>2659</v>
      </c>
      <c r="N79" t="s">
        <v>6150</v>
      </c>
      <c r="O79" t="s">
        <v>1897</v>
      </c>
      <c r="P79" t="s">
        <v>5984</v>
      </c>
      <c r="Q79" t="s">
        <v>5968</v>
      </c>
    </row>
    <row r="80" spans="1:18" x14ac:dyDescent="0.25">
      <c r="A80" t="s">
        <v>6151</v>
      </c>
      <c r="B80" t="s">
        <v>3442</v>
      </c>
      <c r="C80" t="s">
        <v>5993</v>
      </c>
      <c r="D80" t="s">
        <v>368</v>
      </c>
      <c r="E80">
        <v>80</v>
      </c>
      <c r="F80" t="s">
        <v>2425</v>
      </c>
      <c r="G80" t="s">
        <v>2398</v>
      </c>
      <c r="H80" t="s">
        <v>2714</v>
      </c>
      <c r="I80" t="s">
        <v>3060</v>
      </c>
      <c r="J80" t="s">
        <v>5614</v>
      </c>
      <c r="K80">
        <v>367.65</v>
      </c>
      <c r="L80">
        <v>28387</v>
      </c>
      <c r="M80" t="s">
        <v>4016</v>
      </c>
      <c r="N80" t="s">
        <v>6152</v>
      </c>
      <c r="O80" t="s">
        <v>1897</v>
      </c>
      <c r="P80" t="s">
        <v>5984</v>
      </c>
      <c r="Q80" t="s">
        <v>5963</v>
      </c>
      <c r="R80" t="s">
        <v>6002</v>
      </c>
    </row>
    <row r="81" spans="1:18" x14ac:dyDescent="0.25">
      <c r="A81" t="s">
        <v>6153</v>
      </c>
      <c r="B81" t="s">
        <v>5960</v>
      </c>
      <c r="C81" t="s">
        <v>5988</v>
      </c>
      <c r="D81" t="s">
        <v>234</v>
      </c>
      <c r="E81">
        <v>49</v>
      </c>
      <c r="F81" t="s">
        <v>2456</v>
      </c>
      <c r="G81" t="s">
        <v>2398</v>
      </c>
      <c r="H81" t="s">
        <v>6031</v>
      </c>
      <c r="I81" t="s">
        <v>2898</v>
      </c>
      <c r="K81">
        <v>296.48</v>
      </c>
      <c r="L81">
        <v>18248.310000000001</v>
      </c>
      <c r="M81" t="s">
        <v>2792</v>
      </c>
      <c r="N81" t="s">
        <v>6154</v>
      </c>
      <c r="O81" t="s">
        <v>1648</v>
      </c>
      <c r="P81" t="s">
        <v>5977</v>
      </c>
      <c r="Q81" t="s">
        <v>5963</v>
      </c>
      <c r="R81" t="s">
        <v>5979</v>
      </c>
    </row>
    <row r="82" spans="1:18" x14ac:dyDescent="0.25">
      <c r="A82" t="s">
        <v>6155</v>
      </c>
      <c r="B82" t="s">
        <v>5970</v>
      </c>
      <c r="C82" t="s">
        <v>5975</v>
      </c>
      <c r="D82" t="s">
        <v>438</v>
      </c>
      <c r="E82">
        <v>17</v>
      </c>
      <c r="F82" t="s">
        <v>2416</v>
      </c>
      <c r="H82" t="s">
        <v>3346</v>
      </c>
      <c r="J82" t="s">
        <v>2525</v>
      </c>
      <c r="K82">
        <v>385.05</v>
      </c>
      <c r="L82">
        <v>2702.54</v>
      </c>
      <c r="M82" t="s">
        <v>4151</v>
      </c>
      <c r="N82" t="s">
        <v>6156</v>
      </c>
      <c r="O82" t="s">
        <v>5977</v>
      </c>
      <c r="P82" t="s">
        <v>1746</v>
      </c>
      <c r="Q82" t="s">
        <v>5963</v>
      </c>
      <c r="R82" t="s">
        <v>6002</v>
      </c>
    </row>
    <row r="83" spans="1:18" x14ac:dyDescent="0.25">
      <c r="A83" t="s">
        <v>6157</v>
      </c>
      <c r="B83" t="s">
        <v>3442</v>
      </c>
      <c r="C83" t="s">
        <v>6011</v>
      </c>
      <c r="D83" t="s">
        <v>295</v>
      </c>
      <c r="E83">
        <v>61</v>
      </c>
      <c r="F83" t="s">
        <v>2388</v>
      </c>
      <c r="G83" t="s">
        <v>2388</v>
      </c>
      <c r="H83" t="s">
        <v>3027</v>
      </c>
      <c r="I83" t="s">
        <v>6067</v>
      </c>
      <c r="J83" t="s">
        <v>4428</v>
      </c>
      <c r="K83">
        <v>213.1</v>
      </c>
      <c r="L83">
        <v>26354.36</v>
      </c>
      <c r="M83" t="s">
        <v>3103</v>
      </c>
      <c r="N83" t="s">
        <v>6158</v>
      </c>
      <c r="O83" t="s">
        <v>2447</v>
      </c>
      <c r="P83" t="s">
        <v>1648</v>
      </c>
      <c r="Q83" t="s">
        <v>5963</v>
      </c>
    </row>
    <row r="84" spans="1:18" x14ac:dyDescent="0.25">
      <c r="A84" t="s">
        <v>6159</v>
      </c>
      <c r="B84" t="s">
        <v>3442</v>
      </c>
      <c r="C84" t="s">
        <v>5993</v>
      </c>
      <c r="D84" t="s">
        <v>51</v>
      </c>
      <c r="E84">
        <v>58</v>
      </c>
      <c r="F84" t="s">
        <v>2388</v>
      </c>
      <c r="G84" t="s">
        <v>2388</v>
      </c>
      <c r="H84" t="s">
        <v>3231</v>
      </c>
      <c r="I84" t="s">
        <v>2705</v>
      </c>
      <c r="J84" t="s">
        <v>5463</v>
      </c>
      <c r="K84">
        <v>193.9</v>
      </c>
      <c r="L84">
        <v>13516.89</v>
      </c>
      <c r="M84" t="s">
        <v>5327</v>
      </c>
      <c r="N84" t="s">
        <v>6160</v>
      </c>
      <c r="O84" t="s">
        <v>5978</v>
      </c>
      <c r="P84" t="s">
        <v>5984</v>
      </c>
      <c r="Q84" t="s">
        <v>5963</v>
      </c>
    </row>
    <row r="85" spans="1:18" x14ac:dyDescent="0.25">
      <c r="A85" t="s">
        <v>6161</v>
      </c>
      <c r="B85" t="s">
        <v>5960</v>
      </c>
      <c r="C85" t="s">
        <v>5966</v>
      </c>
      <c r="D85" t="s">
        <v>824</v>
      </c>
      <c r="E85">
        <v>95</v>
      </c>
      <c r="F85" t="s">
        <v>2398</v>
      </c>
      <c r="G85" t="s">
        <v>2432</v>
      </c>
      <c r="H85" t="s">
        <v>6162</v>
      </c>
      <c r="I85" t="s">
        <v>3101</v>
      </c>
      <c r="K85">
        <v>470.72</v>
      </c>
      <c r="L85">
        <v>43967.18</v>
      </c>
      <c r="M85" t="s">
        <v>3075</v>
      </c>
      <c r="N85" t="s">
        <v>6163</v>
      </c>
      <c r="O85" t="s">
        <v>5977</v>
      </c>
      <c r="P85" t="s">
        <v>1897</v>
      </c>
      <c r="Q85" t="s">
        <v>3434</v>
      </c>
      <c r="R85" t="s">
        <v>4235</v>
      </c>
    </row>
    <row r="86" spans="1:18" x14ac:dyDescent="0.25">
      <c r="A86" t="s">
        <v>6164</v>
      </c>
      <c r="B86" t="s">
        <v>5965</v>
      </c>
      <c r="C86" t="s">
        <v>5993</v>
      </c>
      <c r="D86" t="s">
        <v>203</v>
      </c>
      <c r="E86">
        <v>3</v>
      </c>
      <c r="F86" t="s">
        <v>2398</v>
      </c>
      <c r="H86" t="s">
        <v>3186</v>
      </c>
      <c r="J86" t="s">
        <v>2491</v>
      </c>
      <c r="K86">
        <v>291</v>
      </c>
      <c r="L86">
        <v>713.49</v>
      </c>
      <c r="M86" t="s">
        <v>3057</v>
      </c>
      <c r="N86" t="s">
        <v>6165</v>
      </c>
      <c r="O86" t="s">
        <v>1746</v>
      </c>
      <c r="P86" t="s">
        <v>5977</v>
      </c>
      <c r="Q86" t="s">
        <v>3434</v>
      </c>
    </row>
    <row r="87" spans="1:18" x14ac:dyDescent="0.25">
      <c r="A87" t="s">
        <v>6166</v>
      </c>
      <c r="B87" t="s">
        <v>5981</v>
      </c>
      <c r="C87" t="s">
        <v>5981</v>
      </c>
      <c r="D87" t="s">
        <v>621</v>
      </c>
      <c r="E87">
        <v>22</v>
      </c>
      <c r="F87" t="s">
        <v>2456</v>
      </c>
      <c r="H87" t="s">
        <v>3150</v>
      </c>
      <c r="J87" t="s">
        <v>5421</v>
      </c>
      <c r="K87">
        <v>273.45999999999998</v>
      </c>
      <c r="L87">
        <v>9016.35</v>
      </c>
      <c r="M87" t="s">
        <v>4470</v>
      </c>
      <c r="N87" t="s">
        <v>6167</v>
      </c>
      <c r="O87" t="s">
        <v>2447</v>
      </c>
      <c r="P87" t="s">
        <v>2447</v>
      </c>
      <c r="Q87" t="s">
        <v>5963</v>
      </c>
      <c r="R87" t="s">
        <v>6002</v>
      </c>
    </row>
    <row r="88" spans="1:18" x14ac:dyDescent="0.25">
      <c r="A88" t="s">
        <v>6168</v>
      </c>
      <c r="B88" t="s">
        <v>5970</v>
      </c>
      <c r="C88" t="s">
        <v>5988</v>
      </c>
      <c r="D88" t="s">
        <v>274</v>
      </c>
      <c r="E88">
        <v>85</v>
      </c>
      <c r="F88" t="s">
        <v>2440</v>
      </c>
      <c r="H88" t="s">
        <v>3038</v>
      </c>
      <c r="K88">
        <v>366.56</v>
      </c>
      <c r="L88">
        <v>10289.700000000001</v>
      </c>
      <c r="M88" t="s">
        <v>4097</v>
      </c>
      <c r="N88" t="s">
        <v>6169</v>
      </c>
      <c r="O88" t="s">
        <v>1764</v>
      </c>
      <c r="P88" t="s">
        <v>5978</v>
      </c>
      <c r="Q88" t="s">
        <v>5968</v>
      </c>
    </row>
    <row r="89" spans="1:18" x14ac:dyDescent="0.25">
      <c r="A89" t="s">
        <v>6170</v>
      </c>
      <c r="B89" t="s">
        <v>5965</v>
      </c>
      <c r="C89" t="s">
        <v>6011</v>
      </c>
      <c r="D89" t="s">
        <v>744</v>
      </c>
      <c r="E89">
        <v>95</v>
      </c>
      <c r="F89" t="s">
        <v>2407</v>
      </c>
      <c r="H89" t="s">
        <v>2680</v>
      </c>
      <c r="K89">
        <v>182.86</v>
      </c>
      <c r="L89">
        <v>12712.89</v>
      </c>
      <c r="M89" t="s">
        <v>3252</v>
      </c>
      <c r="N89" t="s">
        <v>6171</v>
      </c>
      <c r="O89" t="s">
        <v>5984</v>
      </c>
      <c r="P89" t="s">
        <v>2447</v>
      </c>
      <c r="Q89" t="s">
        <v>5963</v>
      </c>
      <c r="R89" t="s">
        <v>4235</v>
      </c>
    </row>
    <row r="90" spans="1:18" x14ac:dyDescent="0.25">
      <c r="A90" t="s">
        <v>6172</v>
      </c>
      <c r="B90" t="s">
        <v>5965</v>
      </c>
      <c r="C90" t="s">
        <v>5961</v>
      </c>
      <c r="D90" t="s">
        <v>621</v>
      </c>
      <c r="E90">
        <v>3</v>
      </c>
      <c r="F90" t="s">
        <v>2416</v>
      </c>
      <c r="H90" t="s">
        <v>6147</v>
      </c>
      <c r="J90" t="s">
        <v>2475</v>
      </c>
      <c r="K90">
        <v>402.43</v>
      </c>
      <c r="L90">
        <v>1293.72</v>
      </c>
      <c r="M90" t="s">
        <v>2953</v>
      </c>
      <c r="N90" t="s">
        <v>6173</v>
      </c>
      <c r="O90" t="s">
        <v>1897</v>
      </c>
      <c r="P90" t="s">
        <v>5984</v>
      </c>
      <c r="Q90" t="s">
        <v>5963</v>
      </c>
      <c r="R90" t="s">
        <v>4235</v>
      </c>
    </row>
    <row r="91" spans="1:18" x14ac:dyDescent="0.25">
      <c r="A91" t="s">
        <v>6174</v>
      </c>
      <c r="B91" t="s">
        <v>5965</v>
      </c>
      <c r="C91" t="s">
        <v>5993</v>
      </c>
      <c r="D91" t="s">
        <v>77</v>
      </c>
      <c r="E91">
        <v>33</v>
      </c>
      <c r="F91" t="s">
        <v>2456</v>
      </c>
      <c r="H91" t="s">
        <v>3034</v>
      </c>
      <c r="J91" t="s">
        <v>3891</v>
      </c>
      <c r="K91">
        <v>65.87</v>
      </c>
      <c r="L91">
        <v>15023.61</v>
      </c>
      <c r="M91" t="s">
        <v>2716</v>
      </c>
      <c r="N91" t="s">
        <v>6175</v>
      </c>
      <c r="O91" t="s">
        <v>5984</v>
      </c>
      <c r="P91" t="s">
        <v>1897</v>
      </c>
      <c r="Q91" t="s">
        <v>5963</v>
      </c>
    </row>
    <row r="92" spans="1:18" x14ac:dyDescent="0.25">
      <c r="A92" t="s">
        <v>6176</v>
      </c>
      <c r="B92" t="s">
        <v>5965</v>
      </c>
      <c r="C92" t="s">
        <v>5993</v>
      </c>
      <c r="D92" t="s">
        <v>829</v>
      </c>
      <c r="E92">
        <v>63</v>
      </c>
      <c r="F92" t="s">
        <v>2449</v>
      </c>
      <c r="H92" t="s">
        <v>6012</v>
      </c>
      <c r="J92" t="s">
        <v>3846</v>
      </c>
      <c r="K92">
        <v>83.33</v>
      </c>
      <c r="L92">
        <v>14188.15</v>
      </c>
      <c r="M92" t="s">
        <v>4139</v>
      </c>
      <c r="N92" t="s">
        <v>6177</v>
      </c>
      <c r="O92" t="s">
        <v>1746</v>
      </c>
      <c r="P92" t="s">
        <v>1746</v>
      </c>
      <c r="Q92" t="s">
        <v>5968</v>
      </c>
    </row>
    <row r="93" spans="1:18" x14ac:dyDescent="0.25">
      <c r="A93" t="s">
        <v>6178</v>
      </c>
      <c r="B93" t="s">
        <v>6026</v>
      </c>
      <c r="C93" t="s">
        <v>5993</v>
      </c>
      <c r="D93" t="s">
        <v>215</v>
      </c>
      <c r="E93">
        <v>94</v>
      </c>
      <c r="F93" t="s">
        <v>2432</v>
      </c>
      <c r="H93" t="s">
        <v>2999</v>
      </c>
      <c r="J93" t="s">
        <v>2515</v>
      </c>
      <c r="K93">
        <v>456.15</v>
      </c>
      <c r="L93">
        <v>8068.84</v>
      </c>
      <c r="M93" t="s">
        <v>2763</v>
      </c>
      <c r="N93" t="s">
        <v>6179</v>
      </c>
      <c r="O93" t="s">
        <v>1648</v>
      </c>
      <c r="P93" t="s">
        <v>2447</v>
      </c>
      <c r="Q93" t="s">
        <v>5963</v>
      </c>
    </row>
    <row r="94" spans="1:18" x14ac:dyDescent="0.25">
      <c r="A94" t="s">
        <v>6180</v>
      </c>
      <c r="B94" t="s">
        <v>6026</v>
      </c>
      <c r="C94" t="s">
        <v>6011</v>
      </c>
      <c r="D94" t="s">
        <v>1086</v>
      </c>
      <c r="E94">
        <v>93</v>
      </c>
      <c r="F94" t="s">
        <v>2449</v>
      </c>
      <c r="H94" t="s">
        <v>3281</v>
      </c>
      <c r="J94" t="s">
        <v>4629</v>
      </c>
      <c r="K94">
        <v>188.62</v>
      </c>
      <c r="L94">
        <v>29304.73</v>
      </c>
      <c r="M94" t="s">
        <v>3786</v>
      </c>
      <c r="N94" t="s">
        <v>6181</v>
      </c>
      <c r="O94" t="s">
        <v>2447</v>
      </c>
      <c r="P94" t="s">
        <v>5984</v>
      </c>
      <c r="Q94" t="s">
        <v>5963</v>
      </c>
    </row>
    <row r="95" spans="1:18" x14ac:dyDescent="0.25">
      <c r="A95" t="s">
        <v>6182</v>
      </c>
      <c r="B95" t="s">
        <v>5974</v>
      </c>
      <c r="C95" t="s">
        <v>5988</v>
      </c>
      <c r="D95" t="s">
        <v>258</v>
      </c>
      <c r="E95">
        <v>72</v>
      </c>
      <c r="F95" t="s">
        <v>2388</v>
      </c>
      <c r="H95" t="s">
        <v>2675</v>
      </c>
      <c r="J95" t="s">
        <v>5654</v>
      </c>
      <c r="K95">
        <v>377.92</v>
      </c>
      <c r="L95">
        <v>7685.46</v>
      </c>
      <c r="M95" t="s">
        <v>3877</v>
      </c>
      <c r="N95" t="s">
        <v>6183</v>
      </c>
      <c r="O95" t="s">
        <v>2447</v>
      </c>
      <c r="P95" t="s">
        <v>5978</v>
      </c>
      <c r="Q95" t="s">
        <v>5968</v>
      </c>
      <c r="R95" t="s">
        <v>6002</v>
      </c>
    </row>
    <row r="96" spans="1:18" x14ac:dyDescent="0.25">
      <c r="A96" t="s">
        <v>6184</v>
      </c>
      <c r="B96" t="s">
        <v>5974</v>
      </c>
      <c r="C96" t="s">
        <v>5981</v>
      </c>
      <c r="D96" t="s">
        <v>915</v>
      </c>
      <c r="E96">
        <v>68</v>
      </c>
      <c r="F96" t="s">
        <v>2425</v>
      </c>
      <c r="H96" t="s">
        <v>3150</v>
      </c>
      <c r="J96" t="s">
        <v>4074</v>
      </c>
      <c r="K96">
        <v>442.69</v>
      </c>
      <c r="L96">
        <v>8260.82</v>
      </c>
      <c r="M96" t="s">
        <v>3751</v>
      </c>
      <c r="N96" t="s">
        <v>6185</v>
      </c>
      <c r="O96" t="s">
        <v>2447</v>
      </c>
      <c r="P96" t="s">
        <v>5977</v>
      </c>
      <c r="Q96" t="s">
        <v>5968</v>
      </c>
    </row>
    <row r="97" spans="1:18" x14ac:dyDescent="0.25">
      <c r="A97" t="s">
        <v>6186</v>
      </c>
      <c r="B97" t="s">
        <v>5970</v>
      </c>
      <c r="C97" t="s">
        <v>5961</v>
      </c>
      <c r="D97" t="s">
        <v>415</v>
      </c>
      <c r="E97">
        <v>48</v>
      </c>
      <c r="F97" t="s">
        <v>2432</v>
      </c>
      <c r="H97" t="s">
        <v>3034</v>
      </c>
      <c r="J97" t="s">
        <v>2519</v>
      </c>
      <c r="K97">
        <v>268.23</v>
      </c>
      <c r="L97">
        <v>11245.29</v>
      </c>
      <c r="M97" t="s">
        <v>3309</v>
      </c>
      <c r="N97" t="s">
        <v>6187</v>
      </c>
      <c r="O97" t="s">
        <v>1897</v>
      </c>
      <c r="P97" t="s">
        <v>5978</v>
      </c>
      <c r="Q97" t="s">
        <v>5963</v>
      </c>
      <c r="R97" t="s">
        <v>6002</v>
      </c>
    </row>
    <row r="98" spans="1:18" x14ac:dyDescent="0.25">
      <c r="A98" t="s">
        <v>6188</v>
      </c>
      <c r="B98" t="s">
        <v>5970</v>
      </c>
      <c r="C98" t="s">
        <v>6011</v>
      </c>
      <c r="D98" t="s">
        <v>723</v>
      </c>
      <c r="E98">
        <v>35</v>
      </c>
      <c r="F98" t="s">
        <v>2456</v>
      </c>
      <c r="H98" t="s">
        <v>3267</v>
      </c>
      <c r="K98">
        <v>153.97</v>
      </c>
      <c r="L98">
        <v>11769.81</v>
      </c>
      <c r="M98" t="s">
        <v>3612</v>
      </c>
      <c r="N98" t="s">
        <v>6189</v>
      </c>
      <c r="O98" t="s">
        <v>5984</v>
      </c>
      <c r="P98" t="s">
        <v>5984</v>
      </c>
      <c r="Q98" t="s">
        <v>5968</v>
      </c>
      <c r="R98" t="s">
        <v>4235</v>
      </c>
    </row>
    <row r="99" spans="1:18" x14ac:dyDescent="0.25">
      <c r="A99" t="s">
        <v>6190</v>
      </c>
      <c r="B99" t="s">
        <v>5970</v>
      </c>
      <c r="C99" t="s">
        <v>5982</v>
      </c>
      <c r="D99" t="s">
        <v>754</v>
      </c>
      <c r="E99">
        <v>90</v>
      </c>
      <c r="F99" t="s">
        <v>2416</v>
      </c>
      <c r="H99" t="s">
        <v>3388</v>
      </c>
      <c r="J99" t="s">
        <v>5752</v>
      </c>
      <c r="K99">
        <v>486.83</v>
      </c>
      <c r="L99">
        <v>20123.75</v>
      </c>
      <c r="M99" t="s">
        <v>4169</v>
      </c>
      <c r="N99" t="s">
        <v>6191</v>
      </c>
      <c r="O99" t="s">
        <v>5984</v>
      </c>
      <c r="P99" t="s">
        <v>5977</v>
      </c>
      <c r="Q99" t="s">
        <v>5963</v>
      </c>
      <c r="R99" t="s">
        <v>6002</v>
      </c>
    </row>
    <row r="100" spans="1:18" x14ac:dyDescent="0.25">
      <c r="A100" t="s">
        <v>6192</v>
      </c>
      <c r="B100" t="s">
        <v>5965</v>
      </c>
      <c r="C100" t="s">
        <v>5988</v>
      </c>
      <c r="D100" t="s">
        <v>744</v>
      </c>
      <c r="E100">
        <v>55</v>
      </c>
      <c r="F100" t="s">
        <v>2407</v>
      </c>
      <c r="H100" t="s">
        <v>2813</v>
      </c>
      <c r="K100">
        <v>395.38</v>
      </c>
      <c r="L100">
        <v>22021.58</v>
      </c>
      <c r="M100" t="s">
        <v>3286</v>
      </c>
      <c r="N100" t="s">
        <v>6193</v>
      </c>
      <c r="O100" t="s">
        <v>5977</v>
      </c>
      <c r="P100" t="s">
        <v>1897</v>
      </c>
      <c r="Q100" t="s">
        <v>3434</v>
      </c>
      <c r="R100" t="s">
        <v>6002</v>
      </c>
    </row>
    <row r="101" spans="1:18" x14ac:dyDescent="0.25">
      <c r="A101" t="s">
        <v>6194</v>
      </c>
      <c r="B101" t="s">
        <v>5965</v>
      </c>
      <c r="C101" t="s">
        <v>5961</v>
      </c>
      <c r="D101" t="s">
        <v>657</v>
      </c>
      <c r="E101">
        <v>31</v>
      </c>
      <c r="F101" t="s">
        <v>2376</v>
      </c>
      <c r="H101" t="s">
        <v>2933</v>
      </c>
      <c r="K101">
        <v>425.78</v>
      </c>
      <c r="L101">
        <v>7074.24</v>
      </c>
      <c r="M101" t="s">
        <v>4153</v>
      </c>
      <c r="N101" t="s">
        <v>6195</v>
      </c>
      <c r="O101" t="s">
        <v>5977</v>
      </c>
      <c r="P101" t="s">
        <v>5984</v>
      </c>
      <c r="Q101" t="s">
        <v>5968</v>
      </c>
      <c r="R101" t="s">
        <v>5979</v>
      </c>
    </row>
    <row r="102" spans="1:18" x14ac:dyDescent="0.25">
      <c r="A102" t="s">
        <v>6196</v>
      </c>
      <c r="B102" t="s">
        <v>5981</v>
      </c>
      <c r="C102" t="s">
        <v>6011</v>
      </c>
      <c r="D102" t="s">
        <v>930</v>
      </c>
      <c r="E102">
        <v>20</v>
      </c>
      <c r="F102" t="s">
        <v>2398</v>
      </c>
      <c r="H102" t="s">
        <v>3364</v>
      </c>
      <c r="J102" t="s">
        <v>3781</v>
      </c>
      <c r="K102">
        <v>187.39</v>
      </c>
      <c r="L102">
        <v>6965.37</v>
      </c>
      <c r="M102" t="s">
        <v>2303</v>
      </c>
      <c r="N102" t="s">
        <v>6197</v>
      </c>
      <c r="O102" t="s">
        <v>1897</v>
      </c>
      <c r="P102" t="s">
        <v>2447</v>
      </c>
      <c r="Q102" t="s">
        <v>5968</v>
      </c>
      <c r="R102" t="s">
        <v>4235</v>
      </c>
    </row>
    <row r="103" spans="1:18" x14ac:dyDescent="0.25">
      <c r="A103" t="s">
        <v>6198</v>
      </c>
      <c r="B103" t="s">
        <v>5965</v>
      </c>
      <c r="C103" t="s">
        <v>5961</v>
      </c>
      <c r="D103" t="s">
        <v>1096</v>
      </c>
      <c r="E103">
        <v>33</v>
      </c>
      <c r="F103" t="s">
        <v>2388</v>
      </c>
      <c r="H103" t="s">
        <v>2999</v>
      </c>
      <c r="J103" t="s">
        <v>4711</v>
      </c>
      <c r="K103">
        <v>299.10000000000002</v>
      </c>
      <c r="L103">
        <v>2719.04</v>
      </c>
      <c r="M103" t="s">
        <v>3582</v>
      </c>
      <c r="N103" t="s">
        <v>6199</v>
      </c>
      <c r="O103" t="s">
        <v>1764</v>
      </c>
      <c r="P103" t="s">
        <v>1648</v>
      </c>
      <c r="Q103" t="s">
        <v>5963</v>
      </c>
      <c r="R103" t="s">
        <v>6002</v>
      </c>
    </row>
    <row r="104" spans="1:18" x14ac:dyDescent="0.25">
      <c r="A104" t="s">
        <v>6200</v>
      </c>
      <c r="B104" t="s">
        <v>5974</v>
      </c>
      <c r="C104" t="s">
        <v>5966</v>
      </c>
      <c r="D104" t="s">
        <v>621</v>
      </c>
      <c r="E104">
        <v>96</v>
      </c>
      <c r="F104" t="s">
        <v>2425</v>
      </c>
      <c r="H104" t="s">
        <v>2970</v>
      </c>
      <c r="J104" t="s">
        <v>5175</v>
      </c>
      <c r="K104">
        <v>160.27000000000001</v>
      </c>
      <c r="L104">
        <v>11463.21</v>
      </c>
      <c r="M104" t="s">
        <v>3389</v>
      </c>
      <c r="N104" t="s">
        <v>6201</v>
      </c>
      <c r="O104" t="s">
        <v>1897</v>
      </c>
      <c r="P104" t="s">
        <v>1764</v>
      </c>
      <c r="Q104" t="s">
        <v>5963</v>
      </c>
      <c r="R104" t="s">
        <v>4235</v>
      </c>
    </row>
    <row r="105" spans="1:18" x14ac:dyDescent="0.25">
      <c r="A105" t="s">
        <v>6202</v>
      </c>
      <c r="B105" t="s">
        <v>5960</v>
      </c>
      <c r="C105" t="s">
        <v>5975</v>
      </c>
      <c r="D105" t="s">
        <v>626</v>
      </c>
      <c r="E105">
        <v>82</v>
      </c>
      <c r="F105" t="s">
        <v>2440</v>
      </c>
      <c r="G105" t="s">
        <v>2398</v>
      </c>
      <c r="H105" t="s">
        <v>2966</v>
      </c>
      <c r="I105" t="s">
        <v>3071</v>
      </c>
      <c r="K105">
        <v>98.19</v>
      </c>
      <c r="L105">
        <v>29593.25</v>
      </c>
      <c r="M105" t="s">
        <v>3798</v>
      </c>
      <c r="N105" t="s">
        <v>6203</v>
      </c>
      <c r="O105" t="s">
        <v>5984</v>
      </c>
      <c r="P105" t="s">
        <v>1897</v>
      </c>
      <c r="Q105" t="s">
        <v>3434</v>
      </c>
      <c r="R105" t="s">
        <v>4235</v>
      </c>
    </row>
    <row r="106" spans="1:18" x14ac:dyDescent="0.25">
      <c r="A106" t="s">
        <v>6204</v>
      </c>
      <c r="B106" t="s">
        <v>5981</v>
      </c>
      <c r="C106" t="s">
        <v>5988</v>
      </c>
      <c r="D106" t="s">
        <v>985</v>
      </c>
      <c r="E106">
        <v>20</v>
      </c>
      <c r="F106" t="s">
        <v>2376</v>
      </c>
      <c r="H106" t="s">
        <v>3336</v>
      </c>
      <c r="J106" t="s">
        <v>3856</v>
      </c>
      <c r="K106">
        <v>300.69</v>
      </c>
      <c r="L106">
        <v>8748.06</v>
      </c>
      <c r="M106" t="s">
        <v>3815</v>
      </c>
      <c r="N106" t="s">
        <v>6205</v>
      </c>
      <c r="O106" t="s">
        <v>5984</v>
      </c>
      <c r="P106" t="s">
        <v>5984</v>
      </c>
      <c r="Q106" t="s">
        <v>5968</v>
      </c>
    </row>
    <row r="107" spans="1:18" x14ac:dyDescent="0.25">
      <c r="A107" t="s">
        <v>6206</v>
      </c>
      <c r="B107" t="s">
        <v>6026</v>
      </c>
      <c r="C107" t="s">
        <v>5981</v>
      </c>
      <c r="D107" t="s">
        <v>300</v>
      </c>
      <c r="E107">
        <v>50</v>
      </c>
      <c r="F107" t="s">
        <v>2416</v>
      </c>
      <c r="H107" t="s">
        <v>6207</v>
      </c>
      <c r="J107" t="s">
        <v>5136</v>
      </c>
      <c r="K107">
        <v>179.86</v>
      </c>
      <c r="L107">
        <v>11397.04</v>
      </c>
      <c r="M107" t="s">
        <v>2672</v>
      </c>
      <c r="N107" t="s">
        <v>6208</v>
      </c>
      <c r="O107" t="s">
        <v>2447</v>
      </c>
      <c r="P107" t="s">
        <v>1764</v>
      </c>
      <c r="Q107" t="s">
        <v>5963</v>
      </c>
    </row>
    <row r="108" spans="1:18" x14ac:dyDescent="0.25">
      <c r="A108" t="s">
        <v>6209</v>
      </c>
      <c r="B108" t="s">
        <v>5981</v>
      </c>
      <c r="C108" t="s">
        <v>5966</v>
      </c>
      <c r="D108" t="s">
        <v>834</v>
      </c>
      <c r="E108">
        <v>90</v>
      </c>
      <c r="F108" t="s">
        <v>2456</v>
      </c>
      <c r="H108" t="s">
        <v>6210</v>
      </c>
      <c r="K108">
        <v>118.93</v>
      </c>
      <c r="L108">
        <v>31942.240000000002</v>
      </c>
      <c r="M108" t="s">
        <v>4009</v>
      </c>
      <c r="N108" t="s">
        <v>6211</v>
      </c>
      <c r="O108" t="s">
        <v>5978</v>
      </c>
      <c r="P108" t="s">
        <v>1746</v>
      </c>
      <c r="Q108" t="s">
        <v>5963</v>
      </c>
    </row>
    <row r="109" spans="1:18" x14ac:dyDescent="0.25">
      <c r="A109" t="s">
        <v>6212</v>
      </c>
      <c r="B109" t="s">
        <v>5981</v>
      </c>
      <c r="C109" t="s">
        <v>5993</v>
      </c>
      <c r="D109" t="s">
        <v>215</v>
      </c>
      <c r="E109">
        <v>55</v>
      </c>
      <c r="F109" t="s">
        <v>2398</v>
      </c>
      <c r="H109" t="s">
        <v>3154</v>
      </c>
      <c r="J109" t="s">
        <v>2522</v>
      </c>
      <c r="K109">
        <v>172.45</v>
      </c>
      <c r="L109">
        <v>13762.3</v>
      </c>
      <c r="M109" t="s">
        <v>3465</v>
      </c>
      <c r="N109" t="s">
        <v>6213</v>
      </c>
      <c r="O109" t="s">
        <v>5984</v>
      </c>
      <c r="P109" t="s">
        <v>2447</v>
      </c>
      <c r="Q109" t="s">
        <v>3434</v>
      </c>
    </row>
    <row r="110" spans="1:18" x14ac:dyDescent="0.25">
      <c r="A110" t="s">
        <v>6214</v>
      </c>
      <c r="B110" t="s">
        <v>3442</v>
      </c>
      <c r="C110" t="s">
        <v>6011</v>
      </c>
      <c r="D110" t="s">
        <v>525</v>
      </c>
      <c r="E110">
        <v>39</v>
      </c>
      <c r="F110" t="s">
        <v>2407</v>
      </c>
      <c r="G110" t="s">
        <v>2416</v>
      </c>
      <c r="H110" t="s">
        <v>2752</v>
      </c>
      <c r="I110" t="s">
        <v>6215</v>
      </c>
      <c r="J110" t="s">
        <v>3566</v>
      </c>
      <c r="K110">
        <v>477.84</v>
      </c>
      <c r="L110">
        <v>14689.97</v>
      </c>
      <c r="M110" t="s">
        <v>3863</v>
      </c>
      <c r="N110" t="s">
        <v>6216</v>
      </c>
      <c r="O110" t="s">
        <v>2447</v>
      </c>
      <c r="P110" t="s">
        <v>1764</v>
      </c>
      <c r="Q110" t="s">
        <v>3434</v>
      </c>
      <c r="R110" t="s">
        <v>4235</v>
      </c>
    </row>
    <row r="111" spans="1:18" x14ac:dyDescent="0.25">
      <c r="A111" t="s">
        <v>6217</v>
      </c>
      <c r="B111" t="s">
        <v>5970</v>
      </c>
      <c r="C111" t="s">
        <v>5971</v>
      </c>
      <c r="D111" t="s">
        <v>490</v>
      </c>
      <c r="E111">
        <v>15</v>
      </c>
      <c r="F111" t="s">
        <v>2425</v>
      </c>
      <c r="H111" t="s">
        <v>6218</v>
      </c>
      <c r="K111">
        <v>99.41</v>
      </c>
      <c r="L111">
        <v>7160.79</v>
      </c>
      <c r="M111" t="s">
        <v>3711</v>
      </c>
      <c r="N111" t="s">
        <v>6219</v>
      </c>
      <c r="O111" t="s">
        <v>1764</v>
      </c>
      <c r="P111" t="s">
        <v>1648</v>
      </c>
      <c r="Q111" t="s">
        <v>5963</v>
      </c>
      <c r="R111" t="s">
        <v>6002</v>
      </c>
    </row>
    <row r="112" spans="1:18" x14ac:dyDescent="0.25">
      <c r="A112" t="s">
        <v>6220</v>
      </c>
      <c r="B112" t="s">
        <v>3442</v>
      </c>
      <c r="C112" t="s">
        <v>6011</v>
      </c>
      <c r="D112" t="s">
        <v>410</v>
      </c>
      <c r="E112">
        <v>85</v>
      </c>
      <c r="F112" t="s">
        <v>2449</v>
      </c>
      <c r="G112" t="s">
        <v>2440</v>
      </c>
      <c r="H112" t="s">
        <v>6221</v>
      </c>
      <c r="I112" t="s">
        <v>6222</v>
      </c>
      <c r="J112" t="s">
        <v>2522</v>
      </c>
      <c r="K112">
        <v>164.55</v>
      </c>
      <c r="L112">
        <v>12789.34</v>
      </c>
      <c r="M112" t="s">
        <v>3058</v>
      </c>
      <c r="N112" t="s">
        <v>6223</v>
      </c>
      <c r="O112" t="s">
        <v>1764</v>
      </c>
      <c r="P112" t="s">
        <v>5978</v>
      </c>
      <c r="Q112" t="s">
        <v>5963</v>
      </c>
      <c r="R112" t="s">
        <v>5979</v>
      </c>
    </row>
    <row r="113" spans="1:18" x14ac:dyDescent="0.25">
      <c r="A113" t="s">
        <v>6224</v>
      </c>
      <c r="B113" t="s">
        <v>5965</v>
      </c>
      <c r="C113" t="s">
        <v>5982</v>
      </c>
      <c r="D113" t="s">
        <v>530</v>
      </c>
      <c r="E113">
        <v>84</v>
      </c>
      <c r="F113" t="s">
        <v>2407</v>
      </c>
      <c r="H113" t="s">
        <v>2685</v>
      </c>
      <c r="J113" t="s">
        <v>4573</v>
      </c>
      <c r="K113">
        <v>485.03</v>
      </c>
      <c r="L113">
        <v>17411.78</v>
      </c>
      <c r="M113" t="s">
        <v>3471</v>
      </c>
      <c r="N113" t="s">
        <v>6225</v>
      </c>
      <c r="O113" t="s">
        <v>5984</v>
      </c>
      <c r="P113" t="s">
        <v>1764</v>
      </c>
      <c r="Q113" t="s">
        <v>5968</v>
      </c>
    </row>
    <row r="114" spans="1:18" x14ac:dyDescent="0.25">
      <c r="A114" t="s">
        <v>6226</v>
      </c>
      <c r="B114" t="s">
        <v>5960</v>
      </c>
      <c r="C114" t="s">
        <v>5966</v>
      </c>
      <c r="D114" t="s">
        <v>734</v>
      </c>
      <c r="E114">
        <v>47</v>
      </c>
      <c r="F114" t="s">
        <v>2432</v>
      </c>
      <c r="G114" t="s">
        <v>2432</v>
      </c>
      <c r="H114" t="s">
        <v>3393</v>
      </c>
      <c r="I114" t="s">
        <v>2861</v>
      </c>
      <c r="J114" t="s">
        <v>4211</v>
      </c>
      <c r="K114">
        <v>157.25</v>
      </c>
      <c r="L114">
        <v>18036.18</v>
      </c>
      <c r="M114" t="s">
        <v>3815</v>
      </c>
      <c r="N114" t="s">
        <v>6227</v>
      </c>
      <c r="O114" t="s">
        <v>5978</v>
      </c>
      <c r="P114" t="s">
        <v>1764</v>
      </c>
      <c r="Q114" t="s">
        <v>5963</v>
      </c>
    </row>
    <row r="115" spans="1:18" x14ac:dyDescent="0.25">
      <c r="A115" t="s">
        <v>6228</v>
      </c>
      <c r="B115" t="s">
        <v>6026</v>
      </c>
      <c r="C115" t="s">
        <v>5981</v>
      </c>
      <c r="D115" t="s">
        <v>708</v>
      </c>
      <c r="E115">
        <v>14</v>
      </c>
      <c r="F115" t="s">
        <v>2456</v>
      </c>
      <c r="H115" t="s">
        <v>2680</v>
      </c>
      <c r="J115" t="s">
        <v>2538</v>
      </c>
      <c r="K115">
        <v>374.16</v>
      </c>
      <c r="L115">
        <v>5781.81</v>
      </c>
      <c r="M115" t="s">
        <v>3196</v>
      </c>
      <c r="N115" t="s">
        <v>6229</v>
      </c>
      <c r="O115" t="s">
        <v>5977</v>
      </c>
      <c r="P115" t="s">
        <v>5984</v>
      </c>
      <c r="Q115" t="s">
        <v>5963</v>
      </c>
      <c r="R115" t="s">
        <v>6002</v>
      </c>
    </row>
    <row r="116" spans="1:18" x14ac:dyDescent="0.25">
      <c r="A116" t="s">
        <v>6230</v>
      </c>
      <c r="B116" t="s">
        <v>3442</v>
      </c>
      <c r="C116" t="s">
        <v>5971</v>
      </c>
      <c r="D116" t="s">
        <v>117</v>
      </c>
      <c r="E116">
        <v>67</v>
      </c>
      <c r="F116" t="s">
        <v>2440</v>
      </c>
      <c r="G116" t="s">
        <v>2416</v>
      </c>
      <c r="H116" t="s">
        <v>3126</v>
      </c>
      <c r="I116" t="s">
        <v>6231</v>
      </c>
      <c r="J116" t="s">
        <v>2506</v>
      </c>
      <c r="K116">
        <v>95.35</v>
      </c>
      <c r="L116">
        <v>5696.67</v>
      </c>
      <c r="M116" t="s">
        <v>3676</v>
      </c>
      <c r="N116" t="s">
        <v>6232</v>
      </c>
      <c r="O116" t="s">
        <v>2447</v>
      </c>
      <c r="P116" t="s">
        <v>2447</v>
      </c>
      <c r="Q116" t="s">
        <v>5963</v>
      </c>
      <c r="R116" t="s">
        <v>5979</v>
      </c>
    </row>
    <row r="117" spans="1:18" x14ac:dyDescent="0.25">
      <c r="A117" t="s">
        <v>6233</v>
      </c>
      <c r="B117" t="s">
        <v>5981</v>
      </c>
      <c r="C117" t="s">
        <v>6011</v>
      </c>
      <c r="D117" t="s">
        <v>109</v>
      </c>
      <c r="E117">
        <v>50</v>
      </c>
      <c r="F117" t="s">
        <v>2456</v>
      </c>
      <c r="H117" t="s">
        <v>2876</v>
      </c>
      <c r="J117" t="s">
        <v>4037</v>
      </c>
      <c r="K117">
        <v>474.87</v>
      </c>
      <c r="L117">
        <v>9533.52</v>
      </c>
      <c r="M117" t="s">
        <v>2792</v>
      </c>
      <c r="N117" t="s">
        <v>6234</v>
      </c>
      <c r="O117" t="s">
        <v>1746</v>
      </c>
      <c r="P117" t="s">
        <v>5977</v>
      </c>
      <c r="Q117" t="s">
        <v>5963</v>
      </c>
      <c r="R117" t="s">
        <v>6002</v>
      </c>
    </row>
    <row r="118" spans="1:18" x14ac:dyDescent="0.25">
      <c r="A118" t="s">
        <v>6235</v>
      </c>
      <c r="B118" t="s">
        <v>5960</v>
      </c>
      <c r="C118" t="s">
        <v>5993</v>
      </c>
      <c r="D118" t="s">
        <v>1111</v>
      </c>
      <c r="E118">
        <v>31</v>
      </c>
      <c r="F118" t="s">
        <v>2456</v>
      </c>
      <c r="G118" t="s">
        <v>2432</v>
      </c>
      <c r="H118" t="s">
        <v>6012</v>
      </c>
      <c r="I118" t="s">
        <v>2933</v>
      </c>
      <c r="J118" t="s">
        <v>3681</v>
      </c>
      <c r="K118">
        <v>215.61</v>
      </c>
      <c r="L118">
        <v>10949.6</v>
      </c>
      <c r="M118" t="s">
        <v>3732</v>
      </c>
      <c r="N118" t="s">
        <v>6236</v>
      </c>
      <c r="O118" t="s">
        <v>1897</v>
      </c>
      <c r="P118" t="s">
        <v>2447</v>
      </c>
      <c r="Q118" t="s">
        <v>3434</v>
      </c>
    </row>
    <row r="119" spans="1:18" x14ac:dyDescent="0.25">
      <c r="A119" t="s">
        <v>6237</v>
      </c>
      <c r="B119" t="s">
        <v>5974</v>
      </c>
      <c r="C119" t="s">
        <v>5993</v>
      </c>
      <c r="D119" t="s">
        <v>258</v>
      </c>
      <c r="E119">
        <v>18</v>
      </c>
      <c r="F119" t="s">
        <v>2407</v>
      </c>
      <c r="H119" t="s">
        <v>6238</v>
      </c>
      <c r="K119">
        <v>388.98</v>
      </c>
      <c r="L119">
        <v>5857.94</v>
      </c>
      <c r="M119" t="s">
        <v>4917</v>
      </c>
      <c r="N119" t="s">
        <v>6239</v>
      </c>
      <c r="O119" t="s">
        <v>2447</v>
      </c>
      <c r="P119" t="s">
        <v>1764</v>
      </c>
      <c r="Q119" t="s">
        <v>5963</v>
      </c>
    </row>
    <row r="120" spans="1:18" x14ac:dyDescent="0.25">
      <c r="A120" t="s">
        <v>6240</v>
      </c>
      <c r="B120" t="s">
        <v>5974</v>
      </c>
      <c r="C120" t="s">
        <v>5971</v>
      </c>
      <c r="D120" t="s">
        <v>925</v>
      </c>
      <c r="E120">
        <v>40</v>
      </c>
      <c r="F120" t="s">
        <v>2432</v>
      </c>
      <c r="H120" t="s">
        <v>3359</v>
      </c>
      <c r="J120" t="s">
        <v>2561</v>
      </c>
      <c r="K120">
        <v>248.73</v>
      </c>
      <c r="L120">
        <v>16763.310000000001</v>
      </c>
      <c r="M120" t="s">
        <v>3827</v>
      </c>
      <c r="N120" t="s">
        <v>6241</v>
      </c>
      <c r="O120" t="s">
        <v>2447</v>
      </c>
      <c r="P120" t="s">
        <v>1648</v>
      </c>
      <c r="Q120" t="s">
        <v>5963</v>
      </c>
      <c r="R120" t="s">
        <v>4235</v>
      </c>
    </row>
    <row r="121" spans="1:18" x14ac:dyDescent="0.25">
      <c r="A121" t="s">
        <v>6242</v>
      </c>
      <c r="B121" t="s">
        <v>6026</v>
      </c>
      <c r="C121" t="s">
        <v>5971</v>
      </c>
      <c r="D121" t="s">
        <v>693</v>
      </c>
      <c r="E121">
        <v>87</v>
      </c>
      <c r="F121" t="s">
        <v>2425</v>
      </c>
      <c r="H121" t="s">
        <v>2705</v>
      </c>
      <c r="K121">
        <v>281.14999999999998</v>
      </c>
      <c r="L121">
        <v>42494.21</v>
      </c>
      <c r="M121" t="s">
        <v>3678</v>
      </c>
      <c r="N121" t="s">
        <v>6243</v>
      </c>
      <c r="O121" t="s">
        <v>1897</v>
      </c>
      <c r="P121" t="s">
        <v>1648</v>
      </c>
      <c r="Q121" t="s">
        <v>3434</v>
      </c>
      <c r="R121" t="s">
        <v>6002</v>
      </c>
    </row>
    <row r="122" spans="1:18" x14ac:dyDescent="0.25">
      <c r="A122" t="s">
        <v>6244</v>
      </c>
      <c r="B122" t="s">
        <v>3442</v>
      </c>
      <c r="C122" t="s">
        <v>5975</v>
      </c>
      <c r="D122" t="s">
        <v>1021</v>
      </c>
      <c r="E122">
        <v>100</v>
      </c>
      <c r="F122" t="s">
        <v>2449</v>
      </c>
      <c r="G122" t="s">
        <v>2449</v>
      </c>
      <c r="H122" t="s">
        <v>3094</v>
      </c>
      <c r="I122" t="s">
        <v>3373</v>
      </c>
      <c r="J122" t="s">
        <v>3594</v>
      </c>
      <c r="K122">
        <v>408.54</v>
      </c>
      <c r="L122">
        <v>12481.11</v>
      </c>
      <c r="M122" t="s">
        <v>3650</v>
      </c>
      <c r="N122" t="s">
        <v>6245</v>
      </c>
      <c r="O122" t="s">
        <v>1746</v>
      </c>
      <c r="P122" t="s">
        <v>5984</v>
      </c>
      <c r="Q122" t="s">
        <v>5963</v>
      </c>
      <c r="R122" t="s">
        <v>5979</v>
      </c>
    </row>
    <row r="123" spans="1:18" x14ac:dyDescent="0.25">
      <c r="A123" t="s">
        <v>6246</v>
      </c>
      <c r="B123" t="s">
        <v>6026</v>
      </c>
      <c r="C123" t="s">
        <v>5993</v>
      </c>
      <c r="D123" t="s">
        <v>228</v>
      </c>
      <c r="E123">
        <v>75</v>
      </c>
      <c r="F123" t="s">
        <v>2456</v>
      </c>
      <c r="H123" t="s">
        <v>3225</v>
      </c>
      <c r="J123" t="s">
        <v>4937</v>
      </c>
      <c r="K123">
        <v>253.18</v>
      </c>
      <c r="L123">
        <v>12663.58</v>
      </c>
      <c r="M123" t="s">
        <v>3479</v>
      </c>
      <c r="N123" t="s">
        <v>6247</v>
      </c>
      <c r="O123" t="s">
        <v>5984</v>
      </c>
      <c r="P123" t="s">
        <v>1648</v>
      </c>
      <c r="Q123" t="s">
        <v>5963</v>
      </c>
    </row>
    <row r="124" spans="1:18" x14ac:dyDescent="0.25">
      <c r="A124" t="s">
        <v>6248</v>
      </c>
      <c r="B124" t="s">
        <v>5981</v>
      </c>
      <c r="C124" t="s">
        <v>5966</v>
      </c>
      <c r="D124" t="s">
        <v>515</v>
      </c>
      <c r="E124">
        <v>36</v>
      </c>
      <c r="F124" t="s">
        <v>2388</v>
      </c>
      <c r="H124" t="s">
        <v>2963</v>
      </c>
      <c r="J124" t="s">
        <v>5916</v>
      </c>
      <c r="K124">
        <v>88.4</v>
      </c>
      <c r="L124">
        <v>7989.15</v>
      </c>
      <c r="M124" t="s">
        <v>3232</v>
      </c>
      <c r="N124" t="s">
        <v>6249</v>
      </c>
      <c r="O124" t="s">
        <v>2447</v>
      </c>
      <c r="P124" t="s">
        <v>5984</v>
      </c>
      <c r="Q124" t="s">
        <v>5963</v>
      </c>
    </row>
    <row r="125" spans="1:18" x14ac:dyDescent="0.25">
      <c r="A125" t="s">
        <v>6250</v>
      </c>
      <c r="B125" t="s">
        <v>5970</v>
      </c>
      <c r="C125" t="s">
        <v>5993</v>
      </c>
      <c r="D125" t="s">
        <v>819</v>
      </c>
      <c r="E125">
        <v>83</v>
      </c>
      <c r="F125" t="s">
        <v>2388</v>
      </c>
      <c r="H125" t="s">
        <v>3130</v>
      </c>
      <c r="J125" t="s">
        <v>5204</v>
      </c>
      <c r="K125">
        <v>401.15</v>
      </c>
      <c r="L125">
        <v>24209.11</v>
      </c>
      <c r="M125" t="s">
        <v>3731</v>
      </c>
      <c r="N125" t="s">
        <v>6251</v>
      </c>
      <c r="O125" t="s">
        <v>5977</v>
      </c>
      <c r="P125" t="s">
        <v>5978</v>
      </c>
      <c r="Q125" t="s">
        <v>3434</v>
      </c>
      <c r="R125" t="s">
        <v>4235</v>
      </c>
    </row>
    <row r="126" spans="1:18" x14ac:dyDescent="0.25">
      <c r="A126" t="s">
        <v>6252</v>
      </c>
      <c r="B126" t="s">
        <v>5970</v>
      </c>
      <c r="C126" t="s">
        <v>6011</v>
      </c>
      <c r="D126" t="s">
        <v>311</v>
      </c>
      <c r="E126">
        <v>4</v>
      </c>
      <c r="F126" t="s">
        <v>2449</v>
      </c>
      <c r="H126" t="s">
        <v>2630</v>
      </c>
      <c r="K126">
        <v>454.73</v>
      </c>
      <c r="L126">
        <v>400.33</v>
      </c>
      <c r="M126" t="s">
        <v>3244</v>
      </c>
      <c r="N126" t="s">
        <v>6253</v>
      </c>
      <c r="O126" t="s">
        <v>1648</v>
      </c>
      <c r="P126" t="s">
        <v>1897</v>
      </c>
      <c r="Q126" t="s">
        <v>5963</v>
      </c>
    </row>
    <row r="127" spans="1:18" x14ac:dyDescent="0.25">
      <c r="A127" t="s">
        <v>6254</v>
      </c>
      <c r="B127" t="s">
        <v>6026</v>
      </c>
      <c r="C127" t="s">
        <v>5981</v>
      </c>
      <c r="D127" t="s">
        <v>764</v>
      </c>
      <c r="E127">
        <v>62</v>
      </c>
      <c r="F127" t="s">
        <v>2416</v>
      </c>
      <c r="H127" t="s">
        <v>6215</v>
      </c>
      <c r="K127">
        <v>496.12</v>
      </c>
      <c r="L127">
        <v>21553.07</v>
      </c>
      <c r="M127" t="s">
        <v>3847</v>
      </c>
      <c r="N127" t="s">
        <v>6255</v>
      </c>
      <c r="O127" t="s">
        <v>1648</v>
      </c>
      <c r="P127" t="s">
        <v>1764</v>
      </c>
      <c r="Q127" t="s">
        <v>3434</v>
      </c>
    </row>
    <row r="128" spans="1:18" x14ac:dyDescent="0.25">
      <c r="A128" t="s">
        <v>6256</v>
      </c>
      <c r="B128" t="s">
        <v>5981</v>
      </c>
      <c r="C128" t="s">
        <v>5982</v>
      </c>
      <c r="D128" t="s">
        <v>885</v>
      </c>
      <c r="E128">
        <v>48</v>
      </c>
      <c r="F128" t="s">
        <v>2432</v>
      </c>
      <c r="H128" t="s">
        <v>3110</v>
      </c>
      <c r="K128">
        <v>274.54000000000002</v>
      </c>
      <c r="L128">
        <v>3302.81</v>
      </c>
      <c r="M128" t="s">
        <v>4742</v>
      </c>
      <c r="N128" t="s">
        <v>6257</v>
      </c>
      <c r="O128" t="s">
        <v>1897</v>
      </c>
      <c r="P128" t="s">
        <v>2447</v>
      </c>
      <c r="Q128" t="s">
        <v>5963</v>
      </c>
    </row>
    <row r="129" spans="1:18" x14ac:dyDescent="0.25">
      <c r="A129" t="s">
        <v>6258</v>
      </c>
      <c r="B129" t="s">
        <v>5965</v>
      </c>
      <c r="C129" t="s">
        <v>5961</v>
      </c>
      <c r="D129" t="s">
        <v>606</v>
      </c>
      <c r="E129">
        <v>74</v>
      </c>
      <c r="F129" t="s">
        <v>2407</v>
      </c>
      <c r="H129" t="s">
        <v>2670</v>
      </c>
      <c r="J129" t="s">
        <v>2522</v>
      </c>
      <c r="K129">
        <v>165.52</v>
      </c>
      <c r="L129">
        <v>17999.009999999998</v>
      </c>
      <c r="M129" t="s">
        <v>2964</v>
      </c>
      <c r="N129" t="s">
        <v>6259</v>
      </c>
      <c r="O129" t="s">
        <v>5977</v>
      </c>
      <c r="P129" t="s">
        <v>1897</v>
      </c>
      <c r="Q129" t="s">
        <v>5963</v>
      </c>
    </row>
    <row r="130" spans="1:18" x14ac:dyDescent="0.25">
      <c r="A130" t="s">
        <v>6260</v>
      </c>
      <c r="B130" t="s">
        <v>5981</v>
      </c>
      <c r="C130" t="s">
        <v>5961</v>
      </c>
      <c r="D130" t="s">
        <v>990</v>
      </c>
      <c r="E130">
        <v>97</v>
      </c>
      <c r="F130" t="s">
        <v>2432</v>
      </c>
      <c r="H130" t="s">
        <v>3179</v>
      </c>
      <c r="J130" t="s">
        <v>2564</v>
      </c>
      <c r="K130">
        <v>340.33</v>
      </c>
      <c r="L130">
        <v>14866.28</v>
      </c>
      <c r="M130" t="s">
        <v>3854</v>
      </c>
      <c r="N130" t="s">
        <v>6261</v>
      </c>
      <c r="O130" t="s">
        <v>5977</v>
      </c>
      <c r="P130" t="s">
        <v>1764</v>
      </c>
      <c r="Q130" t="s">
        <v>5963</v>
      </c>
    </row>
    <row r="131" spans="1:18" x14ac:dyDescent="0.25">
      <c r="A131" t="s">
        <v>6262</v>
      </c>
      <c r="B131" t="s">
        <v>5965</v>
      </c>
      <c r="C131" t="s">
        <v>5993</v>
      </c>
      <c r="D131" t="s">
        <v>165</v>
      </c>
      <c r="E131">
        <v>95</v>
      </c>
      <c r="F131" t="s">
        <v>2456</v>
      </c>
      <c r="H131" t="s">
        <v>6067</v>
      </c>
      <c r="J131" t="s">
        <v>2495</v>
      </c>
      <c r="K131">
        <v>259.05</v>
      </c>
      <c r="L131">
        <v>5210.62</v>
      </c>
      <c r="M131" t="s">
        <v>3294</v>
      </c>
      <c r="N131" t="s">
        <v>6263</v>
      </c>
      <c r="O131" t="s">
        <v>5984</v>
      </c>
      <c r="P131" t="s">
        <v>1648</v>
      </c>
      <c r="Q131" t="s">
        <v>5963</v>
      </c>
      <c r="R131" t="s">
        <v>6002</v>
      </c>
    </row>
    <row r="132" spans="1:18" x14ac:dyDescent="0.25">
      <c r="A132" t="s">
        <v>6264</v>
      </c>
      <c r="B132" t="s">
        <v>5970</v>
      </c>
      <c r="C132" t="s">
        <v>5975</v>
      </c>
      <c r="D132" t="s">
        <v>930</v>
      </c>
      <c r="E132">
        <v>51</v>
      </c>
      <c r="F132" t="s">
        <v>2425</v>
      </c>
      <c r="H132" t="s">
        <v>2670</v>
      </c>
      <c r="K132">
        <v>240.55</v>
      </c>
      <c r="L132">
        <v>19417.57</v>
      </c>
      <c r="M132" t="s">
        <v>4901</v>
      </c>
      <c r="N132" t="s">
        <v>6265</v>
      </c>
      <c r="O132" t="s">
        <v>1764</v>
      </c>
      <c r="P132" t="s">
        <v>5984</v>
      </c>
      <c r="Q132" t="s">
        <v>5963</v>
      </c>
      <c r="R132" t="s">
        <v>6002</v>
      </c>
    </row>
    <row r="133" spans="1:18" x14ac:dyDescent="0.25">
      <c r="A133" t="s">
        <v>6266</v>
      </c>
      <c r="B133" t="s">
        <v>6026</v>
      </c>
      <c r="C133" t="s">
        <v>5971</v>
      </c>
      <c r="D133" t="s">
        <v>279</v>
      </c>
      <c r="E133">
        <v>78</v>
      </c>
      <c r="F133" t="s">
        <v>2425</v>
      </c>
      <c r="H133" t="s">
        <v>3154</v>
      </c>
      <c r="K133">
        <v>51.92</v>
      </c>
      <c r="L133">
        <v>16609.28</v>
      </c>
      <c r="M133" t="s">
        <v>2415</v>
      </c>
      <c r="N133" t="s">
        <v>6267</v>
      </c>
      <c r="O133" t="s">
        <v>5984</v>
      </c>
      <c r="P133" t="s">
        <v>5977</v>
      </c>
      <c r="Q133" t="s">
        <v>3434</v>
      </c>
    </row>
    <row r="134" spans="1:18" x14ac:dyDescent="0.25">
      <c r="A134" t="s">
        <v>6268</v>
      </c>
      <c r="B134" t="s">
        <v>3442</v>
      </c>
      <c r="C134" t="s">
        <v>5971</v>
      </c>
      <c r="D134" t="s">
        <v>426</v>
      </c>
      <c r="E134">
        <v>49</v>
      </c>
      <c r="F134" t="s">
        <v>2425</v>
      </c>
      <c r="G134" t="s">
        <v>2388</v>
      </c>
      <c r="H134" t="s">
        <v>6147</v>
      </c>
      <c r="I134" t="s">
        <v>3173</v>
      </c>
      <c r="J134" t="s">
        <v>3502</v>
      </c>
      <c r="K134">
        <v>459.9</v>
      </c>
      <c r="L134">
        <v>7842.18</v>
      </c>
      <c r="M134" t="s">
        <v>5025</v>
      </c>
      <c r="N134" t="s">
        <v>6269</v>
      </c>
      <c r="O134" t="s">
        <v>5984</v>
      </c>
      <c r="P134" t="s">
        <v>1764</v>
      </c>
      <c r="Q134" t="s">
        <v>5968</v>
      </c>
      <c r="R134" t="s">
        <v>6002</v>
      </c>
    </row>
    <row r="135" spans="1:18" x14ac:dyDescent="0.25">
      <c r="A135" t="s">
        <v>6270</v>
      </c>
      <c r="B135" t="s">
        <v>6026</v>
      </c>
      <c r="C135" t="s">
        <v>5982</v>
      </c>
      <c r="D135" t="s">
        <v>384</v>
      </c>
      <c r="E135">
        <v>44</v>
      </c>
      <c r="F135" t="s">
        <v>2388</v>
      </c>
      <c r="H135" t="s">
        <v>6215</v>
      </c>
      <c r="K135">
        <v>136.51</v>
      </c>
      <c r="L135">
        <v>9038.91</v>
      </c>
      <c r="M135" t="s">
        <v>3868</v>
      </c>
      <c r="N135" t="s">
        <v>6271</v>
      </c>
      <c r="O135" t="s">
        <v>2447</v>
      </c>
      <c r="P135" t="s">
        <v>5978</v>
      </c>
      <c r="Q135" t="s">
        <v>5963</v>
      </c>
    </row>
    <row r="136" spans="1:18" x14ac:dyDescent="0.25">
      <c r="A136" t="s">
        <v>6272</v>
      </c>
      <c r="B136" t="s">
        <v>3442</v>
      </c>
      <c r="C136" t="s">
        <v>5988</v>
      </c>
      <c r="D136" t="s">
        <v>1005</v>
      </c>
      <c r="E136">
        <v>49</v>
      </c>
      <c r="F136" t="s">
        <v>2388</v>
      </c>
      <c r="G136" t="s">
        <v>2432</v>
      </c>
      <c r="H136" t="s">
        <v>2689</v>
      </c>
      <c r="I136" t="s">
        <v>6031</v>
      </c>
      <c r="J136" t="s">
        <v>4073</v>
      </c>
      <c r="K136">
        <v>251.7</v>
      </c>
      <c r="L136">
        <v>14767.47</v>
      </c>
      <c r="M136" t="s">
        <v>2369</v>
      </c>
      <c r="N136" t="s">
        <v>6273</v>
      </c>
      <c r="O136" t="s">
        <v>1764</v>
      </c>
      <c r="P136" t="s">
        <v>1897</v>
      </c>
      <c r="Q136" t="s">
        <v>3434</v>
      </c>
      <c r="R136" t="s">
        <v>5979</v>
      </c>
    </row>
    <row r="137" spans="1:18" x14ac:dyDescent="0.25">
      <c r="A137" t="s">
        <v>6274</v>
      </c>
      <c r="B137" t="s">
        <v>5960</v>
      </c>
      <c r="C137" t="s">
        <v>5961</v>
      </c>
      <c r="D137" t="s">
        <v>965</v>
      </c>
      <c r="E137">
        <v>56</v>
      </c>
      <c r="F137" t="s">
        <v>2432</v>
      </c>
      <c r="G137" t="s">
        <v>2416</v>
      </c>
      <c r="H137" t="s">
        <v>2719</v>
      </c>
      <c r="I137" t="s">
        <v>3267</v>
      </c>
      <c r="J137" t="s">
        <v>4166</v>
      </c>
      <c r="K137">
        <v>429.24</v>
      </c>
      <c r="L137">
        <v>18904.13</v>
      </c>
      <c r="M137" t="s">
        <v>2750</v>
      </c>
      <c r="N137" t="s">
        <v>6275</v>
      </c>
      <c r="O137" t="s">
        <v>2447</v>
      </c>
      <c r="P137" t="s">
        <v>1648</v>
      </c>
      <c r="Q137" t="s">
        <v>5963</v>
      </c>
    </row>
    <row r="138" spans="1:18" x14ac:dyDescent="0.25">
      <c r="A138" t="s">
        <v>6276</v>
      </c>
      <c r="B138" t="s">
        <v>3442</v>
      </c>
      <c r="C138" t="s">
        <v>5982</v>
      </c>
      <c r="D138" t="s">
        <v>855</v>
      </c>
      <c r="E138">
        <v>54</v>
      </c>
      <c r="F138" t="s">
        <v>2425</v>
      </c>
      <c r="G138" t="s">
        <v>2440</v>
      </c>
      <c r="H138" t="s">
        <v>6162</v>
      </c>
      <c r="I138" t="s">
        <v>3326</v>
      </c>
      <c r="K138">
        <v>313.99</v>
      </c>
      <c r="L138">
        <v>19732.099999999999</v>
      </c>
      <c r="M138" t="s">
        <v>3751</v>
      </c>
      <c r="N138" t="s">
        <v>6277</v>
      </c>
      <c r="O138" t="s">
        <v>1648</v>
      </c>
      <c r="P138" t="s">
        <v>5977</v>
      </c>
      <c r="Q138" t="s">
        <v>5968</v>
      </c>
    </row>
    <row r="139" spans="1:18" x14ac:dyDescent="0.25">
      <c r="A139" t="s">
        <v>6278</v>
      </c>
      <c r="B139" t="s">
        <v>3442</v>
      </c>
      <c r="C139" t="s">
        <v>6011</v>
      </c>
      <c r="D139" t="s">
        <v>606</v>
      </c>
      <c r="E139">
        <v>3</v>
      </c>
      <c r="F139" t="s">
        <v>2398</v>
      </c>
      <c r="G139" t="s">
        <v>2440</v>
      </c>
      <c r="H139" t="s">
        <v>2903</v>
      </c>
      <c r="I139" t="s">
        <v>3267</v>
      </c>
      <c r="J139" t="s">
        <v>2538</v>
      </c>
      <c r="K139">
        <v>424.38</v>
      </c>
      <c r="L139">
        <v>292</v>
      </c>
      <c r="M139" t="s">
        <v>3082</v>
      </c>
      <c r="N139" t="s">
        <v>6279</v>
      </c>
      <c r="O139" t="s">
        <v>1764</v>
      </c>
      <c r="P139" t="s">
        <v>1897</v>
      </c>
      <c r="Q139" t="s">
        <v>5963</v>
      </c>
      <c r="R139" t="s">
        <v>5979</v>
      </c>
    </row>
    <row r="140" spans="1:18" x14ac:dyDescent="0.25">
      <c r="A140" t="s">
        <v>6280</v>
      </c>
      <c r="B140" t="s">
        <v>3442</v>
      </c>
      <c r="C140" t="s">
        <v>5988</v>
      </c>
      <c r="D140" t="s">
        <v>479</v>
      </c>
      <c r="E140">
        <v>87</v>
      </c>
      <c r="F140" t="s">
        <v>2432</v>
      </c>
      <c r="G140" t="s">
        <v>2425</v>
      </c>
      <c r="H140" t="s">
        <v>2779</v>
      </c>
      <c r="I140" t="s">
        <v>2779</v>
      </c>
      <c r="J140" t="s">
        <v>3646</v>
      </c>
      <c r="K140">
        <v>183.22</v>
      </c>
      <c r="L140">
        <v>17576.96</v>
      </c>
      <c r="M140" t="s">
        <v>3483</v>
      </c>
      <c r="N140" t="s">
        <v>6281</v>
      </c>
      <c r="O140" t="s">
        <v>1648</v>
      </c>
      <c r="P140" t="s">
        <v>2447</v>
      </c>
      <c r="Q140" t="s">
        <v>5968</v>
      </c>
      <c r="R140" t="s">
        <v>6002</v>
      </c>
    </row>
    <row r="141" spans="1:18" x14ac:dyDescent="0.25">
      <c r="A141" t="s">
        <v>6282</v>
      </c>
      <c r="B141" t="s">
        <v>3442</v>
      </c>
      <c r="C141" t="s">
        <v>5988</v>
      </c>
      <c r="D141" t="s">
        <v>990</v>
      </c>
      <c r="E141">
        <v>49</v>
      </c>
      <c r="F141" t="s">
        <v>2432</v>
      </c>
      <c r="G141" t="s">
        <v>2376</v>
      </c>
      <c r="H141" t="s">
        <v>2955</v>
      </c>
      <c r="I141" t="s">
        <v>3255</v>
      </c>
      <c r="J141" t="s">
        <v>3526</v>
      </c>
      <c r="K141">
        <v>469.17</v>
      </c>
      <c r="L141">
        <v>19688.419999999998</v>
      </c>
      <c r="M141" t="s">
        <v>4398</v>
      </c>
      <c r="N141" t="s">
        <v>6283</v>
      </c>
      <c r="O141" t="s">
        <v>1764</v>
      </c>
      <c r="P141" t="s">
        <v>1764</v>
      </c>
      <c r="Q141" t="s">
        <v>3434</v>
      </c>
      <c r="R141" t="s">
        <v>5979</v>
      </c>
    </row>
    <row r="142" spans="1:18" x14ac:dyDescent="0.25">
      <c r="A142" t="s">
        <v>6284</v>
      </c>
      <c r="B142" t="s">
        <v>5965</v>
      </c>
      <c r="C142" t="s">
        <v>5971</v>
      </c>
      <c r="D142" t="s">
        <v>586</v>
      </c>
      <c r="E142">
        <v>60</v>
      </c>
      <c r="F142" t="s">
        <v>2456</v>
      </c>
      <c r="H142" t="s">
        <v>3150</v>
      </c>
      <c r="J142" t="s">
        <v>2538</v>
      </c>
      <c r="K142">
        <v>315.17</v>
      </c>
      <c r="L142">
        <v>26742.23</v>
      </c>
      <c r="M142" t="s">
        <v>3555</v>
      </c>
      <c r="N142" t="s">
        <v>6285</v>
      </c>
      <c r="O142" t="s">
        <v>5977</v>
      </c>
      <c r="P142" t="s">
        <v>2447</v>
      </c>
      <c r="Q142" t="s">
        <v>3434</v>
      </c>
    </row>
    <row r="143" spans="1:18" x14ac:dyDescent="0.25">
      <c r="A143" t="s">
        <v>6286</v>
      </c>
      <c r="B143" t="s">
        <v>3442</v>
      </c>
      <c r="C143" t="s">
        <v>5981</v>
      </c>
      <c r="D143" t="s">
        <v>253</v>
      </c>
      <c r="E143">
        <v>17</v>
      </c>
      <c r="F143" t="s">
        <v>2398</v>
      </c>
      <c r="G143" t="s">
        <v>2398</v>
      </c>
      <c r="H143" t="s">
        <v>3303</v>
      </c>
      <c r="I143" t="s">
        <v>2907</v>
      </c>
      <c r="J143" t="s">
        <v>3687</v>
      </c>
      <c r="K143">
        <v>357.98</v>
      </c>
      <c r="L143">
        <v>6788.82</v>
      </c>
      <c r="M143" t="s">
        <v>3663</v>
      </c>
      <c r="N143" t="s">
        <v>6287</v>
      </c>
      <c r="O143" t="s">
        <v>1648</v>
      </c>
      <c r="P143" t="s">
        <v>1648</v>
      </c>
      <c r="Q143" t="s">
        <v>5963</v>
      </c>
    </row>
    <row r="144" spans="1:18" x14ac:dyDescent="0.25">
      <c r="A144" t="s">
        <v>6288</v>
      </c>
      <c r="B144" t="s">
        <v>5974</v>
      </c>
      <c r="C144" t="s">
        <v>5961</v>
      </c>
      <c r="D144" t="s">
        <v>77</v>
      </c>
      <c r="E144">
        <v>52</v>
      </c>
      <c r="F144" t="s">
        <v>2432</v>
      </c>
      <c r="H144" t="s">
        <v>3211</v>
      </c>
      <c r="J144" t="s">
        <v>4236</v>
      </c>
      <c r="K144">
        <v>344.46</v>
      </c>
      <c r="L144">
        <v>7063.06</v>
      </c>
      <c r="M144" t="s">
        <v>3497</v>
      </c>
      <c r="N144" t="s">
        <v>6289</v>
      </c>
      <c r="O144" t="s">
        <v>1897</v>
      </c>
      <c r="P144" t="s">
        <v>5984</v>
      </c>
      <c r="Q144" t="s">
        <v>5963</v>
      </c>
      <c r="R144" t="s">
        <v>6002</v>
      </c>
    </row>
    <row r="145" spans="1:18" x14ac:dyDescent="0.25">
      <c r="A145" t="s">
        <v>6290</v>
      </c>
      <c r="B145" t="s">
        <v>3442</v>
      </c>
      <c r="C145" t="s">
        <v>5988</v>
      </c>
      <c r="D145" t="s">
        <v>203</v>
      </c>
      <c r="E145">
        <v>18</v>
      </c>
      <c r="F145" t="s">
        <v>2407</v>
      </c>
      <c r="G145" t="s">
        <v>2440</v>
      </c>
      <c r="H145" t="s">
        <v>2694</v>
      </c>
      <c r="I145" t="s">
        <v>6291</v>
      </c>
      <c r="J145" t="s">
        <v>5425</v>
      </c>
      <c r="K145">
        <v>179.27</v>
      </c>
      <c r="L145">
        <v>4778.8999999999996</v>
      </c>
      <c r="M145" t="s">
        <v>3543</v>
      </c>
      <c r="N145" t="s">
        <v>6292</v>
      </c>
      <c r="O145" t="s">
        <v>5977</v>
      </c>
      <c r="P145" t="s">
        <v>2447</v>
      </c>
      <c r="Q145" t="s">
        <v>5963</v>
      </c>
    </row>
    <row r="146" spans="1:18" x14ac:dyDescent="0.25">
      <c r="A146" t="s">
        <v>6293</v>
      </c>
      <c r="B146" t="s">
        <v>3442</v>
      </c>
      <c r="C146" t="s">
        <v>5993</v>
      </c>
      <c r="D146" t="s">
        <v>555</v>
      </c>
      <c r="E146">
        <v>40</v>
      </c>
      <c r="F146" t="s">
        <v>2376</v>
      </c>
      <c r="G146" t="s">
        <v>2425</v>
      </c>
      <c r="H146" t="s">
        <v>3130</v>
      </c>
      <c r="I146" t="s">
        <v>2666</v>
      </c>
      <c r="K146">
        <v>265.85000000000002</v>
      </c>
      <c r="L146">
        <v>17473.52</v>
      </c>
      <c r="M146" t="s">
        <v>2286</v>
      </c>
      <c r="N146" t="s">
        <v>6294</v>
      </c>
      <c r="O146" t="s">
        <v>1764</v>
      </c>
      <c r="P146" t="s">
        <v>1897</v>
      </c>
      <c r="Q146" t="s">
        <v>5963</v>
      </c>
      <c r="R146" t="s">
        <v>4235</v>
      </c>
    </row>
    <row r="147" spans="1:18" x14ac:dyDescent="0.25">
      <c r="A147" t="s">
        <v>6295</v>
      </c>
      <c r="B147" t="s">
        <v>5970</v>
      </c>
      <c r="C147" t="s">
        <v>5975</v>
      </c>
      <c r="D147" t="s">
        <v>117</v>
      </c>
      <c r="E147">
        <v>30</v>
      </c>
      <c r="F147" t="s">
        <v>2398</v>
      </c>
      <c r="H147" t="s">
        <v>3140</v>
      </c>
      <c r="K147">
        <v>329.64</v>
      </c>
      <c r="L147">
        <v>11180.6</v>
      </c>
      <c r="M147" t="s">
        <v>4153</v>
      </c>
      <c r="N147" t="s">
        <v>6296</v>
      </c>
      <c r="O147" t="s">
        <v>1897</v>
      </c>
      <c r="P147" t="s">
        <v>1648</v>
      </c>
      <c r="Q147" t="s">
        <v>5968</v>
      </c>
      <c r="R147" t="s">
        <v>6002</v>
      </c>
    </row>
    <row r="148" spans="1:18" x14ac:dyDescent="0.25">
      <c r="A148" t="s">
        <v>6297</v>
      </c>
      <c r="B148" t="s">
        <v>5981</v>
      </c>
      <c r="C148" t="s">
        <v>5993</v>
      </c>
      <c r="D148" t="s">
        <v>264</v>
      </c>
      <c r="E148">
        <v>70</v>
      </c>
      <c r="F148" t="s">
        <v>2440</v>
      </c>
      <c r="H148" t="s">
        <v>3364</v>
      </c>
      <c r="K148">
        <v>163.22</v>
      </c>
      <c r="L148">
        <v>8461.42</v>
      </c>
      <c r="M148" t="s">
        <v>2915</v>
      </c>
      <c r="N148" t="s">
        <v>6298</v>
      </c>
      <c r="O148" t="s">
        <v>1897</v>
      </c>
      <c r="P148" t="s">
        <v>1746</v>
      </c>
      <c r="Q148" t="s">
        <v>5968</v>
      </c>
    </row>
    <row r="149" spans="1:18" x14ac:dyDescent="0.25">
      <c r="A149" t="s">
        <v>6299</v>
      </c>
      <c r="B149" t="s">
        <v>5974</v>
      </c>
      <c r="C149" t="s">
        <v>6011</v>
      </c>
      <c r="D149" t="s">
        <v>965</v>
      </c>
      <c r="E149">
        <v>74</v>
      </c>
      <c r="F149" t="s">
        <v>2416</v>
      </c>
      <c r="H149" t="s">
        <v>2856</v>
      </c>
      <c r="J149" t="s">
        <v>3438</v>
      </c>
      <c r="K149">
        <v>293.86</v>
      </c>
      <c r="L149">
        <v>20568.400000000001</v>
      </c>
      <c r="M149" t="s">
        <v>3831</v>
      </c>
      <c r="N149" t="s">
        <v>6300</v>
      </c>
      <c r="O149" t="s">
        <v>5984</v>
      </c>
      <c r="P149" t="s">
        <v>5977</v>
      </c>
      <c r="Q149" t="s">
        <v>5963</v>
      </c>
    </row>
    <row r="150" spans="1:18" x14ac:dyDescent="0.25">
      <c r="A150" t="s">
        <v>6301</v>
      </c>
      <c r="B150" t="s">
        <v>5965</v>
      </c>
      <c r="C150" t="s">
        <v>5966</v>
      </c>
      <c r="D150" t="s">
        <v>734</v>
      </c>
      <c r="E150">
        <v>40</v>
      </c>
      <c r="F150" t="s">
        <v>2398</v>
      </c>
      <c r="H150" t="s">
        <v>3393</v>
      </c>
      <c r="K150">
        <v>87.02</v>
      </c>
      <c r="L150">
        <v>17974.05</v>
      </c>
      <c r="M150" t="s">
        <v>2824</v>
      </c>
      <c r="N150" t="s">
        <v>6302</v>
      </c>
      <c r="O150" t="s">
        <v>5978</v>
      </c>
      <c r="P150" t="s">
        <v>5977</v>
      </c>
      <c r="Q150" t="s">
        <v>3434</v>
      </c>
    </row>
    <row r="151" spans="1:18" x14ac:dyDescent="0.25">
      <c r="A151" t="s">
        <v>6303</v>
      </c>
      <c r="B151" t="s">
        <v>5965</v>
      </c>
      <c r="C151" t="s">
        <v>5966</v>
      </c>
      <c r="D151" t="s">
        <v>749</v>
      </c>
      <c r="E151">
        <v>80</v>
      </c>
      <c r="F151" t="s">
        <v>2376</v>
      </c>
      <c r="H151" t="s">
        <v>3027</v>
      </c>
      <c r="J151" t="s">
        <v>4539</v>
      </c>
      <c r="K151">
        <v>342.61</v>
      </c>
      <c r="L151">
        <v>4644.63</v>
      </c>
      <c r="M151" t="s">
        <v>3821</v>
      </c>
      <c r="N151" t="s">
        <v>6304</v>
      </c>
      <c r="O151" t="s">
        <v>1897</v>
      </c>
      <c r="P151" t="s">
        <v>1764</v>
      </c>
      <c r="Q151" t="s">
        <v>5963</v>
      </c>
    </row>
    <row r="152" spans="1:18" x14ac:dyDescent="0.25">
      <c r="A152" t="s">
        <v>6305</v>
      </c>
      <c r="B152" t="s">
        <v>5970</v>
      </c>
      <c r="C152" t="s">
        <v>5981</v>
      </c>
      <c r="D152" t="s">
        <v>139</v>
      </c>
      <c r="E152">
        <v>30</v>
      </c>
      <c r="F152" t="s">
        <v>2376</v>
      </c>
      <c r="H152" t="s">
        <v>2591</v>
      </c>
      <c r="J152" t="s">
        <v>4204</v>
      </c>
      <c r="K152">
        <v>140.75</v>
      </c>
      <c r="L152">
        <v>9233.68</v>
      </c>
      <c r="M152" t="s">
        <v>3678</v>
      </c>
      <c r="N152" t="s">
        <v>6306</v>
      </c>
      <c r="O152" t="s">
        <v>1746</v>
      </c>
      <c r="P152" t="s">
        <v>1648</v>
      </c>
      <c r="Q152" t="s">
        <v>5968</v>
      </c>
    </row>
    <row r="153" spans="1:18" x14ac:dyDescent="0.25">
      <c r="A153" t="s">
        <v>6307</v>
      </c>
      <c r="B153" t="s">
        <v>5974</v>
      </c>
      <c r="C153" t="s">
        <v>5961</v>
      </c>
      <c r="D153" t="s">
        <v>794</v>
      </c>
      <c r="E153">
        <v>91</v>
      </c>
      <c r="F153" t="s">
        <v>2432</v>
      </c>
      <c r="H153" t="s">
        <v>6118</v>
      </c>
      <c r="J153" t="s">
        <v>3757</v>
      </c>
      <c r="K153">
        <v>153.1</v>
      </c>
      <c r="L153">
        <v>20984.71</v>
      </c>
      <c r="M153" t="s">
        <v>4187</v>
      </c>
      <c r="N153" t="s">
        <v>6308</v>
      </c>
      <c r="O153" t="s">
        <v>5984</v>
      </c>
      <c r="P153" t="s">
        <v>5977</v>
      </c>
      <c r="Q153" t="s">
        <v>5968</v>
      </c>
      <c r="R153" t="s">
        <v>4235</v>
      </c>
    </row>
    <row r="154" spans="1:18" x14ac:dyDescent="0.25">
      <c r="A154" t="s">
        <v>6309</v>
      </c>
      <c r="B154" t="s">
        <v>5974</v>
      </c>
      <c r="C154" t="s">
        <v>5961</v>
      </c>
      <c r="D154" t="s">
        <v>38</v>
      </c>
      <c r="E154">
        <v>13</v>
      </c>
      <c r="F154" t="s">
        <v>2388</v>
      </c>
      <c r="H154" t="s">
        <v>2675</v>
      </c>
      <c r="J154" t="s">
        <v>4085</v>
      </c>
      <c r="K154">
        <v>62.47</v>
      </c>
      <c r="L154">
        <v>1405.39</v>
      </c>
      <c r="M154" t="s">
        <v>1721</v>
      </c>
      <c r="N154" t="s">
        <v>6310</v>
      </c>
      <c r="O154" t="s">
        <v>2447</v>
      </c>
      <c r="P154" t="s">
        <v>5977</v>
      </c>
      <c r="Q154" t="s">
        <v>5968</v>
      </c>
    </row>
    <row r="155" spans="1:18" x14ac:dyDescent="0.25">
      <c r="A155" t="s">
        <v>6311</v>
      </c>
      <c r="B155" t="s">
        <v>5965</v>
      </c>
      <c r="C155" t="s">
        <v>5975</v>
      </c>
      <c r="D155" t="s">
        <v>1041</v>
      </c>
      <c r="E155">
        <v>93</v>
      </c>
      <c r="F155" t="s">
        <v>2407</v>
      </c>
      <c r="H155" t="s">
        <v>2912</v>
      </c>
      <c r="J155" t="s">
        <v>5248</v>
      </c>
      <c r="K155">
        <v>308.91000000000003</v>
      </c>
      <c r="L155">
        <v>40264.21</v>
      </c>
      <c r="M155" t="s">
        <v>3184</v>
      </c>
      <c r="N155" t="s">
        <v>6312</v>
      </c>
      <c r="O155" t="s">
        <v>1746</v>
      </c>
      <c r="P155" t="s">
        <v>5977</v>
      </c>
      <c r="Q155" t="s">
        <v>5963</v>
      </c>
      <c r="R155" t="s">
        <v>6002</v>
      </c>
    </row>
    <row r="156" spans="1:18" x14ac:dyDescent="0.25">
      <c r="A156" t="s">
        <v>6313</v>
      </c>
      <c r="B156" t="s">
        <v>5981</v>
      </c>
      <c r="C156" t="s">
        <v>5966</v>
      </c>
      <c r="D156" t="s">
        <v>586</v>
      </c>
      <c r="E156">
        <v>42</v>
      </c>
      <c r="F156" t="s">
        <v>2432</v>
      </c>
      <c r="H156" t="s">
        <v>6207</v>
      </c>
      <c r="J156" t="s">
        <v>5235</v>
      </c>
      <c r="K156">
        <v>320.69</v>
      </c>
      <c r="L156">
        <v>20500.96</v>
      </c>
      <c r="M156" t="s">
        <v>3113</v>
      </c>
      <c r="N156" t="s">
        <v>6314</v>
      </c>
      <c r="O156" t="s">
        <v>1764</v>
      </c>
      <c r="P156" t="s">
        <v>5978</v>
      </c>
      <c r="Q156" t="s">
        <v>5963</v>
      </c>
    </row>
    <row r="157" spans="1:18" x14ac:dyDescent="0.25">
      <c r="A157" t="s">
        <v>6315</v>
      </c>
      <c r="B157" t="s">
        <v>5970</v>
      </c>
      <c r="C157" t="s">
        <v>5971</v>
      </c>
      <c r="D157" t="s">
        <v>490</v>
      </c>
      <c r="E157">
        <v>72</v>
      </c>
      <c r="F157" t="s">
        <v>2456</v>
      </c>
      <c r="H157" t="s">
        <v>6115</v>
      </c>
      <c r="K157">
        <v>282.70999999999998</v>
      </c>
      <c r="L157">
        <v>21271.4</v>
      </c>
      <c r="M157" t="s">
        <v>3019</v>
      </c>
      <c r="N157" t="s">
        <v>6316</v>
      </c>
      <c r="O157" t="s">
        <v>5978</v>
      </c>
      <c r="P157" t="s">
        <v>1764</v>
      </c>
      <c r="Q157" t="s">
        <v>3434</v>
      </c>
    </row>
    <row r="158" spans="1:18" x14ac:dyDescent="0.25">
      <c r="A158" t="s">
        <v>6317</v>
      </c>
      <c r="B158" t="s">
        <v>5960</v>
      </c>
      <c r="C158" t="s">
        <v>5982</v>
      </c>
      <c r="D158" t="s">
        <v>940</v>
      </c>
      <c r="E158">
        <v>56</v>
      </c>
      <c r="F158" t="s">
        <v>2440</v>
      </c>
      <c r="G158" t="s">
        <v>2398</v>
      </c>
      <c r="H158" t="s">
        <v>2794</v>
      </c>
      <c r="I158" t="s">
        <v>2719</v>
      </c>
      <c r="J158" t="s">
        <v>5634</v>
      </c>
      <c r="K158">
        <v>330.19</v>
      </c>
      <c r="L158">
        <v>14453.48</v>
      </c>
      <c r="M158" t="s">
        <v>3497</v>
      </c>
      <c r="N158" t="s">
        <v>6318</v>
      </c>
      <c r="O158" t="s">
        <v>1897</v>
      </c>
      <c r="P158" t="s">
        <v>5984</v>
      </c>
      <c r="Q158" t="s">
        <v>3434</v>
      </c>
    </row>
    <row r="159" spans="1:18" x14ac:dyDescent="0.25">
      <c r="A159" t="s">
        <v>6319</v>
      </c>
      <c r="B159" t="s">
        <v>3442</v>
      </c>
      <c r="C159" t="s">
        <v>6011</v>
      </c>
      <c r="D159" t="s">
        <v>626</v>
      </c>
      <c r="E159">
        <v>97</v>
      </c>
      <c r="F159" t="s">
        <v>2407</v>
      </c>
      <c r="G159" t="s">
        <v>2449</v>
      </c>
      <c r="H159" t="s">
        <v>6147</v>
      </c>
      <c r="I159" t="s">
        <v>2909</v>
      </c>
      <c r="K159">
        <v>338.32</v>
      </c>
      <c r="L159">
        <v>10322.01</v>
      </c>
      <c r="M159" t="s">
        <v>3912</v>
      </c>
      <c r="N159" t="s">
        <v>6320</v>
      </c>
      <c r="O159" t="s">
        <v>1897</v>
      </c>
      <c r="P159" t="s">
        <v>2447</v>
      </c>
      <c r="Q159" t="s">
        <v>5963</v>
      </c>
      <c r="R159" t="s">
        <v>4235</v>
      </c>
    </row>
    <row r="160" spans="1:18" x14ac:dyDescent="0.25">
      <c r="A160" t="s">
        <v>6321</v>
      </c>
      <c r="B160" t="s">
        <v>6026</v>
      </c>
      <c r="C160" t="s">
        <v>5966</v>
      </c>
      <c r="D160" t="s">
        <v>839</v>
      </c>
      <c r="E160">
        <v>37</v>
      </c>
      <c r="F160" t="s">
        <v>2432</v>
      </c>
      <c r="H160" t="s">
        <v>2889</v>
      </c>
      <c r="J160" t="s">
        <v>3714</v>
      </c>
      <c r="K160">
        <v>179.59</v>
      </c>
      <c r="L160">
        <v>4643.75</v>
      </c>
      <c r="M160" t="s">
        <v>2975</v>
      </c>
      <c r="N160" t="s">
        <v>6322</v>
      </c>
      <c r="O160" t="s">
        <v>1746</v>
      </c>
      <c r="P160" t="s">
        <v>1746</v>
      </c>
      <c r="Q160" t="s">
        <v>5963</v>
      </c>
    </row>
    <row r="161" spans="1:18" x14ac:dyDescent="0.25">
      <c r="A161" t="s">
        <v>6323</v>
      </c>
      <c r="B161" t="s">
        <v>5965</v>
      </c>
      <c r="C161" t="s">
        <v>5981</v>
      </c>
      <c r="D161" t="s">
        <v>295</v>
      </c>
      <c r="E161">
        <v>5</v>
      </c>
      <c r="F161" t="s">
        <v>2456</v>
      </c>
      <c r="H161" t="s">
        <v>3401</v>
      </c>
      <c r="J161" t="s">
        <v>5907</v>
      </c>
      <c r="K161">
        <v>465.33</v>
      </c>
      <c r="L161">
        <v>1666.44</v>
      </c>
      <c r="M161" t="s">
        <v>2762</v>
      </c>
      <c r="N161" t="s">
        <v>6324</v>
      </c>
      <c r="O161" t="s">
        <v>5984</v>
      </c>
      <c r="P161" t="s">
        <v>1746</v>
      </c>
      <c r="Q161" t="s">
        <v>3434</v>
      </c>
    </row>
    <row r="162" spans="1:18" x14ac:dyDescent="0.25">
      <c r="A162" t="s">
        <v>6325</v>
      </c>
      <c r="B162" t="s">
        <v>6026</v>
      </c>
      <c r="C162" t="s">
        <v>5982</v>
      </c>
      <c r="D162" t="s">
        <v>1021</v>
      </c>
      <c r="E162">
        <v>15</v>
      </c>
      <c r="F162" t="s">
        <v>2398</v>
      </c>
      <c r="H162" t="s">
        <v>2670</v>
      </c>
      <c r="J162" t="s">
        <v>2515</v>
      </c>
      <c r="K162">
        <v>482</v>
      </c>
      <c r="L162">
        <v>2965.75</v>
      </c>
      <c r="M162" t="s">
        <v>3674</v>
      </c>
      <c r="N162" t="s">
        <v>6326</v>
      </c>
      <c r="O162" t="s">
        <v>2447</v>
      </c>
      <c r="P162" t="s">
        <v>5977</v>
      </c>
      <c r="Q162" t="s">
        <v>5968</v>
      </c>
    </row>
    <row r="163" spans="1:18" x14ac:dyDescent="0.25">
      <c r="A163" t="s">
        <v>6327</v>
      </c>
      <c r="B163" t="s">
        <v>5970</v>
      </c>
      <c r="C163" t="s">
        <v>5988</v>
      </c>
      <c r="D163" t="s">
        <v>895</v>
      </c>
      <c r="E163">
        <v>29</v>
      </c>
      <c r="F163" t="s">
        <v>2456</v>
      </c>
      <c r="H163" t="s">
        <v>3049</v>
      </c>
      <c r="J163" t="s">
        <v>3809</v>
      </c>
      <c r="K163">
        <v>425.33</v>
      </c>
      <c r="L163">
        <v>14014.89</v>
      </c>
      <c r="M163" t="s">
        <v>3295</v>
      </c>
      <c r="N163" t="s">
        <v>6328</v>
      </c>
      <c r="O163" t="s">
        <v>1897</v>
      </c>
      <c r="P163" t="s">
        <v>1897</v>
      </c>
      <c r="Q163" t="s">
        <v>3434</v>
      </c>
      <c r="R163" t="s">
        <v>5979</v>
      </c>
    </row>
    <row r="164" spans="1:18" x14ac:dyDescent="0.25">
      <c r="A164" t="s">
        <v>6329</v>
      </c>
      <c r="B164" t="s">
        <v>5960</v>
      </c>
      <c r="C164" t="s">
        <v>5961</v>
      </c>
      <c r="D164" t="s">
        <v>192</v>
      </c>
      <c r="E164">
        <v>46</v>
      </c>
      <c r="F164" t="s">
        <v>2398</v>
      </c>
      <c r="G164" t="s">
        <v>2398</v>
      </c>
      <c r="H164" t="s">
        <v>6115</v>
      </c>
      <c r="I164" t="s">
        <v>3049</v>
      </c>
      <c r="J164" t="s">
        <v>2512</v>
      </c>
      <c r="K164">
        <v>196</v>
      </c>
      <c r="L164">
        <v>3184.02</v>
      </c>
      <c r="M164" t="s">
        <v>6330</v>
      </c>
      <c r="N164" t="s">
        <v>6331</v>
      </c>
      <c r="O164" t="s">
        <v>2447</v>
      </c>
      <c r="P164" t="s">
        <v>2447</v>
      </c>
      <c r="Q164" t="s">
        <v>5963</v>
      </c>
      <c r="R164" t="s">
        <v>5979</v>
      </c>
    </row>
    <row r="165" spans="1:18" x14ac:dyDescent="0.25">
      <c r="A165" t="s">
        <v>6332</v>
      </c>
      <c r="B165" t="s">
        <v>3442</v>
      </c>
      <c r="C165" t="s">
        <v>6011</v>
      </c>
      <c r="D165" t="s">
        <v>693</v>
      </c>
      <c r="E165">
        <v>53</v>
      </c>
      <c r="F165" t="s">
        <v>2416</v>
      </c>
      <c r="G165" t="s">
        <v>2398</v>
      </c>
      <c r="H165" t="s">
        <v>6333</v>
      </c>
      <c r="I165" t="s">
        <v>3077</v>
      </c>
      <c r="J165" t="s">
        <v>5792</v>
      </c>
      <c r="K165">
        <v>166.91</v>
      </c>
      <c r="L165">
        <v>25029.42</v>
      </c>
      <c r="M165" t="s">
        <v>3650</v>
      </c>
      <c r="N165" t="s">
        <v>6334</v>
      </c>
      <c r="O165" t="s">
        <v>1746</v>
      </c>
      <c r="P165" t="s">
        <v>1648</v>
      </c>
      <c r="Q165" t="s">
        <v>5963</v>
      </c>
      <c r="R165" t="s">
        <v>5979</v>
      </c>
    </row>
    <row r="166" spans="1:18" x14ac:dyDescent="0.25">
      <c r="A166" t="s">
        <v>6335</v>
      </c>
      <c r="B166" t="s">
        <v>5965</v>
      </c>
      <c r="C166" t="s">
        <v>5961</v>
      </c>
      <c r="D166" t="s">
        <v>744</v>
      </c>
      <c r="E166">
        <v>77</v>
      </c>
      <c r="F166" t="s">
        <v>2432</v>
      </c>
      <c r="H166" t="s">
        <v>2635</v>
      </c>
      <c r="J166" t="s">
        <v>3767</v>
      </c>
      <c r="K166">
        <v>187.6</v>
      </c>
      <c r="L166">
        <v>11861</v>
      </c>
      <c r="M166" t="s">
        <v>2593</v>
      </c>
      <c r="N166" t="s">
        <v>6336</v>
      </c>
      <c r="O166" t="s">
        <v>2447</v>
      </c>
      <c r="P166" t="s">
        <v>5978</v>
      </c>
      <c r="Q166" t="s">
        <v>5963</v>
      </c>
    </row>
    <row r="167" spans="1:18" x14ac:dyDescent="0.25">
      <c r="A167" t="s">
        <v>6337</v>
      </c>
      <c r="B167" t="s">
        <v>5981</v>
      </c>
      <c r="C167" t="s">
        <v>5975</v>
      </c>
      <c r="D167" t="s">
        <v>1111</v>
      </c>
      <c r="E167">
        <v>86</v>
      </c>
      <c r="F167" t="s">
        <v>2425</v>
      </c>
      <c r="H167" t="s">
        <v>3364</v>
      </c>
      <c r="J167" t="s">
        <v>3971</v>
      </c>
      <c r="K167">
        <v>200.47</v>
      </c>
      <c r="L167">
        <v>11967.55</v>
      </c>
      <c r="M167" t="s">
        <v>2550</v>
      </c>
      <c r="N167" t="s">
        <v>6338</v>
      </c>
      <c r="O167" t="s">
        <v>1648</v>
      </c>
      <c r="P167" t="s">
        <v>1648</v>
      </c>
      <c r="Q167" t="s">
        <v>5963</v>
      </c>
      <c r="R167" t="s">
        <v>5979</v>
      </c>
    </row>
    <row r="168" spans="1:18" x14ac:dyDescent="0.25">
      <c r="A168" t="s">
        <v>6339</v>
      </c>
      <c r="B168" t="s">
        <v>5970</v>
      </c>
      <c r="C168" t="s">
        <v>5971</v>
      </c>
      <c r="D168" t="s">
        <v>458</v>
      </c>
      <c r="E168">
        <v>44</v>
      </c>
      <c r="F168" t="s">
        <v>2376</v>
      </c>
      <c r="H168" t="s">
        <v>2639</v>
      </c>
      <c r="J168" t="s">
        <v>3926</v>
      </c>
      <c r="K168">
        <v>118.64</v>
      </c>
      <c r="L168">
        <v>17211.43</v>
      </c>
      <c r="M168" t="s">
        <v>3988</v>
      </c>
      <c r="N168" t="s">
        <v>6340</v>
      </c>
      <c r="O168" t="s">
        <v>5984</v>
      </c>
      <c r="P168" t="s">
        <v>1648</v>
      </c>
      <c r="Q168" t="s">
        <v>3434</v>
      </c>
    </row>
    <row r="169" spans="1:18" x14ac:dyDescent="0.25">
      <c r="A169" t="s">
        <v>6341</v>
      </c>
      <c r="B169" t="s">
        <v>6026</v>
      </c>
      <c r="C169" t="s">
        <v>5961</v>
      </c>
      <c r="D169" t="s">
        <v>410</v>
      </c>
      <c r="E169">
        <v>30</v>
      </c>
      <c r="F169" t="s">
        <v>2425</v>
      </c>
      <c r="H169" t="s">
        <v>3116</v>
      </c>
      <c r="J169" t="s">
        <v>3502</v>
      </c>
      <c r="K169">
        <v>196.99</v>
      </c>
      <c r="L169">
        <v>12554.52</v>
      </c>
      <c r="M169" t="s">
        <v>3042</v>
      </c>
      <c r="N169" t="s">
        <v>6342</v>
      </c>
      <c r="O169" t="s">
        <v>5984</v>
      </c>
      <c r="P169" t="s">
        <v>5984</v>
      </c>
      <c r="Q169" t="s">
        <v>5963</v>
      </c>
      <c r="R169" t="s">
        <v>6002</v>
      </c>
    </row>
    <row r="170" spans="1:18" x14ac:dyDescent="0.25">
      <c r="A170" t="s">
        <v>6343</v>
      </c>
      <c r="B170" t="s">
        <v>5960</v>
      </c>
      <c r="C170" t="s">
        <v>6011</v>
      </c>
      <c r="D170" t="s">
        <v>749</v>
      </c>
      <c r="E170">
        <v>7</v>
      </c>
      <c r="F170" t="s">
        <v>2376</v>
      </c>
      <c r="G170" t="s">
        <v>2416</v>
      </c>
      <c r="H170" t="s">
        <v>3038</v>
      </c>
      <c r="I170" t="s">
        <v>6162</v>
      </c>
      <c r="K170">
        <v>317.18</v>
      </c>
      <c r="L170">
        <v>842.25</v>
      </c>
      <c r="M170" t="s">
        <v>5822</v>
      </c>
      <c r="N170" t="s">
        <v>6344</v>
      </c>
      <c r="O170" t="s">
        <v>1746</v>
      </c>
      <c r="P170" t="s">
        <v>5984</v>
      </c>
      <c r="Q170" t="s">
        <v>5963</v>
      </c>
      <c r="R170" t="s">
        <v>6002</v>
      </c>
    </row>
    <row r="171" spans="1:18" x14ac:dyDescent="0.25">
      <c r="A171" t="s">
        <v>6345</v>
      </c>
      <c r="B171" t="s">
        <v>5960</v>
      </c>
      <c r="C171" t="s">
        <v>5993</v>
      </c>
      <c r="D171" t="s">
        <v>109</v>
      </c>
      <c r="E171">
        <v>63</v>
      </c>
      <c r="F171" t="s">
        <v>2388</v>
      </c>
      <c r="G171" t="s">
        <v>2456</v>
      </c>
      <c r="H171" t="s">
        <v>3140</v>
      </c>
      <c r="I171" t="s">
        <v>3288</v>
      </c>
      <c r="J171" t="s">
        <v>3850</v>
      </c>
      <c r="K171">
        <v>378.15</v>
      </c>
      <c r="L171">
        <v>11940.21</v>
      </c>
      <c r="M171" t="s">
        <v>3932</v>
      </c>
      <c r="N171" t="s">
        <v>6346</v>
      </c>
      <c r="O171" t="s">
        <v>5977</v>
      </c>
      <c r="P171" t="s">
        <v>1764</v>
      </c>
      <c r="Q171" t="s">
        <v>5963</v>
      </c>
    </row>
    <row r="172" spans="1:18" x14ac:dyDescent="0.25">
      <c r="A172" t="s">
        <v>6347</v>
      </c>
      <c r="B172" t="s">
        <v>5981</v>
      </c>
      <c r="C172" t="s">
        <v>5988</v>
      </c>
      <c r="D172" t="s">
        <v>749</v>
      </c>
      <c r="E172">
        <v>97</v>
      </c>
      <c r="F172" t="s">
        <v>2440</v>
      </c>
      <c r="H172" t="s">
        <v>3116</v>
      </c>
      <c r="J172" t="s">
        <v>3936</v>
      </c>
      <c r="K172">
        <v>491.3</v>
      </c>
      <c r="L172">
        <v>22728.15</v>
      </c>
      <c r="M172" t="s">
        <v>2615</v>
      </c>
      <c r="N172" t="s">
        <v>6348</v>
      </c>
      <c r="O172" t="s">
        <v>1897</v>
      </c>
      <c r="P172" t="s">
        <v>5977</v>
      </c>
      <c r="Q172" t="s">
        <v>3434</v>
      </c>
    </row>
    <row r="173" spans="1:18" x14ac:dyDescent="0.25">
      <c r="A173" t="s">
        <v>6349</v>
      </c>
      <c r="B173" t="s">
        <v>5960</v>
      </c>
      <c r="C173" t="s">
        <v>5993</v>
      </c>
      <c r="D173" t="s">
        <v>180</v>
      </c>
      <c r="E173">
        <v>86</v>
      </c>
      <c r="F173" t="s">
        <v>2425</v>
      </c>
      <c r="G173" t="s">
        <v>2432</v>
      </c>
      <c r="H173" t="s">
        <v>5998</v>
      </c>
      <c r="I173" t="s">
        <v>2798</v>
      </c>
      <c r="J173" t="s">
        <v>2535</v>
      </c>
      <c r="K173">
        <v>472.8</v>
      </c>
      <c r="L173">
        <v>16399.97</v>
      </c>
      <c r="M173" t="s">
        <v>4327</v>
      </c>
      <c r="N173" t="s">
        <v>6350</v>
      </c>
      <c r="O173" t="s">
        <v>5984</v>
      </c>
      <c r="P173" t="s">
        <v>1897</v>
      </c>
      <c r="Q173" t="s">
        <v>5968</v>
      </c>
    </row>
    <row r="174" spans="1:18" x14ac:dyDescent="0.25">
      <c r="A174" t="s">
        <v>6351</v>
      </c>
      <c r="B174" t="s">
        <v>5981</v>
      </c>
      <c r="C174" t="s">
        <v>5982</v>
      </c>
      <c r="D174" t="s">
        <v>945</v>
      </c>
      <c r="E174">
        <v>54</v>
      </c>
      <c r="F174" t="s">
        <v>2440</v>
      </c>
      <c r="H174" t="s">
        <v>3173</v>
      </c>
      <c r="J174" t="s">
        <v>2506</v>
      </c>
      <c r="K174">
        <v>60.79</v>
      </c>
      <c r="L174">
        <v>25378.5</v>
      </c>
      <c r="M174" t="s">
        <v>3431</v>
      </c>
      <c r="N174" t="s">
        <v>6352</v>
      </c>
      <c r="O174" t="s">
        <v>2447</v>
      </c>
      <c r="P174" t="s">
        <v>5977</v>
      </c>
      <c r="Q174" t="s">
        <v>5963</v>
      </c>
    </row>
    <row r="175" spans="1:18" x14ac:dyDescent="0.25">
      <c r="A175" t="s">
        <v>6353</v>
      </c>
      <c r="B175" t="s">
        <v>3442</v>
      </c>
      <c r="C175" t="s">
        <v>5966</v>
      </c>
      <c r="D175" t="s">
        <v>1091</v>
      </c>
      <c r="E175">
        <v>97</v>
      </c>
      <c r="F175" t="s">
        <v>2376</v>
      </c>
      <c r="G175" t="s">
        <v>2407</v>
      </c>
      <c r="H175" t="s">
        <v>2661</v>
      </c>
      <c r="I175" t="s">
        <v>2963</v>
      </c>
      <c r="J175" t="s">
        <v>4719</v>
      </c>
      <c r="K175">
        <v>409.66</v>
      </c>
      <c r="L175">
        <v>43953.03</v>
      </c>
      <c r="M175" t="s">
        <v>2820</v>
      </c>
      <c r="N175" t="s">
        <v>6354</v>
      </c>
      <c r="O175" t="s">
        <v>1648</v>
      </c>
      <c r="P175" t="s">
        <v>5977</v>
      </c>
      <c r="Q175" t="s">
        <v>3434</v>
      </c>
      <c r="R175" t="s">
        <v>6002</v>
      </c>
    </row>
    <row r="176" spans="1:18" x14ac:dyDescent="0.25">
      <c r="A176" t="s">
        <v>6355</v>
      </c>
      <c r="B176" t="s">
        <v>5974</v>
      </c>
      <c r="C176" t="s">
        <v>5988</v>
      </c>
      <c r="D176" t="s">
        <v>1021</v>
      </c>
      <c r="E176">
        <v>69</v>
      </c>
      <c r="F176" t="s">
        <v>2388</v>
      </c>
      <c r="H176" t="s">
        <v>3034</v>
      </c>
      <c r="K176">
        <v>347.38</v>
      </c>
      <c r="L176">
        <v>15305.18</v>
      </c>
      <c r="M176" t="s">
        <v>3612</v>
      </c>
      <c r="N176" t="s">
        <v>6356</v>
      </c>
      <c r="O176" t="s">
        <v>1746</v>
      </c>
      <c r="P176" t="s">
        <v>1897</v>
      </c>
      <c r="Q176" t="s">
        <v>3434</v>
      </c>
    </row>
    <row r="177" spans="1:18" x14ac:dyDescent="0.25">
      <c r="A177" t="s">
        <v>6357</v>
      </c>
      <c r="B177" t="s">
        <v>5965</v>
      </c>
      <c r="C177" t="s">
        <v>5975</v>
      </c>
      <c r="D177" t="s">
        <v>103</v>
      </c>
      <c r="E177">
        <v>2</v>
      </c>
      <c r="F177" t="s">
        <v>2440</v>
      </c>
      <c r="H177" t="s">
        <v>2798</v>
      </c>
      <c r="K177">
        <v>352.95</v>
      </c>
      <c r="L177">
        <v>949.28</v>
      </c>
      <c r="M177" t="s">
        <v>2721</v>
      </c>
      <c r="N177" t="s">
        <v>6358</v>
      </c>
      <c r="O177" t="s">
        <v>1648</v>
      </c>
      <c r="P177" t="s">
        <v>1764</v>
      </c>
      <c r="Q177" t="s">
        <v>5963</v>
      </c>
    </row>
    <row r="178" spans="1:18" x14ac:dyDescent="0.25">
      <c r="A178" t="s">
        <v>6359</v>
      </c>
      <c r="B178" t="s">
        <v>5974</v>
      </c>
      <c r="C178" t="s">
        <v>5993</v>
      </c>
      <c r="D178" t="s">
        <v>468</v>
      </c>
      <c r="E178">
        <v>3</v>
      </c>
      <c r="F178" t="s">
        <v>2407</v>
      </c>
      <c r="H178" t="s">
        <v>2784</v>
      </c>
      <c r="J178" t="s">
        <v>2568</v>
      </c>
      <c r="K178">
        <v>321.64999999999998</v>
      </c>
      <c r="L178">
        <v>1435.6</v>
      </c>
      <c r="M178" t="s">
        <v>4952</v>
      </c>
      <c r="N178" t="s">
        <v>6360</v>
      </c>
      <c r="O178" t="s">
        <v>5984</v>
      </c>
      <c r="P178" t="s">
        <v>5977</v>
      </c>
      <c r="Q178" t="s">
        <v>5963</v>
      </c>
    </row>
    <row r="179" spans="1:18" x14ac:dyDescent="0.25">
      <c r="A179" t="s">
        <v>6361</v>
      </c>
      <c r="B179" t="s">
        <v>3442</v>
      </c>
      <c r="C179" t="s">
        <v>5981</v>
      </c>
      <c r="D179" t="s">
        <v>890</v>
      </c>
      <c r="E179">
        <v>71</v>
      </c>
      <c r="F179" t="s">
        <v>2440</v>
      </c>
      <c r="G179" t="s">
        <v>2388</v>
      </c>
      <c r="H179" t="s">
        <v>3027</v>
      </c>
      <c r="I179" t="s">
        <v>3388</v>
      </c>
      <c r="J179" t="s">
        <v>2531</v>
      </c>
      <c r="K179">
        <v>287.08</v>
      </c>
      <c r="L179">
        <v>26656.81</v>
      </c>
      <c r="M179" t="s">
        <v>3074</v>
      </c>
      <c r="N179" t="s">
        <v>6362</v>
      </c>
      <c r="O179" t="s">
        <v>5984</v>
      </c>
      <c r="P179" t="s">
        <v>1764</v>
      </c>
      <c r="Q179" t="s">
        <v>5963</v>
      </c>
    </row>
    <row r="180" spans="1:18" x14ac:dyDescent="0.25">
      <c r="A180" t="s">
        <v>6363</v>
      </c>
      <c r="B180" t="s">
        <v>5974</v>
      </c>
      <c r="C180" t="s">
        <v>5961</v>
      </c>
      <c r="D180" t="s">
        <v>495</v>
      </c>
      <c r="E180">
        <v>46</v>
      </c>
      <c r="F180" t="s">
        <v>2425</v>
      </c>
      <c r="H180" t="s">
        <v>3126</v>
      </c>
      <c r="K180">
        <v>276.7</v>
      </c>
      <c r="L180">
        <v>21263.37</v>
      </c>
      <c r="M180" t="s">
        <v>2755</v>
      </c>
      <c r="N180" t="s">
        <v>6364</v>
      </c>
      <c r="O180" t="s">
        <v>1746</v>
      </c>
      <c r="P180" t="s">
        <v>2447</v>
      </c>
      <c r="Q180" t="s">
        <v>5963</v>
      </c>
    </row>
    <row r="181" spans="1:18" x14ac:dyDescent="0.25">
      <c r="A181" t="s">
        <v>6365</v>
      </c>
      <c r="B181" t="s">
        <v>3442</v>
      </c>
      <c r="C181" t="s">
        <v>5988</v>
      </c>
      <c r="D181" t="s">
        <v>789</v>
      </c>
      <c r="E181">
        <v>45</v>
      </c>
      <c r="F181" t="s">
        <v>2407</v>
      </c>
      <c r="G181" t="s">
        <v>2407</v>
      </c>
      <c r="H181" t="s">
        <v>6215</v>
      </c>
      <c r="I181" t="s">
        <v>3077</v>
      </c>
      <c r="K181">
        <v>220.34</v>
      </c>
      <c r="L181">
        <v>16172.13</v>
      </c>
      <c r="M181" t="s">
        <v>3937</v>
      </c>
      <c r="N181" t="s">
        <v>6366</v>
      </c>
      <c r="O181" t="s">
        <v>1746</v>
      </c>
      <c r="P181" t="s">
        <v>1897</v>
      </c>
      <c r="Q181" t="s">
        <v>5963</v>
      </c>
    </row>
    <row r="182" spans="1:18" x14ac:dyDescent="0.25">
      <c r="A182" t="s">
        <v>6367</v>
      </c>
      <c r="B182" t="s">
        <v>3442</v>
      </c>
      <c r="C182" t="s">
        <v>5975</v>
      </c>
      <c r="D182" t="s">
        <v>814</v>
      </c>
      <c r="E182">
        <v>62</v>
      </c>
      <c r="F182" t="s">
        <v>2376</v>
      </c>
      <c r="G182" t="s">
        <v>2388</v>
      </c>
      <c r="H182" t="s">
        <v>3186</v>
      </c>
      <c r="I182" t="s">
        <v>3393</v>
      </c>
      <c r="J182" t="s">
        <v>4903</v>
      </c>
      <c r="K182">
        <v>60.7</v>
      </c>
      <c r="L182">
        <v>4712.72</v>
      </c>
      <c r="M182" t="s">
        <v>3598</v>
      </c>
      <c r="N182" t="s">
        <v>6368</v>
      </c>
      <c r="O182" t="s">
        <v>2447</v>
      </c>
      <c r="P182" t="s">
        <v>2447</v>
      </c>
      <c r="Q182" t="s">
        <v>5968</v>
      </c>
      <c r="R182" t="s">
        <v>6002</v>
      </c>
    </row>
    <row r="183" spans="1:18" x14ac:dyDescent="0.25">
      <c r="A183" t="s">
        <v>6369</v>
      </c>
      <c r="B183" t="s">
        <v>5965</v>
      </c>
      <c r="C183" t="s">
        <v>5981</v>
      </c>
      <c r="D183" t="s">
        <v>368</v>
      </c>
      <c r="E183">
        <v>73</v>
      </c>
      <c r="F183" t="s">
        <v>2440</v>
      </c>
      <c r="H183" t="s">
        <v>3154</v>
      </c>
      <c r="J183" t="s">
        <v>5310</v>
      </c>
      <c r="K183">
        <v>219.88</v>
      </c>
      <c r="L183">
        <v>16518.259999999998</v>
      </c>
      <c r="M183" t="s">
        <v>3571</v>
      </c>
      <c r="N183" t="s">
        <v>6370</v>
      </c>
      <c r="O183" t="s">
        <v>5978</v>
      </c>
      <c r="P183" t="s">
        <v>1648</v>
      </c>
      <c r="Q183" t="s">
        <v>5968</v>
      </c>
    </row>
    <row r="184" spans="1:18" x14ac:dyDescent="0.25">
      <c r="A184" t="s">
        <v>6371</v>
      </c>
      <c r="B184" t="s">
        <v>5960</v>
      </c>
      <c r="C184" t="s">
        <v>5961</v>
      </c>
      <c r="D184" t="s">
        <v>970</v>
      </c>
      <c r="E184">
        <v>8</v>
      </c>
      <c r="F184" t="s">
        <v>2456</v>
      </c>
      <c r="G184" t="s">
        <v>2388</v>
      </c>
      <c r="H184" t="s">
        <v>3211</v>
      </c>
      <c r="I184" t="s">
        <v>6133</v>
      </c>
      <c r="J184" t="s">
        <v>4091</v>
      </c>
      <c r="K184">
        <v>493.66</v>
      </c>
      <c r="L184">
        <v>2170.19</v>
      </c>
      <c r="M184" t="s">
        <v>1964</v>
      </c>
      <c r="N184" t="s">
        <v>6372</v>
      </c>
      <c r="O184" t="s">
        <v>1764</v>
      </c>
      <c r="P184" t="s">
        <v>1897</v>
      </c>
      <c r="Q184" t="s">
        <v>5963</v>
      </c>
    </row>
    <row r="185" spans="1:18" x14ac:dyDescent="0.25">
      <c r="A185" t="s">
        <v>6373</v>
      </c>
      <c r="B185" t="s">
        <v>5974</v>
      </c>
      <c r="C185" t="s">
        <v>5993</v>
      </c>
      <c r="D185" t="s">
        <v>1081</v>
      </c>
      <c r="E185">
        <v>50</v>
      </c>
      <c r="F185" t="s">
        <v>2456</v>
      </c>
      <c r="H185" t="s">
        <v>3176</v>
      </c>
      <c r="J185" t="s">
        <v>2541</v>
      </c>
      <c r="K185">
        <v>120.54</v>
      </c>
      <c r="L185">
        <v>10078.530000000001</v>
      </c>
      <c r="M185" t="s">
        <v>2945</v>
      </c>
      <c r="N185" t="s">
        <v>6374</v>
      </c>
      <c r="O185" t="s">
        <v>1897</v>
      </c>
      <c r="P185" t="s">
        <v>2447</v>
      </c>
      <c r="Q185" t="s">
        <v>5963</v>
      </c>
    </row>
    <row r="186" spans="1:18" x14ac:dyDescent="0.25">
      <c r="A186" t="s">
        <v>6375</v>
      </c>
      <c r="B186" t="s">
        <v>5970</v>
      </c>
      <c r="C186" t="s">
        <v>5971</v>
      </c>
      <c r="D186" t="s">
        <v>420</v>
      </c>
      <c r="E186">
        <v>5</v>
      </c>
      <c r="F186" t="s">
        <v>2416</v>
      </c>
      <c r="H186" t="s">
        <v>3105</v>
      </c>
      <c r="J186" t="s">
        <v>2535</v>
      </c>
      <c r="K186">
        <v>433.9</v>
      </c>
      <c r="L186">
        <v>2445.09</v>
      </c>
      <c r="M186" t="s">
        <v>2614</v>
      </c>
      <c r="N186" t="s">
        <v>6376</v>
      </c>
      <c r="O186" t="s">
        <v>5977</v>
      </c>
      <c r="P186" t="s">
        <v>5984</v>
      </c>
      <c r="Q186" t="s">
        <v>5968</v>
      </c>
      <c r="R186" t="s">
        <v>6002</v>
      </c>
    </row>
    <row r="187" spans="1:18" x14ac:dyDescent="0.25">
      <c r="A187" t="s">
        <v>6377</v>
      </c>
      <c r="B187" t="s">
        <v>5981</v>
      </c>
      <c r="C187" t="s">
        <v>5993</v>
      </c>
      <c r="D187" t="s">
        <v>125</v>
      </c>
      <c r="E187">
        <v>34</v>
      </c>
      <c r="F187" t="s">
        <v>2398</v>
      </c>
      <c r="H187" t="s">
        <v>2966</v>
      </c>
      <c r="J187" t="s">
        <v>2527</v>
      </c>
      <c r="K187">
        <v>69.55</v>
      </c>
      <c r="L187">
        <v>9996.65</v>
      </c>
      <c r="M187" t="s">
        <v>1695</v>
      </c>
      <c r="N187" t="s">
        <v>6378</v>
      </c>
      <c r="O187" t="s">
        <v>1648</v>
      </c>
      <c r="P187" t="s">
        <v>1746</v>
      </c>
      <c r="Q187" t="s">
        <v>3434</v>
      </c>
      <c r="R187" t="s">
        <v>6002</v>
      </c>
    </row>
    <row r="188" spans="1:18" x14ac:dyDescent="0.25">
      <c r="A188" t="s">
        <v>6379</v>
      </c>
      <c r="B188" t="s">
        <v>5965</v>
      </c>
      <c r="C188" t="s">
        <v>5982</v>
      </c>
      <c r="D188" t="s">
        <v>485</v>
      </c>
      <c r="E188">
        <v>99</v>
      </c>
      <c r="F188" t="s">
        <v>2456</v>
      </c>
      <c r="H188" t="s">
        <v>3200</v>
      </c>
      <c r="J188" t="s">
        <v>2506</v>
      </c>
      <c r="K188">
        <v>87.3</v>
      </c>
      <c r="L188">
        <v>11210.84</v>
      </c>
      <c r="M188" t="s">
        <v>3465</v>
      </c>
      <c r="N188" t="s">
        <v>6380</v>
      </c>
      <c r="O188" t="s">
        <v>5978</v>
      </c>
      <c r="P188" t="s">
        <v>5978</v>
      </c>
      <c r="Q188" t="s">
        <v>5963</v>
      </c>
    </row>
    <row r="189" spans="1:18" x14ac:dyDescent="0.25">
      <c r="A189" t="s">
        <v>6381</v>
      </c>
      <c r="B189" t="s">
        <v>6026</v>
      </c>
      <c r="C189" t="s">
        <v>5993</v>
      </c>
      <c r="D189" t="s">
        <v>284</v>
      </c>
      <c r="E189">
        <v>21</v>
      </c>
      <c r="F189" t="s">
        <v>2398</v>
      </c>
      <c r="H189" t="s">
        <v>2689</v>
      </c>
      <c r="K189">
        <v>159.94</v>
      </c>
      <c r="L189">
        <v>5411.08</v>
      </c>
      <c r="M189" t="s">
        <v>3655</v>
      </c>
      <c r="N189" t="s">
        <v>6382</v>
      </c>
      <c r="O189" t="s">
        <v>5984</v>
      </c>
      <c r="P189" t="s">
        <v>2447</v>
      </c>
      <c r="Q189" t="s">
        <v>5963</v>
      </c>
    </row>
    <row r="190" spans="1:18" x14ac:dyDescent="0.25">
      <c r="A190" t="s">
        <v>6383</v>
      </c>
      <c r="B190" t="s">
        <v>5960</v>
      </c>
      <c r="C190" t="s">
        <v>5975</v>
      </c>
      <c r="D190" t="s">
        <v>234</v>
      </c>
      <c r="E190">
        <v>69</v>
      </c>
      <c r="F190" t="s">
        <v>2432</v>
      </c>
      <c r="G190" t="s">
        <v>2432</v>
      </c>
      <c r="H190" t="s">
        <v>6074</v>
      </c>
      <c r="I190" t="s">
        <v>6384</v>
      </c>
      <c r="J190" t="s">
        <v>2558</v>
      </c>
      <c r="K190">
        <v>52.88</v>
      </c>
      <c r="L190">
        <v>6097.63</v>
      </c>
      <c r="M190" t="s">
        <v>2084</v>
      </c>
      <c r="N190" t="s">
        <v>6385</v>
      </c>
      <c r="O190" t="s">
        <v>5977</v>
      </c>
      <c r="P190" t="s">
        <v>5977</v>
      </c>
      <c r="Q190" t="s">
        <v>5963</v>
      </c>
      <c r="R190" t="s">
        <v>6002</v>
      </c>
    </row>
    <row r="191" spans="1:18" x14ac:dyDescent="0.25">
      <c r="A191" t="s">
        <v>6386</v>
      </c>
      <c r="B191" t="s">
        <v>5960</v>
      </c>
      <c r="C191" t="s">
        <v>5988</v>
      </c>
      <c r="D191" t="s">
        <v>900</v>
      </c>
      <c r="E191">
        <v>17</v>
      </c>
      <c r="F191" t="s">
        <v>2432</v>
      </c>
      <c r="G191" t="s">
        <v>2456</v>
      </c>
      <c r="H191" t="s">
        <v>2907</v>
      </c>
      <c r="I191" t="s">
        <v>2724</v>
      </c>
      <c r="J191" t="s">
        <v>4050</v>
      </c>
      <c r="K191">
        <v>180.26</v>
      </c>
      <c r="L191">
        <v>8261.49</v>
      </c>
      <c r="M191" t="s">
        <v>3612</v>
      </c>
      <c r="N191" t="s">
        <v>6387</v>
      </c>
      <c r="O191" t="s">
        <v>5978</v>
      </c>
      <c r="P191" t="s">
        <v>5977</v>
      </c>
      <c r="Q191" t="s">
        <v>5963</v>
      </c>
    </row>
    <row r="192" spans="1:18" x14ac:dyDescent="0.25">
      <c r="A192" t="s">
        <v>6388</v>
      </c>
      <c r="B192" t="s">
        <v>5965</v>
      </c>
      <c r="C192" t="s">
        <v>5966</v>
      </c>
      <c r="D192" t="s">
        <v>221</v>
      </c>
      <c r="E192">
        <v>15</v>
      </c>
      <c r="F192" t="s">
        <v>2416</v>
      </c>
      <c r="H192" t="s">
        <v>2966</v>
      </c>
      <c r="J192" t="s">
        <v>3547</v>
      </c>
      <c r="K192">
        <v>120.46</v>
      </c>
      <c r="L192">
        <v>5044.22</v>
      </c>
      <c r="M192" t="s">
        <v>5555</v>
      </c>
      <c r="N192" t="s">
        <v>6389</v>
      </c>
      <c r="O192" t="s">
        <v>2447</v>
      </c>
      <c r="P192" t="s">
        <v>5978</v>
      </c>
      <c r="Q192" t="s">
        <v>5963</v>
      </c>
      <c r="R192" t="s">
        <v>5979</v>
      </c>
    </row>
    <row r="193" spans="1:18" x14ac:dyDescent="0.25">
      <c r="A193" t="s">
        <v>6390</v>
      </c>
      <c r="B193" t="s">
        <v>6026</v>
      </c>
      <c r="C193" t="s">
        <v>5961</v>
      </c>
      <c r="D193" t="s">
        <v>754</v>
      </c>
      <c r="E193">
        <v>47</v>
      </c>
      <c r="F193" t="s">
        <v>2456</v>
      </c>
      <c r="H193" t="s">
        <v>2987</v>
      </c>
      <c r="J193" t="s">
        <v>5256</v>
      </c>
      <c r="K193">
        <v>347.26</v>
      </c>
      <c r="L193">
        <v>12995.4</v>
      </c>
      <c r="M193" t="s">
        <v>5179</v>
      </c>
      <c r="N193" t="s">
        <v>6391</v>
      </c>
      <c r="O193" t="s">
        <v>2447</v>
      </c>
      <c r="P193" t="s">
        <v>1648</v>
      </c>
      <c r="Q193" t="s">
        <v>5963</v>
      </c>
    </row>
    <row r="194" spans="1:18" x14ac:dyDescent="0.25">
      <c r="A194" t="s">
        <v>6392</v>
      </c>
      <c r="B194" t="s">
        <v>5960</v>
      </c>
      <c r="C194" t="s">
        <v>6011</v>
      </c>
      <c r="D194" t="s">
        <v>561</v>
      </c>
      <c r="E194">
        <v>98</v>
      </c>
      <c r="F194" t="s">
        <v>2425</v>
      </c>
      <c r="G194" t="s">
        <v>2440</v>
      </c>
      <c r="H194" t="s">
        <v>3038</v>
      </c>
      <c r="I194" t="s">
        <v>2952</v>
      </c>
      <c r="J194" t="s">
        <v>5297</v>
      </c>
      <c r="K194">
        <v>405.75</v>
      </c>
      <c r="L194">
        <v>24965.23</v>
      </c>
      <c r="M194" t="s">
        <v>3321</v>
      </c>
      <c r="N194" t="s">
        <v>6393</v>
      </c>
      <c r="O194" t="s">
        <v>1648</v>
      </c>
      <c r="P194" t="s">
        <v>1764</v>
      </c>
      <c r="Q194" t="s">
        <v>5963</v>
      </c>
    </row>
    <row r="195" spans="1:18" x14ac:dyDescent="0.25">
      <c r="A195" t="s">
        <v>6394</v>
      </c>
      <c r="B195" t="s">
        <v>5965</v>
      </c>
      <c r="C195" t="s">
        <v>5993</v>
      </c>
      <c r="D195" t="s">
        <v>915</v>
      </c>
      <c r="E195">
        <v>75</v>
      </c>
      <c r="F195" t="s">
        <v>2440</v>
      </c>
      <c r="H195" t="s">
        <v>3231</v>
      </c>
      <c r="K195">
        <v>368.61</v>
      </c>
      <c r="L195">
        <v>17019.97</v>
      </c>
      <c r="M195" t="s">
        <v>3575</v>
      </c>
      <c r="N195" t="s">
        <v>6395</v>
      </c>
      <c r="O195" t="s">
        <v>1746</v>
      </c>
      <c r="P195" t="s">
        <v>1897</v>
      </c>
      <c r="Q195" t="s">
        <v>5963</v>
      </c>
    </row>
    <row r="196" spans="1:18" x14ac:dyDescent="0.25">
      <c r="A196" t="s">
        <v>6396</v>
      </c>
      <c r="B196" t="s">
        <v>6026</v>
      </c>
      <c r="C196" t="s">
        <v>5975</v>
      </c>
      <c r="D196" t="s">
        <v>601</v>
      </c>
      <c r="E196">
        <v>3</v>
      </c>
      <c r="F196" t="s">
        <v>2432</v>
      </c>
      <c r="H196" t="s">
        <v>2635</v>
      </c>
      <c r="K196">
        <v>206.46</v>
      </c>
      <c r="L196">
        <v>1399.37</v>
      </c>
      <c r="M196" t="s">
        <v>2439</v>
      </c>
      <c r="N196" t="s">
        <v>6397</v>
      </c>
      <c r="O196" t="s">
        <v>2447</v>
      </c>
      <c r="P196" t="s">
        <v>5977</v>
      </c>
      <c r="Q196" t="s">
        <v>5963</v>
      </c>
      <c r="R196" t="s">
        <v>6002</v>
      </c>
    </row>
    <row r="197" spans="1:18" x14ac:dyDescent="0.25">
      <c r="A197" t="s">
        <v>6398</v>
      </c>
      <c r="B197" t="s">
        <v>5965</v>
      </c>
      <c r="C197" t="s">
        <v>6011</v>
      </c>
      <c r="D197" t="s">
        <v>626</v>
      </c>
      <c r="E197">
        <v>83</v>
      </c>
      <c r="F197" t="s">
        <v>2432</v>
      </c>
      <c r="H197" t="s">
        <v>6399</v>
      </c>
      <c r="K197">
        <v>224.82</v>
      </c>
      <c r="L197">
        <v>14929.97</v>
      </c>
      <c r="M197" t="s">
        <v>2609</v>
      </c>
      <c r="N197" t="s">
        <v>6400</v>
      </c>
      <c r="O197" t="s">
        <v>5978</v>
      </c>
      <c r="P197" t="s">
        <v>1897</v>
      </c>
      <c r="Q197" t="s">
        <v>3434</v>
      </c>
      <c r="R197" t="s">
        <v>6002</v>
      </c>
    </row>
    <row r="198" spans="1:18" x14ac:dyDescent="0.25">
      <c r="A198" t="s">
        <v>6401</v>
      </c>
      <c r="B198" t="s">
        <v>3442</v>
      </c>
      <c r="C198" t="s">
        <v>5993</v>
      </c>
      <c r="D198" t="s">
        <v>829</v>
      </c>
      <c r="E198">
        <v>49</v>
      </c>
      <c r="F198" t="s">
        <v>2456</v>
      </c>
      <c r="G198" t="s">
        <v>2416</v>
      </c>
      <c r="H198" t="s">
        <v>2620</v>
      </c>
      <c r="I198" t="s">
        <v>6210</v>
      </c>
      <c r="J198" t="s">
        <v>2512</v>
      </c>
      <c r="K198">
        <v>413.66</v>
      </c>
      <c r="L198">
        <v>3009.04</v>
      </c>
      <c r="M198" t="s">
        <v>3723</v>
      </c>
      <c r="N198" t="s">
        <v>6402</v>
      </c>
      <c r="O198" t="s">
        <v>1764</v>
      </c>
      <c r="P198" t="s">
        <v>1764</v>
      </c>
      <c r="Q198" t="s">
        <v>5963</v>
      </c>
    </row>
    <row r="199" spans="1:18" x14ac:dyDescent="0.25">
      <c r="A199" t="s">
        <v>6403</v>
      </c>
      <c r="B199" t="s">
        <v>5974</v>
      </c>
      <c r="C199" t="s">
        <v>5982</v>
      </c>
      <c r="D199" t="s">
        <v>734</v>
      </c>
      <c r="E199">
        <v>98</v>
      </c>
      <c r="F199" t="s">
        <v>2425</v>
      </c>
      <c r="H199" t="s">
        <v>2813</v>
      </c>
      <c r="J199" t="s">
        <v>2481</v>
      </c>
      <c r="K199">
        <v>287.51</v>
      </c>
      <c r="L199">
        <v>9779.58</v>
      </c>
      <c r="M199" t="s">
        <v>2964</v>
      </c>
      <c r="N199" t="s">
        <v>6404</v>
      </c>
      <c r="O199" t="s">
        <v>1897</v>
      </c>
      <c r="P199" t="s">
        <v>2447</v>
      </c>
      <c r="Q199" t="s">
        <v>5963</v>
      </c>
    </row>
    <row r="200" spans="1:18" x14ac:dyDescent="0.25">
      <c r="A200" t="s">
        <v>6405</v>
      </c>
      <c r="B200" t="s">
        <v>5965</v>
      </c>
      <c r="C200" t="s">
        <v>6011</v>
      </c>
      <c r="D200" t="s">
        <v>87</v>
      </c>
      <c r="E200">
        <v>22</v>
      </c>
      <c r="F200" t="s">
        <v>2416</v>
      </c>
      <c r="H200" t="s">
        <v>6238</v>
      </c>
      <c r="J200" t="s">
        <v>2548</v>
      </c>
      <c r="K200">
        <v>251.48</v>
      </c>
      <c r="L200">
        <v>3351.75</v>
      </c>
      <c r="M200" t="s">
        <v>3289</v>
      </c>
      <c r="N200" t="s">
        <v>6406</v>
      </c>
      <c r="O200" t="s">
        <v>5978</v>
      </c>
      <c r="P200" t="s">
        <v>1897</v>
      </c>
      <c r="Q200" t="s">
        <v>5963</v>
      </c>
    </row>
    <row r="201" spans="1:18" x14ac:dyDescent="0.25">
      <c r="A201" t="s">
        <v>6407</v>
      </c>
      <c r="B201" t="s">
        <v>5970</v>
      </c>
      <c r="C201" t="s">
        <v>5982</v>
      </c>
      <c r="D201" t="s">
        <v>395</v>
      </c>
      <c r="E201">
        <v>73</v>
      </c>
      <c r="F201" t="s">
        <v>2376</v>
      </c>
      <c r="H201" t="s">
        <v>3046</v>
      </c>
      <c r="K201">
        <v>190</v>
      </c>
      <c r="L201">
        <v>26471.94</v>
      </c>
      <c r="M201" t="s">
        <v>3836</v>
      </c>
      <c r="N201" t="s">
        <v>6408</v>
      </c>
      <c r="O201" t="s">
        <v>1897</v>
      </c>
      <c r="P201" t="s">
        <v>1897</v>
      </c>
      <c r="Q201" t="s">
        <v>5963</v>
      </c>
    </row>
    <row r="202" spans="1:18" x14ac:dyDescent="0.25">
      <c r="A202" t="s">
        <v>6409</v>
      </c>
      <c r="B202" t="s">
        <v>5981</v>
      </c>
      <c r="C202" t="s">
        <v>5982</v>
      </c>
      <c r="D202" t="s">
        <v>601</v>
      </c>
      <c r="E202">
        <v>92</v>
      </c>
      <c r="F202" t="s">
        <v>2440</v>
      </c>
      <c r="H202" t="s">
        <v>2898</v>
      </c>
      <c r="J202" t="s">
        <v>4739</v>
      </c>
      <c r="K202">
        <v>393.51</v>
      </c>
      <c r="L202">
        <v>33351.08</v>
      </c>
      <c r="M202" t="s">
        <v>4142</v>
      </c>
      <c r="N202" t="s">
        <v>6410</v>
      </c>
      <c r="O202" t="s">
        <v>1764</v>
      </c>
      <c r="P202" t="s">
        <v>1746</v>
      </c>
      <c r="Q202" t="s">
        <v>5963</v>
      </c>
      <c r="R202" t="s">
        <v>4235</v>
      </c>
    </row>
    <row r="203" spans="1:18" x14ac:dyDescent="0.25">
      <c r="A203" t="s">
        <v>6411</v>
      </c>
      <c r="B203" t="s">
        <v>5960</v>
      </c>
      <c r="C203" t="s">
        <v>5981</v>
      </c>
      <c r="D203" t="s">
        <v>829</v>
      </c>
      <c r="E203">
        <v>45</v>
      </c>
      <c r="F203" t="s">
        <v>2425</v>
      </c>
      <c r="G203" t="s">
        <v>2407</v>
      </c>
      <c r="H203" t="s">
        <v>2661</v>
      </c>
      <c r="I203" t="s">
        <v>2920</v>
      </c>
      <c r="J203" t="s">
        <v>5704</v>
      </c>
      <c r="K203">
        <v>365.58</v>
      </c>
      <c r="L203">
        <v>22318.42</v>
      </c>
      <c r="M203" t="s">
        <v>4415</v>
      </c>
      <c r="N203" t="s">
        <v>6412</v>
      </c>
      <c r="O203" t="s">
        <v>1648</v>
      </c>
      <c r="P203" t="s">
        <v>5977</v>
      </c>
      <c r="Q203" t="s">
        <v>3434</v>
      </c>
      <c r="R203" t="s">
        <v>6002</v>
      </c>
    </row>
    <row r="204" spans="1:18" x14ac:dyDescent="0.25">
      <c r="A204" t="s">
        <v>6413</v>
      </c>
      <c r="B204" t="s">
        <v>5974</v>
      </c>
      <c r="C204" t="s">
        <v>5961</v>
      </c>
      <c r="D204" t="s">
        <v>672</v>
      </c>
      <c r="E204">
        <v>5</v>
      </c>
      <c r="F204" t="s">
        <v>2425</v>
      </c>
      <c r="H204" t="s">
        <v>2881</v>
      </c>
      <c r="J204" t="s">
        <v>4112</v>
      </c>
      <c r="K204">
        <v>421.14</v>
      </c>
      <c r="L204">
        <v>1290.6400000000001</v>
      </c>
      <c r="M204" t="s">
        <v>1863</v>
      </c>
      <c r="N204" t="s">
        <v>6414</v>
      </c>
      <c r="O204" t="s">
        <v>5977</v>
      </c>
      <c r="P204" t="s">
        <v>1897</v>
      </c>
      <c r="Q204" t="s">
        <v>5963</v>
      </c>
    </row>
    <row r="205" spans="1:18" x14ac:dyDescent="0.25">
      <c r="A205" t="s">
        <v>6415</v>
      </c>
      <c r="B205" t="s">
        <v>6026</v>
      </c>
      <c r="C205" t="s">
        <v>5993</v>
      </c>
      <c r="D205" t="s">
        <v>611</v>
      </c>
      <c r="E205">
        <v>90</v>
      </c>
      <c r="F205" t="s">
        <v>2456</v>
      </c>
      <c r="H205" t="s">
        <v>2933</v>
      </c>
      <c r="J205" t="s">
        <v>4843</v>
      </c>
      <c r="K205">
        <v>230.29</v>
      </c>
      <c r="L205">
        <v>37694.22</v>
      </c>
      <c r="M205" t="s">
        <v>5822</v>
      </c>
      <c r="N205" t="s">
        <v>6416</v>
      </c>
      <c r="O205" t="s">
        <v>1764</v>
      </c>
      <c r="P205" t="s">
        <v>2447</v>
      </c>
      <c r="Q205" t="s">
        <v>5963</v>
      </c>
    </row>
    <row r="206" spans="1:18" x14ac:dyDescent="0.25">
      <c r="A206" t="s">
        <v>6417</v>
      </c>
      <c r="B206" t="s">
        <v>5981</v>
      </c>
      <c r="C206" t="s">
        <v>5988</v>
      </c>
      <c r="D206" t="s">
        <v>915</v>
      </c>
      <c r="E206">
        <v>83</v>
      </c>
      <c r="F206" t="s">
        <v>2440</v>
      </c>
      <c r="H206" t="s">
        <v>2909</v>
      </c>
      <c r="J206" t="s">
        <v>5817</v>
      </c>
      <c r="K206">
        <v>347.64</v>
      </c>
      <c r="L206">
        <v>21907.54</v>
      </c>
      <c r="M206" t="s">
        <v>3239</v>
      </c>
      <c r="N206" t="s">
        <v>6418</v>
      </c>
      <c r="O206" t="s">
        <v>1897</v>
      </c>
      <c r="P206" t="s">
        <v>1897</v>
      </c>
      <c r="Q206" t="s">
        <v>5968</v>
      </c>
    </row>
    <row r="207" spans="1:18" x14ac:dyDescent="0.25">
      <c r="A207" t="s">
        <v>6419</v>
      </c>
      <c r="B207" t="s">
        <v>3442</v>
      </c>
      <c r="C207" t="s">
        <v>5961</v>
      </c>
      <c r="D207" t="s">
        <v>520</v>
      </c>
      <c r="E207">
        <v>17</v>
      </c>
      <c r="F207" t="s">
        <v>2425</v>
      </c>
      <c r="G207" t="s">
        <v>2376</v>
      </c>
      <c r="H207" t="s">
        <v>2670</v>
      </c>
      <c r="I207" t="s">
        <v>2607</v>
      </c>
      <c r="K207">
        <v>350.25</v>
      </c>
      <c r="L207">
        <v>6586.32</v>
      </c>
      <c r="M207" t="s">
        <v>3574</v>
      </c>
      <c r="N207" t="s">
        <v>6420</v>
      </c>
      <c r="O207" t="s">
        <v>1897</v>
      </c>
      <c r="P207" t="s">
        <v>5977</v>
      </c>
      <c r="Q207" t="s">
        <v>3434</v>
      </c>
    </row>
    <row r="208" spans="1:18" x14ac:dyDescent="0.25">
      <c r="A208" t="s">
        <v>6421</v>
      </c>
      <c r="B208" t="s">
        <v>5960</v>
      </c>
      <c r="C208" t="s">
        <v>5993</v>
      </c>
      <c r="D208" t="s">
        <v>860</v>
      </c>
      <c r="E208">
        <v>59</v>
      </c>
      <c r="F208" t="s">
        <v>2416</v>
      </c>
      <c r="G208" t="s">
        <v>2416</v>
      </c>
      <c r="H208" t="s">
        <v>2597</v>
      </c>
      <c r="I208" t="s">
        <v>3140</v>
      </c>
      <c r="J208" t="s">
        <v>3421</v>
      </c>
      <c r="K208">
        <v>344.82</v>
      </c>
      <c r="L208">
        <v>8079.92</v>
      </c>
      <c r="M208" t="s">
        <v>3103</v>
      </c>
      <c r="N208" t="s">
        <v>6422</v>
      </c>
      <c r="O208" t="s">
        <v>2447</v>
      </c>
      <c r="P208" t="s">
        <v>1897</v>
      </c>
      <c r="Q208" t="s">
        <v>3434</v>
      </c>
    </row>
    <row r="209" spans="1:18" x14ac:dyDescent="0.25">
      <c r="A209" t="s">
        <v>6423</v>
      </c>
      <c r="B209" t="s">
        <v>5970</v>
      </c>
      <c r="C209" t="s">
        <v>5961</v>
      </c>
      <c r="D209" t="s">
        <v>975</v>
      </c>
      <c r="E209">
        <v>28</v>
      </c>
      <c r="F209" t="s">
        <v>2416</v>
      </c>
      <c r="H209" t="s">
        <v>2620</v>
      </c>
      <c r="J209" t="s">
        <v>2558</v>
      </c>
      <c r="K209">
        <v>476.91</v>
      </c>
      <c r="L209">
        <v>4487.1499999999996</v>
      </c>
      <c r="M209" t="s">
        <v>1552</v>
      </c>
      <c r="N209" t="s">
        <v>6424</v>
      </c>
      <c r="O209" t="s">
        <v>5984</v>
      </c>
      <c r="P209" t="s">
        <v>5984</v>
      </c>
      <c r="Q209" t="s">
        <v>3434</v>
      </c>
    </row>
    <row r="210" spans="1:18" x14ac:dyDescent="0.25">
      <c r="A210" t="s">
        <v>6425</v>
      </c>
      <c r="B210" t="s">
        <v>5965</v>
      </c>
      <c r="C210" t="s">
        <v>5993</v>
      </c>
      <c r="D210" t="s">
        <v>274</v>
      </c>
      <c r="E210">
        <v>17</v>
      </c>
      <c r="F210" t="s">
        <v>2449</v>
      </c>
      <c r="H210" t="s">
        <v>3038</v>
      </c>
      <c r="K210">
        <v>286.82</v>
      </c>
      <c r="L210">
        <v>8377.98</v>
      </c>
      <c r="M210" t="s">
        <v>3058</v>
      </c>
      <c r="N210" t="s">
        <v>6426</v>
      </c>
      <c r="O210" t="s">
        <v>1897</v>
      </c>
      <c r="P210" t="s">
        <v>5977</v>
      </c>
      <c r="Q210" t="s">
        <v>5963</v>
      </c>
    </row>
    <row r="211" spans="1:18" x14ac:dyDescent="0.25">
      <c r="A211" t="s">
        <v>6427</v>
      </c>
      <c r="B211" t="s">
        <v>5970</v>
      </c>
      <c r="C211" t="s">
        <v>5966</v>
      </c>
      <c r="D211" t="s">
        <v>343</v>
      </c>
      <c r="E211">
        <v>53</v>
      </c>
      <c r="F211" t="s">
        <v>2432</v>
      </c>
      <c r="H211" t="s">
        <v>2752</v>
      </c>
      <c r="K211">
        <v>236.22</v>
      </c>
      <c r="L211">
        <v>13679.23</v>
      </c>
      <c r="M211" t="s">
        <v>3464</v>
      </c>
      <c r="N211" t="s">
        <v>6428</v>
      </c>
      <c r="O211" t="s">
        <v>1648</v>
      </c>
      <c r="P211" t="s">
        <v>1746</v>
      </c>
      <c r="Q211" t="s">
        <v>5963</v>
      </c>
      <c r="R211" t="s">
        <v>6002</v>
      </c>
    </row>
    <row r="212" spans="1:18" x14ac:dyDescent="0.25">
      <c r="A212" t="s">
        <v>6429</v>
      </c>
      <c r="B212" t="s">
        <v>5981</v>
      </c>
      <c r="C212" t="s">
        <v>5971</v>
      </c>
      <c r="D212" t="s">
        <v>165</v>
      </c>
      <c r="E212">
        <v>92</v>
      </c>
      <c r="F212" t="s">
        <v>2398</v>
      </c>
      <c r="H212" t="s">
        <v>2685</v>
      </c>
      <c r="J212" t="s">
        <v>2554</v>
      </c>
      <c r="K212">
        <v>412.27</v>
      </c>
      <c r="L212">
        <v>42336.49</v>
      </c>
      <c r="M212" t="s">
        <v>4162</v>
      </c>
      <c r="N212" t="s">
        <v>6430</v>
      </c>
      <c r="O212" t="s">
        <v>1648</v>
      </c>
      <c r="P212" t="s">
        <v>1764</v>
      </c>
      <c r="Q212" t="s">
        <v>5968</v>
      </c>
    </row>
    <row r="213" spans="1:18" x14ac:dyDescent="0.25">
      <c r="A213" t="s">
        <v>6431</v>
      </c>
      <c r="B213" t="s">
        <v>5965</v>
      </c>
      <c r="C213" t="s">
        <v>5975</v>
      </c>
      <c r="D213" t="s">
        <v>910</v>
      </c>
      <c r="E213">
        <v>73</v>
      </c>
      <c r="F213" t="s">
        <v>2398</v>
      </c>
      <c r="H213" t="s">
        <v>6133</v>
      </c>
      <c r="J213" t="s">
        <v>5171</v>
      </c>
      <c r="K213">
        <v>166.16</v>
      </c>
      <c r="L213">
        <v>26112.639999999999</v>
      </c>
      <c r="M213" t="s">
        <v>4137</v>
      </c>
      <c r="N213" t="s">
        <v>6432</v>
      </c>
      <c r="O213" t="s">
        <v>1897</v>
      </c>
      <c r="P213" t="s">
        <v>1897</v>
      </c>
      <c r="Q213" t="s">
        <v>5968</v>
      </c>
    </row>
    <row r="214" spans="1:18" x14ac:dyDescent="0.25">
      <c r="A214" t="s">
        <v>6433</v>
      </c>
      <c r="B214" t="s">
        <v>5960</v>
      </c>
      <c r="C214" t="s">
        <v>5971</v>
      </c>
      <c r="D214" t="s">
        <v>240</v>
      </c>
      <c r="E214">
        <v>10</v>
      </c>
      <c r="F214" t="s">
        <v>2407</v>
      </c>
      <c r="G214" t="s">
        <v>2376</v>
      </c>
      <c r="H214" t="s">
        <v>6291</v>
      </c>
      <c r="I214" t="s">
        <v>3231</v>
      </c>
      <c r="J214" t="s">
        <v>5403</v>
      </c>
      <c r="K214">
        <v>302.87</v>
      </c>
      <c r="L214">
        <v>2655.06</v>
      </c>
      <c r="M214" t="s">
        <v>3549</v>
      </c>
      <c r="N214" t="s">
        <v>6434</v>
      </c>
      <c r="O214" t="s">
        <v>5984</v>
      </c>
      <c r="P214" t="s">
        <v>2447</v>
      </c>
      <c r="Q214" t="s">
        <v>3434</v>
      </c>
      <c r="R214" t="s">
        <v>4235</v>
      </c>
    </row>
    <row r="215" spans="1:18" x14ac:dyDescent="0.25">
      <c r="A215" t="s">
        <v>6435</v>
      </c>
      <c r="B215" t="s">
        <v>5970</v>
      </c>
      <c r="C215" t="s">
        <v>5982</v>
      </c>
      <c r="D215" t="s">
        <v>1111</v>
      </c>
      <c r="E215">
        <v>62</v>
      </c>
      <c r="F215" t="s">
        <v>2456</v>
      </c>
      <c r="H215" t="s">
        <v>6147</v>
      </c>
      <c r="J215" t="s">
        <v>3856</v>
      </c>
      <c r="K215">
        <v>57.12</v>
      </c>
      <c r="L215">
        <v>23459.62</v>
      </c>
      <c r="M215" t="s">
        <v>4139</v>
      </c>
      <c r="N215" t="s">
        <v>6436</v>
      </c>
      <c r="O215" t="s">
        <v>1746</v>
      </c>
      <c r="P215" t="s">
        <v>5977</v>
      </c>
      <c r="Q215" t="s">
        <v>3434</v>
      </c>
    </row>
    <row r="216" spans="1:18" x14ac:dyDescent="0.25">
      <c r="A216" t="s">
        <v>6437</v>
      </c>
      <c r="B216" t="s">
        <v>5981</v>
      </c>
      <c r="C216" t="s">
        <v>5961</v>
      </c>
      <c r="D216" t="s">
        <v>616</v>
      </c>
      <c r="E216">
        <v>51</v>
      </c>
      <c r="F216" t="s">
        <v>2407</v>
      </c>
      <c r="H216" t="s">
        <v>2830</v>
      </c>
      <c r="K216">
        <v>290.83</v>
      </c>
      <c r="L216">
        <v>2704.07</v>
      </c>
      <c r="M216" t="s">
        <v>3863</v>
      </c>
      <c r="N216" t="s">
        <v>6438</v>
      </c>
      <c r="O216" t="s">
        <v>1764</v>
      </c>
      <c r="P216" t="s">
        <v>1764</v>
      </c>
      <c r="Q216" t="s">
        <v>5963</v>
      </c>
      <c r="R216" t="s">
        <v>4235</v>
      </c>
    </row>
    <row r="217" spans="1:18" x14ac:dyDescent="0.25">
      <c r="A217" t="s">
        <v>6439</v>
      </c>
      <c r="B217" t="s">
        <v>5974</v>
      </c>
      <c r="C217" t="s">
        <v>5988</v>
      </c>
      <c r="D217" t="s">
        <v>844</v>
      </c>
      <c r="E217">
        <v>26</v>
      </c>
      <c r="F217" t="s">
        <v>2440</v>
      </c>
      <c r="H217" t="s">
        <v>6222</v>
      </c>
      <c r="J217" t="s">
        <v>3526</v>
      </c>
      <c r="K217">
        <v>164.69</v>
      </c>
      <c r="L217">
        <v>6581.84</v>
      </c>
      <c r="M217" t="s">
        <v>3727</v>
      </c>
      <c r="N217" t="s">
        <v>6440</v>
      </c>
      <c r="O217" t="s">
        <v>5977</v>
      </c>
      <c r="P217" t="s">
        <v>1764</v>
      </c>
      <c r="Q217" t="s">
        <v>5963</v>
      </c>
      <c r="R217" t="s">
        <v>5979</v>
      </c>
    </row>
    <row r="218" spans="1:18" x14ac:dyDescent="0.25">
      <c r="A218" t="s">
        <v>6441</v>
      </c>
      <c r="B218" t="s">
        <v>5974</v>
      </c>
      <c r="C218" t="s">
        <v>5993</v>
      </c>
      <c r="D218" t="s">
        <v>62</v>
      </c>
      <c r="E218">
        <v>28</v>
      </c>
      <c r="F218" t="s">
        <v>2432</v>
      </c>
      <c r="H218" t="s">
        <v>6442</v>
      </c>
      <c r="J218" t="s">
        <v>2535</v>
      </c>
      <c r="K218">
        <v>96.83</v>
      </c>
      <c r="L218">
        <v>3419.94</v>
      </c>
      <c r="M218" t="s">
        <v>3747</v>
      </c>
      <c r="N218" t="s">
        <v>6443</v>
      </c>
      <c r="O218" t="s">
        <v>1746</v>
      </c>
      <c r="P218" t="s">
        <v>1648</v>
      </c>
      <c r="Q218" t="s">
        <v>5963</v>
      </c>
    </row>
    <row r="219" spans="1:18" x14ac:dyDescent="0.25">
      <c r="A219" t="s">
        <v>6444</v>
      </c>
      <c r="B219" t="s">
        <v>5960</v>
      </c>
      <c r="C219" t="s">
        <v>5988</v>
      </c>
      <c r="D219" t="s">
        <v>62</v>
      </c>
      <c r="E219">
        <v>70</v>
      </c>
      <c r="F219" t="s">
        <v>2432</v>
      </c>
      <c r="G219" t="s">
        <v>2407</v>
      </c>
      <c r="H219" t="s">
        <v>2731</v>
      </c>
      <c r="I219" t="s">
        <v>6023</v>
      </c>
      <c r="J219" t="s">
        <v>3646</v>
      </c>
      <c r="K219">
        <v>280.07</v>
      </c>
      <c r="L219">
        <v>10529.91</v>
      </c>
      <c r="M219" t="s">
        <v>2781</v>
      </c>
      <c r="N219" t="s">
        <v>6445</v>
      </c>
      <c r="O219" t="s">
        <v>2447</v>
      </c>
      <c r="P219" t="s">
        <v>1764</v>
      </c>
      <c r="Q219" t="s">
        <v>5968</v>
      </c>
      <c r="R219" t="s">
        <v>6002</v>
      </c>
    </row>
    <row r="220" spans="1:18" x14ac:dyDescent="0.25">
      <c r="A220" t="s">
        <v>6446</v>
      </c>
      <c r="B220" t="s">
        <v>5970</v>
      </c>
      <c r="C220" t="s">
        <v>5982</v>
      </c>
      <c r="D220" t="s">
        <v>192</v>
      </c>
      <c r="E220">
        <v>22</v>
      </c>
      <c r="F220" t="s">
        <v>2407</v>
      </c>
      <c r="H220" t="s">
        <v>2705</v>
      </c>
      <c r="J220" t="s">
        <v>4903</v>
      </c>
      <c r="K220">
        <v>117.21</v>
      </c>
      <c r="L220">
        <v>1126.43</v>
      </c>
      <c r="M220" t="s">
        <v>3780</v>
      </c>
      <c r="N220" t="s">
        <v>6447</v>
      </c>
      <c r="O220" t="s">
        <v>1764</v>
      </c>
      <c r="P220" t="s">
        <v>2447</v>
      </c>
      <c r="Q220" t="s">
        <v>5968</v>
      </c>
    </row>
    <row r="221" spans="1:18" x14ac:dyDescent="0.25">
      <c r="A221" t="s">
        <v>6448</v>
      </c>
      <c r="B221" t="s">
        <v>5970</v>
      </c>
      <c r="C221" t="s">
        <v>5966</v>
      </c>
      <c r="D221" t="s">
        <v>809</v>
      </c>
      <c r="E221">
        <v>61</v>
      </c>
      <c r="F221" t="s">
        <v>2432</v>
      </c>
      <c r="H221" t="s">
        <v>2661</v>
      </c>
      <c r="J221" t="s">
        <v>4090</v>
      </c>
      <c r="K221">
        <v>333.15</v>
      </c>
      <c r="L221">
        <v>12005.48</v>
      </c>
      <c r="M221" t="s">
        <v>3580</v>
      </c>
      <c r="N221" t="s">
        <v>6449</v>
      </c>
      <c r="O221" t="s">
        <v>5984</v>
      </c>
      <c r="P221" t="s">
        <v>5984</v>
      </c>
      <c r="Q221" t="s">
        <v>5963</v>
      </c>
    </row>
    <row r="222" spans="1:18" x14ac:dyDescent="0.25">
      <c r="A222" t="s">
        <v>6450</v>
      </c>
      <c r="B222" t="s">
        <v>5981</v>
      </c>
      <c r="C222" t="s">
        <v>5988</v>
      </c>
      <c r="D222" t="s">
        <v>1021</v>
      </c>
      <c r="E222">
        <v>3</v>
      </c>
      <c r="F222" t="s">
        <v>2388</v>
      </c>
      <c r="H222" t="s">
        <v>2731</v>
      </c>
      <c r="J222" t="s">
        <v>5612</v>
      </c>
      <c r="K222">
        <v>369.5</v>
      </c>
      <c r="L222">
        <v>323.91000000000003</v>
      </c>
      <c r="M222" t="s">
        <v>5010</v>
      </c>
      <c r="N222" t="s">
        <v>6451</v>
      </c>
      <c r="O222" t="s">
        <v>2447</v>
      </c>
      <c r="P222" t="s">
        <v>2447</v>
      </c>
      <c r="Q222" t="s">
        <v>5963</v>
      </c>
      <c r="R222" t="s">
        <v>5979</v>
      </c>
    </row>
    <row r="223" spans="1:18" x14ac:dyDescent="0.25">
      <c r="A223" t="s">
        <v>6452</v>
      </c>
      <c r="B223" t="s">
        <v>6026</v>
      </c>
      <c r="C223" t="s">
        <v>5971</v>
      </c>
      <c r="D223" t="s">
        <v>687</v>
      </c>
      <c r="E223">
        <v>18</v>
      </c>
      <c r="F223" t="s">
        <v>2425</v>
      </c>
      <c r="H223" t="s">
        <v>3393</v>
      </c>
      <c r="J223" t="s">
        <v>4189</v>
      </c>
      <c r="K223">
        <v>51.27</v>
      </c>
      <c r="L223">
        <v>8225.76</v>
      </c>
      <c r="M223" t="s">
        <v>2614</v>
      </c>
      <c r="N223" t="s">
        <v>6453</v>
      </c>
      <c r="O223" t="s">
        <v>1746</v>
      </c>
      <c r="P223" t="s">
        <v>5978</v>
      </c>
      <c r="Q223" t="s">
        <v>5963</v>
      </c>
      <c r="R223" t="s">
        <v>5979</v>
      </c>
    </row>
    <row r="224" spans="1:18" x14ac:dyDescent="0.25">
      <c r="A224" t="s">
        <v>6454</v>
      </c>
      <c r="B224" t="s">
        <v>3442</v>
      </c>
      <c r="C224" t="s">
        <v>5981</v>
      </c>
      <c r="D224" t="s">
        <v>363</v>
      </c>
      <c r="E224">
        <v>74</v>
      </c>
      <c r="F224" t="s">
        <v>2456</v>
      </c>
      <c r="G224" t="s">
        <v>2398</v>
      </c>
      <c r="H224" t="s">
        <v>3231</v>
      </c>
      <c r="I224" t="s">
        <v>2856</v>
      </c>
      <c r="K224">
        <v>239.91</v>
      </c>
      <c r="L224">
        <v>33665.07</v>
      </c>
      <c r="M224" t="s">
        <v>5028</v>
      </c>
      <c r="N224" t="s">
        <v>6455</v>
      </c>
      <c r="O224" t="s">
        <v>1764</v>
      </c>
      <c r="P224" t="s">
        <v>5978</v>
      </c>
      <c r="Q224" t="s">
        <v>5963</v>
      </c>
    </row>
    <row r="225" spans="1:18" x14ac:dyDescent="0.25">
      <c r="A225" t="s">
        <v>6456</v>
      </c>
      <c r="B225" t="s">
        <v>5970</v>
      </c>
      <c r="C225" t="s">
        <v>6011</v>
      </c>
      <c r="D225" t="s">
        <v>24</v>
      </c>
      <c r="E225">
        <v>33</v>
      </c>
      <c r="F225" t="s">
        <v>2416</v>
      </c>
      <c r="H225" t="s">
        <v>3326</v>
      </c>
      <c r="J225" t="s">
        <v>2531</v>
      </c>
      <c r="K225">
        <v>168.76</v>
      </c>
      <c r="L225">
        <v>8544.9699999999993</v>
      </c>
      <c r="M225" t="s">
        <v>3294</v>
      </c>
      <c r="N225" t="s">
        <v>6457</v>
      </c>
      <c r="O225" t="s">
        <v>5978</v>
      </c>
      <c r="P225" t="s">
        <v>5978</v>
      </c>
      <c r="Q225" t="s">
        <v>5963</v>
      </c>
      <c r="R225" t="s">
        <v>6002</v>
      </c>
    </row>
    <row r="226" spans="1:18" x14ac:dyDescent="0.25">
      <c r="A226" t="s">
        <v>6458</v>
      </c>
      <c r="B226" t="s">
        <v>6026</v>
      </c>
      <c r="C226" t="s">
        <v>5966</v>
      </c>
      <c r="D226" t="s">
        <v>215</v>
      </c>
      <c r="E226">
        <v>43</v>
      </c>
      <c r="F226" t="s">
        <v>2440</v>
      </c>
      <c r="H226" t="s">
        <v>2666</v>
      </c>
      <c r="J226" t="s">
        <v>3618</v>
      </c>
      <c r="K226">
        <v>282.08</v>
      </c>
      <c r="L226">
        <v>13495.84</v>
      </c>
      <c r="M226" t="s">
        <v>4901</v>
      </c>
      <c r="N226" t="s">
        <v>6459</v>
      </c>
      <c r="O226" t="s">
        <v>5984</v>
      </c>
      <c r="P226" t="s">
        <v>2447</v>
      </c>
      <c r="Q226" t="s">
        <v>5963</v>
      </c>
    </row>
    <row r="227" spans="1:18" x14ac:dyDescent="0.25">
      <c r="A227" t="s">
        <v>6460</v>
      </c>
      <c r="B227" t="s">
        <v>5981</v>
      </c>
      <c r="C227" t="s">
        <v>5981</v>
      </c>
      <c r="D227" t="s">
        <v>895</v>
      </c>
      <c r="E227">
        <v>53</v>
      </c>
      <c r="F227" t="s">
        <v>2388</v>
      </c>
      <c r="H227" t="s">
        <v>2898</v>
      </c>
      <c r="J227" t="s">
        <v>4616</v>
      </c>
      <c r="K227">
        <v>217.62</v>
      </c>
      <c r="L227">
        <v>19300.419999999998</v>
      </c>
      <c r="M227" t="s">
        <v>3689</v>
      </c>
      <c r="N227" t="s">
        <v>6461</v>
      </c>
      <c r="O227" t="s">
        <v>2447</v>
      </c>
      <c r="P227" t="s">
        <v>5984</v>
      </c>
      <c r="Q227" t="s">
        <v>5968</v>
      </c>
      <c r="R227" t="s">
        <v>6002</v>
      </c>
    </row>
    <row r="228" spans="1:18" x14ac:dyDescent="0.25">
      <c r="A228" t="s">
        <v>6462</v>
      </c>
      <c r="B228" t="s">
        <v>5970</v>
      </c>
      <c r="C228" t="s">
        <v>6011</v>
      </c>
      <c r="D228" t="s">
        <v>693</v>
      </c>
      <c r="E228">
        <v>83</v>
      </c>
      <c r="F228" t="s">
        <v>2407</v>
      </c>
      <c r="H228" t="s">
        <v>2970</v>
      </c>
      <c r="J228" t="s">
        <v>4368</v>
      </c>
      <c r="K228">
        <v>273.62</v>
      </c>
      <c r="L228">
        <v>19261.509999999998</v>
      </c>
      <c r="M228" t="s">
        <v>2927</v>
      </c>
      <c r="N228" t="s">
        <v>6463</v>
      </c>
      <c r="O228" t="s">
        <v>1648</v>
      </c>
      <c r="P228" t="s">
        <v>5984</v>
      </c>
      <c r="Q228" t="s">
        <v>5963</v>
      </c>
    </row>
    <row r="229" spans="1:18" x14ac:dyDescent="0.25">
      <c r="A229" t="s">
        <v>6464</v>
      </c>
      <c r="B229" t="s">
        <v>6026</v>
      </c>
      <c r="C229" t="s">
        <v>5975</v>
      </c>
      <c r="D229" t="s">
        <v>240</v>
      </c>
      <c r="E229">
        <v>43</v>
      </c>
      <c r="F229" t="s">
        <v>2425</v>
      </c>
      <c r="H229" t="s">
        <v>3257</v>
      </c>
      <c r="J229" t="s">
        <v>2501</v>
      </c>
      <c r="K229">
        <v>250.39</v>
      </c>
      <c r="L229">
        <v>12662.81</v>
      </c>
      <c r="M229" t="s">
        <v>3475</v>
      </c>
      <c r="N229" t="s">
        <v>6465</v>
      </c>
      <c r="O229" t="s">
        <v>2447</v>
      </c>
      <c r="P229" t="s">
        <v>1648</v>
      </c>
      <c r="Q229" t="s">
        <v>5963</v>
      </c>
      <c r="R229" t="s">
        <v>5979</v>
      </c>
    </row>
    <row r="230" spans="1:18" x14ac:dyDescent="0.25">
      <c r="A230" t="s">
        <v>6466</v>
      </c>
      <c r="B230" t="s">
        <v>3442</v>
      </c>
      <c r="C230" t="s">
        <v>5971</v>
      </c>
      <c r="D230" t="s">
        <v>794</v>
      </c>
      <c r="E230">
        <v>76</v>
      </c>
      <c r="F230" t="s">
        <v>2376</v>
      </c>
      <c r="G230" t="s">
        <v>2416</v>
      </c>
      <c r="H230" t="s">
        <v>2881</v>
      </c>
      <c r="I230" t="s">
        <v>3200</v>
      </c>
      <c r="J230" t="s">
        <v>2544</v>
      </c>
      <c r="K230">
        <v>80.33</v>
      </c>
      <c r="L230">
        <v>34198.559999999998</v>
      </c>
      <c r="M230" t="s">
        <v>4503</v>
      </c>
      <c r="N230" t="s">
        <v>6467</v>
      </c>
      <c r="O230" t="s">
        <v>1746</v>
      </c>
      <c r="P230" t="s">
        <v>1746</v>
      </c>
      <c r="Q230" t="s">
        <v>5968</v>
      </c>
    </row>
    <row r="231" spans="1:18" x14ac:dyDescent="0.25">
      <c r="A231" t="s">
        <v>6468</v>
      </c>
      <c r="B231" t="s">
        <v>3442</v>
      </c>
      <c r="C231" t="s">
        <v>6011</v>
      </c>
      <c r="D231" t="s">
        <v>1010</v>
      </c>
      <c r="E231">
        <v>43</v>
      </c>
      <c r="F231" t="s">
        <v>2425</v>
      </c>
      <c r="G231" t="s">
        <v>2456</v>
      </c>
      <c r="H231" t="s">
        <v>3101</v>
      </c>
      <c r="I231" t="s">
        <v>6222</v>
      </c>
      <c r="J231" t="s">
        <v>5155</v>
      </c>
      <c r="K231">
        <v>250.21</v>
      </c>
      <c r="L231">
        <v>13751.96</v>
      </c>
      <c r="M231" t="s">
        <v>5118</v>
      </c>
      <c r="N231" t="s">
        <v>6469</v>
      </c>
      <c r="O231" t="s">
        <v>1648</v>
      </c>
      <c r="P231" t="s">
        <v>1764</v>
      </c>
      <c r="Q231" t="s">
        <v>5968</v>
      </c>
      <c r="R231" t="s">
        <v>6002</v>
      </c>
    </row>
    <row r="232" spans="1:18" x14ac:dyDescent="0.25">
      <c r="A232" t="s">
        <v>6470</v>
      </c>
      <c r="B232" t="s">
        <v>5970</v>
      </c>
      <c r="C232" t="s">
        <v>5988</v>
      </c>
      <c r="D232" t="s">
        <v>69</v>
      </c>
      <c r="E232">
        <v>91</v>
      </c>
      <c r="F232" t="s">
        <v>2440</v>
      </c>
      <c r="H232" t="s">
        <v>3150</v>
      </c>
      <c r="K232">
        <v>89.49</v>
      </c>
      <c r="L232">
        <v>20481.79</v>
      </c>
      <c r="M232" t="s">
        <v>3025</v>
      </c>
      <c r="N232" t="s">
        <v>6471</v>
      </c>
      <c r="O232" t="s">
        <v>5984</v>
      </c>
      <c r="P232" t="s">
        <v>1764</v>
      </c>
      <c r="Q232" t="s">
        <v>5963</v>
      </c>
    </row>
    <row r="233" spans="1:18" x14ac:dyDescent="0.25">
      <c r="A233" t="s">
        <v>6472</v>
      </c>
      <c r="B233" t="s">
        <v>3442</v>
      </c>
      <c r="C233" t="s">
        <v>5966</v>
      </c>
      <c r="D233" t="s">
        <v>955</v>
      </c>
      <c r="E233">
        <v>22</v>
      </c>
      <c r="F233" t="s">
        <v>2407</v>
      </c>
      <c r="G233" t="s">
        <v>2407</v>
      </c>
      <c r="H233" t="s">
        <v>3162</v>
      </c>
      <c r="I233" t="s">
        <v>2948</v>
      </c>
      <c r="J233" t="s">
        <v>5391</v>
      </c>
      <c r="K233">
        <v>256.33</v>
      </c>
      <c r="L233">
        <v>7839.51</v>
      </c>
      <c r="M233" t="s">
        <v>2914</v>
      </c>
      <c r="N233" t="s">
        <v>6473</v>
      </c>
      <c r="O233" t="s">
        <v>1648</v>
      </c>
      <c r="P233" t="s">
        <v>2447</v>
      </c>
      <c r="Q233" t="s">
        <v>3434</v>
      </c>
    </row>
    <row r="234" spans="1:18" x14ac:dyDescent="0.25">
      <c r="A234" t="s">
        <v>6474</v>
      </c>
      <c r="B234" t="s">
        <v>5974</v>
      </c>
      <c r="C234" t="s">
        <v>5971</v>
      </c>
      <c r="D234" t="s">
        <v>228</v>
      </c>
      <c r="E234">
        <v>95</v>
      </c>
      <c r="F234" t="s">
        <v>2456</v>
      </c>
      <c r="H234" t="s">
        <v>2602</v>
      </c>
      <c r="K234">
        <v>335.03</v>
      </c>
      <c r="L234">
        <v>44465.62</v>
      </c>
      <c r="M234" t="s">
        <v>3960</v>
      </c>
      <c r="N234" t="s">
        <v>6475</v>
      </c>
      <c r="O234" t="s">
        <v>2447</v>
      </c>
      <c r="P234" t="s">
        <v>1648</v>
      </c>
      <c r="Q234" t="s">
        <v>5963</v>
      </c>
      <c r="R234" t="s">
        <v>6002</v>
      </c>
    </row>
    <row r="235" spans="1:18" x14ac:dyDescent="0.25">
      <c r="A235" t="s">
        <v>6476</v>
      </c>
      <c r="B235" t="s">
        <v>5981</v>
      </c>
      <c r="C235" t="s">
        <v>5993</v>
      </c>
      <c r="D235" t="s">
        <v>734</v>
      </c>
      <c r="E235">
        <v>96</v>
      </c>
      <c r="F235" t="s">
        <v>2425</v>
      </c>
      <c r="H235" t="s">
        <v>3364</v>
      </c>
      <c r="J235" t="s">
        <v>2554</v>
      </c>
      <c r="K235">
        <v>280.64</v>
      </c>
      <c r="L235">
        <v>9332.26</v>
      </c>
      <c r="M235" t="s">
        <v>5332</v>
      </c>
      <c r="N235" t="s">
        <v>6477</v>
      </c>
      <c r="O235" t="s">
        <v>1764</v>
      </c>
      <c r="P235" t="s">
        <v>1897</v>
      </c>
      <c r="Q235" t="s">
        <v>5963</v>
      </c>
    </row>
    <row r="236" spans="1:18" x14ac:dyDescent="0.25">
      <c r="A236" t="s">
        <v>6478</v>
      </c>
      <c r="B236" t="s">
        <v>5981</v>
      </c>
      <c r="C236" t="s">
        <v>5961</v>
      </c>
      <c r="D236" t="s">
        <v>839</v>
      </c>
      <c r="E236">
        <v>2</v>
      </c>
      <c r="F236" t="s">
        <v>2440</v>
      </c>
      <c r="H236" t="s">
        <v>2886</v>
      </c>
      <c r="J236" t="s">
        <v>4889</v>
      </c>
      <c r="K236">
        <v>401.83</v>
      </c>
      <c r="L236">
        <v>381.37</v>
      </c>
      <c r="M236" t="s">
        <v>4003</v>
      </c>
      <c r="N236" t="s">
        <v>6479</v>
      </c>
      <c r="O236" t="s">
        <v>5978</v>
      </c>
      <c r="P236" t="s">
        <v>5978</v>
      </c>
      <c r="Q236" t="s">
        <v>5963</v>
      </c>
    </row>
    <row r="237" spans="1:18" x14ac:dyDescent="0.25">
      <c r="A237" t="s">
        <v>6480</v>
      </c>
      <c r="B237" t="s">
        <v>5960</v>
      </c>
      <c r="C237" t="s">
        <v>5975</v>
      </c>
      <c r="D237" t="s">
        <v>125</v>
      </c>
      <c r="E237">
        <v>58</v>
      </c>
      <c r="F237" t="s">
        <v>2432</v>
      </c>
      <c r="G237" t="s">
        <v>2398</v>
      </c>
      <c r="H237" t="s">
        <v>2770</v>
      </c>
      <c r="I237" t="s">
        <v>3211</v>
      </c>
      <c r="J237" t="s">
        <v>5926</v>
      </c>
      <c r="K237">
        <v>497.08</v>
      </c>
      <c r="L237">
        <v>5748.17</v>
      </c>
      <c r="M237" t="s">
        <v>5468</v>
      </c>
      <c r="N237" t="s">
        <v>6481</v>
      </c>
      <c r="O237" t="s">
        <v>5978</v>
      </c>
      <c r="P237" t="s">
        <v>1648</v>
      </c>
      <c r="Q237" t="s">
        <v>5963</v>
      </c>
      <c r="R237" t="s">
        <v>6002</v>
      </c>
    </row>
    <row r="238" spans="1:18" x14ac:dyDescent="0.25">
      <c r="A238" t="s">
        <v>6482</v>
      </c>
      <c r="B238" t="s">
        <v>5981</v>
      </c>
      <c r="C238" t="s">
        <v>5993</v>
      </c>
      <c r="D238" t="s">
        <v>769</v>
      </c>
      <c r="E238">
        <v>27</v>
      </c>
      <c r="F238" t="s">
        <v>2425</v>
      </c>
      <c r="H238" t="s">
        <v>2903</v>
      </c>
      <c r="J238" t="s">
        <v>2548</v>
      </c>
      <c r="K238">
        <v>213.74</v>
      </c>
      <c r="L238">
        <v>11739.13</v>
      </c>
      <c r="M238" t="s">
        <v>4794</v>
      </c>
      <c r="N238" t="s">
        <v>6483</v>
      </c>
      <c r="O238" t="s">
        <v>1648</v>
      </c>
      <c r="P238" t="s">
        <v>1764</v>
      </c>
      <c r="Q238" t="s">
        <v>5963</v>
      </c>
      <c r="R238" t="s">
        <v>5979</v>
      </c>
    </row>
    <row r="239" spans="1:18" x14ac:dyDescent="0.25">
      <c r="A239" t="s">
        <v>6484</v>
      </c>
      <c r="B239" t="s">
        <v>5981</v>
      </c>
      <c r="C239" t="s">
        <v>5982</v>
      </c>
      <c r="D239" t="s">
        <v>819</v>
      </c>
      <c r="E239">
        <v>10</v>
      </c>
      <c r="F239" t="s">
        <v>2449</v>
      </c>
      <c r="H239" t="s">
        <v>2765</v>
      </c>
      <c r="J239" t="s">
        <v>2481</v>
      </c>
      <c r="K239">
        <v>428.45</v>
      </c>
      <c r="L239">
        <v>3620.41</v>
      </c>
      <c r="M239" t="s">
        <v>2599</v>
      </c>
      <c r="N239" t="s">
        <v>6485</v>
      </c>
      <c r="O239" t="s">
        <v>5977</v>
      </c>
      <c r="P239" t="s">
        <v>1764</v>
      </c>
      <c r="Q239" t="s">
        <v>3434</v>
      </c>
      <c r="R239" t="s">
        <v>5979</v>
      </c>
    </row>
    <row r="240" spans="1:18" x14ac:dyDescent="0.25">
      <c r="A240" t="s">
        <v>6486</v>
      </c>
      <c r="B240" t="s">
        <v>6026</v>
      </c>
      <c r="C240" t="s">
        <v>5988</v>
      </c>
      <c r="D240" t="s">
        <v>990</v>
      </c>
      <c r="E240">
        <v>82</v>
      </c>
      <c r="F240" t="s">
        <v>2376</v>
      </c>
      <c r="H240" t="s">
        <v>2876</v>
      </c>
      <c r="J240" t="s">
        <v>2506</v>
      </c>
      <c r="K240">
        <v>312.74</v>
      </c>
      <c r="L240">
        <v>9583.7900000000009</v>
      </c>
      <c r="M240" t="s">
        <v>3103</v>
      </c>
      <c r="N240" t="s">
        <v>6487</v>
      </c>
      <c r="O240" t="s">
        <v>5984</v>
      </c>
      <c r="P240" t="s">
        <v>5978</v>
      </c>
      <c r="Q240" t="s">
        <v>5963</v>
      </c>
    </row>
    <row r="241" spans="1:18" x14ac:dyDescent="0.25">
      <c r="A241" t="s">
        <v>6488</v>
      </c>
      <c r="B241" t="s">
        <v>5970</v>
      </c>
      <c r="C241" t="s">
        <v>5988</v>
      </c>
      <c r="D241" t="s">
        <v>631</v>
      </c>
      <c r="E241">
        <v>75</v>
      </c>
      <c r="F241" t="s">
        <v>2398</v>
      </c>
      <c r="H241" t="s">
        <v>2709</v>
      </c>
      <c r="K241">
        <v>394.24</v>
      </c>
      <c r="L241">
        <v>36217.68</v>
      </c>
      <c r="M241" t="s">
        <v>5822</v>
      </c>
      <c r="N241" t="s">
        <v>6489</v>
      </c>
      <c r="O241" t="s">
        <v>5984</v>
      </c>
      <c r="P241" t="s">
        <v>1648</v>
      </c>
      <c r="Q241" t="s">
        <v>5963</v>
      </c>
      <c r="R241" t="s">
        <v>5979</v>
      </c>
    </row>
    <row r="242" spans="1:18" x14ac:dyDescent="0.25">
      <c r="A242" t="s">
        <v>6490</v>
      </c>
      <c r="B242" t="s">
        <v>5970</v>
      </c>
      <c r="C242" t="s">
        <v>5988</v>
      </c>
      <c r="D242" t="s">
        <v>510</v>
      </c>
      <c r="E242">
        <v>89</v>
      </c>
      <c r="F242" t="s">
        <v>2388</v>
      </c>
      <c r="H242" t="s">
        <v>2813</v>
      </c>
      <c r="K242">
        <v>134.77000000000001</v>
      </c>
      <c r="L242">
        <v>43241.59</v>
      </c>
      <c r="M242" t="s">
        <v>3495</v>
      </c>
      <c r="N242" t="s">
        <v>6491</v>
      </c>
      <c r="O242" t="s">
        <v>1764</v>
      </c>
      <c r="P242" t="s">
        <v>5977</v>
      </c>
      <c r="Q242" t="s">
        <v>5963</v>
      </c>
      <c r="R242" t="s">
        <v>5979</v>
      </c>
    </row>
    <row r="243" spans="1:18" x14ac:dyDescent="0.25">
      <c r="A243" t="s">
        <v>6492</v>
      </c>
      <c r="B243" t="s">
        <v>5960</v>
      </c>
      <c r="C243" t="s">
        <v>5971</v>
      </c>
      <c r="D243" t="s">
        <v>895</v>
      </c>
      <c r="E243">
        <v>43</v>
      </c>
      <c r="F243" t="s">
        <v>2425</v>
      </c>
      <c r="G243" t="s">
        <v>2425</v>
      </c>
      <c r="H243" t="s">
        <v>6222</v>
      </c>
      <c r="I243" t="s">
        <v>3378</v>
      </c>
      <c r="J243" t="s">
        <v>2481</v>
      </c>
      <c r="K243">
        <v>101.1</v>
      </c>
      <c r="L243">
        <v>7016.07</v>
      </c>
      <c r="M243" t="s">
        <v>3031</v>
      </c>
      <c r="N243" t="s">
        <v>6493</v>
      </c>
      <c r="O243" t="s">
        <v>5978</v>
      </c>
      <c r="P243" t="s">
        <v>5984</v>
      </c>
      <c r="Q243" t="s">
        <v>5968</v>
      </c>
    </row>
    <row r="244" spans="1:18" x14ac:dyDescent="0.25">
      <c r="A244" t="s">
        <v>6494</v>
      </c>
      <c r="B244" t="s">
        <v>5960</v>
      </c>
      <c r="C244" t="s">
        <v>5975</v>
      </c>
      <c r="D244" t="s">
        <v>713</v>
      </c>
      <c r="E244">
        <v>51</v>
      </c>
      <c r="F244" t="s">
        <v>2388</v>
      </c>
      <c r="G244" t="s">
        <v>2449</v>
      </c>
      <c r="H244" t="s">
        <v>6207</v>
      </c>
      <c r="I244" t="s">
        <v>2597</v>
      </c>
      <c r="K244">
        <v>429.23</v>
      </c>
      <c r="L244">
        <v>10007.09</v>
      </c>
      <c r="M244" t="s">
        <v>3002</v>
      </c>
      <c r="N244" t="s">
        <v>6495</v>
      </c>
      <c r="O244" t="s">
        <v>5977</v>
      </c>
      <c r="P244" t="s">
        <v>1746</v>
      </c>
      <c r="Q244" t="s">
        <v>5963</v>
      </c>
    </row>
    <row r="245" spans="1:18" x14ac:dyDescent="0.25">
      <c r="A245" t="s">
        <v>6496</v>
      </c>
      <c r="B245" t="s">
        <v>5965</v>
      </c>
      <c r="C245" t="s">
        <v>5961</v>
      </c>
      <c r="D245" t="s">
        <v>945</v>
      </c>
      <c r="E245">
        <v>31</v>
      </c>
      <c r="F245" t="s">
        <v>2425</v>
      </c>
      <c r="H245" t="s">
        <v>2666</v>
      </c>
      <c r="J245" t="s">
        <v>5183</v>
      </c>
      <c r="K245">
        <v>161.75</v>
      </c>
      <c r="L245">
        <v>1610.97</v>
      </c>
      <c r="M245" t="s">
        <v>3755</v>
      </c>
      <c r="N245" t="s">
        <v>6497</v>
      </c>
      <c r="O245" t="s">
        <v>5984</v>
      </c>
      <c r="P245" t="s">
        <v>5984</v>
      </c>
      <c r="Q245" t="s">
        <v>5968</v>
      </c>
    </row>
    <row r="246" spans="1:18" x14ac:dyDescent="0.25">
      <c r="A246" t="s">
        <v>6498</v>
      </c>
      <c r="B246" t="s">
        <v>6026</v>
      </c>
      <c r="C246" t="s">
        <v>5988</v>
      </c>
      <c r="D246" t="s">
        <v>258</v>
      </c>
      <c r="E246">
        <v>53</v>
      </c>
      <c r="F246" t="s">
        <v>2432</v>
      </c>
      <c r="H246" t="s">
        <v>2876</v>
      </c>
      <c r="J246" t="s">
        <v>5329</v>
      </c>
      <c r="K246">
        <v>465.32</v>
      </c>
      <c r="L246">
        <v>7810.84</v>
      </c>
      <c r="M246" t="s">
        <v>2936</v>
      </c>
      <c r="N246" t="s">
        <v>6499</v>
      </c>
      <c r="O246" t="s">
        <v>1897</v>
      </c>
      <c r="P246" t="s">
        <v>1648</v>
      </c>
      <c r="Q246" t="s">
        <v>5968</v>
      </c>
      <c r="R246" t="s">
        <v>4235</v>
      </c>
    </row>
    <row r="247" spans="1:18" x14ac:dyDescent="0.25">
      <c r="A247" t="s">
        <v>6500</v>
      </c>
      <c r="B247" t="s">
        <v>5965</v>
      </c>
      <c r="C247" t="s">
        <v>5981</v>
      </c>
      <c r="D247" t="s">
        <v>152</v>
      </c>
      <c r="E247">
        <v>34</v>
      </c>
      <c r="F247" t="s">
        <v>2376</v>
      </c>
      <c r="H247" t="s">
        <v>2731</v>
      </c>
      <c r="J247" t="s">
        <v>3657</v>
      </c>
      <c r="K247">
        <v>230.14</v>
      </c>
      <c r="L247">
        <v>7468.55</v>
      </c>
      <c r="M247" t="s">
        <v>3496</v>
      </c>
      <c r="N247" t="s">
        <v>6501</v>
      </c>
      <c r="O247" t="s">
        <v>1746</v>
      </c>
      <c r="P247" t="s">
        <v>1897</v>
      </c>
      <c r="Q247" t="s">
        <v>5968</v>
      </c>
    </row>
    <row r="248" spans="1:18" x14ac:dyDescent="0.25">
      <c r="A248" t="s">
        <v>6502</v>
      </c>
      <c r="B248" t="s">
        <v>5970</v>
      </c>
      <c r="C248" t="s">
        <v>5961</v>
      </c>
      <c r="D248" t="s">
        <v>990</v>
      </c>
      <c r="E248">
        <v>24</v>
      </c>
      <c r="F248" t="s">
        <v>2456</v>
      </c>
      <c r="H248" t="s">
        <v>2635</v>
      </c>
      <c r="J248" t="s">
        <v>2475</v>
      </c>
      <c r="K248">
        <v>96.88</v>
      </c>
      <c r="L248">
        <v>9551.2000000000007</v>
      </c>
      <c r="M248" t="s">
        <v>1756</v>
      </c>
      <c r="N248" t="s">
        <v>6503</v>
      </c>
      <c r="O248" t="s">
        <v>1764</v>
      </c>
      <c r="P248" t="s">
        <v>2447</v>
      </c>
      <c r="Q248" t="s">
        <v>5963</v>
      </c>
    </row>
    <row r="249" spans="1:18" x14ac:dyDescent="0.25">
      <c r="A249" t="s">
        <v>6504</v>
      </c>
      <c r="B249" t="s">
        <v>5981</v>
      </c>
      <c r="C249" t="s">
        <v>5961</v>
      </c>
      <c r="D249" t="s">
        <v>228</v>
      </c>
      <c r="E249">
        <v>23</v>
      </c>
      <c r="F249" t="s">
        <v>2407</v>
      </c>
      <c r="H249" t="s">
        <v>3169</v>
      </c>
      <c r="J249" t="s">
        <v>2481</v>
      </c>
      <c r="K249">
        <v>246.39</v>
      </c>
      <c r="L249">
        <v>6072.7</v>
      </c>
      <c r="M249" t="s">
        <v>2642</v>
      </c>
      <c r="N249" t="s">
        <v>6505</v>
      </c>
      <c r="O249" t="s">
        <v>1897</v>
      </c>
      <c r="P249" t="s">
        <v>1746</v>
      </c>
      <c r="Q249" t="s">
        <v>5963</v>
      </c>
      <c r="R249" t="s">
        <v>6002</v>
      </c>
    </row>
    <row r="250" spans="1:18" x14ac:dyDescent="0.25">
      <c r="A250" t="s">
        <v>6506</v>
      </c>
      <c r="B250" t="s">
        <v>5981</v>
      </c>
      <c r="C250" t="s">
        <v>5971</v>
      </c>
      <c r="D250" t="s">
        <v>348</v>
      </c>
      <c r="E250">
        <v>88</v>
      </c>
      <c r="F250" t="s">
        <v>2456</v>
      </c>
      <c r="H250" t="s">
        <v>6384</v>
      </c>
      <c r="J250" t="s">
        <v>3634</v>
      </c>
      <c r="K250">
        <v>100.61</v>
      </c>
      <c r="L250">
        <v>38063.99</v>
      </c>
      <c r="M250" t="s">
        <v>1522</v>
      </c>
      <c r="N250" t="s">
        <v>6507</v>
      </c>
      <c r="O250" t="s">
        <v>5977</v>
      </c>
      <c r="P250" t="s">
        <v>1746</v>
      </c>
      <c r="Q250" t="s">
        <v>5963</v>
      </c>
      <c r="R250" t="s">
        <v>5979</v>
      </c>
    </row>
    <row r="251" spans="1:18" x14ac:dyDescent="0.25">
      <c r="A251" t="s">
        <v>6508</v>
      </c>
      <c r="B251" t="s">
        <v>6026</v>
      </c>
      <c r="C251" t="s">
        <v>5975</v>
      </c>
      <c r="D251" t="s">
        <v>146</v>
      </c>
      <c r="E251">
        <v>72</v>
      </c>
      <c r="F251" t="s">
        <v>2449</v>
      </c>
      <c r="H251" t="s">
        <v>3130</v>
      </c>
      <c r="J251" t="s">
        <v>3946</v>
      </c>
      <c r="K251">
        <v>254.31</v>
      </c>
      <c r="L251">
        <v>5354.17</v>
      </c>
      <c r="M251" t="s">
        <v>2984</v>
      </c>
      <c r="N251" t="s">
        <v>6509</v>
      </c>
      <c r="O251" t="s">
        <v>5984</v>
      </c>
      <c r="P251" t="s">
        <v>1764</v>
      </c>
      <c r="Q251" t="s">
        <v>5968</v>
      </c>
      <c r="R251" t="s">
        <v>6002</v>
      </c>
    </row>
    <row r="252" spans="1:18" x14ac:dyDescent="0.25">
      <c r="A252" t="s">
        <v>6510</v>
      </c>
      <c r="B252" t="s">
        <v>5974</v>
      </c>
      <c r="C252" t="s">
        <v>5961</v>
      </c>
      <c r="D252" t="s">
        <v>311</v>
      </c>
      <c r="E252">
        <v>71</v>
      </c>
      <c r="F252" t="s">
        <v>2432</v>
      </c>
      <c r="H252" t="s">
        <v>2912</v>
      </c>
      <c r="K252">
        <v>481.99</v>
      </c>
      <c r="L252">
        <v>34888.18</v>
      </c>
      <c r="M252" t="s">
        <v>6511</v>
      </c>
      <c r="N252" t="s">
        <v>6512</v>
      </c>
      <c r="O252" t="s">
        <v>2447</v>
      </c>
      <c r="P252" t="s">
        <v>5978</v>
      </c>
      <c r="Q252" t="s">
        <v>5963</v>
      </c>
      <c r="R252" t="s">
        <v>5979</v>
      </c>
    </row>
    <row r="253" spans="1:18" x14ac:dyDescent="0.25">
      <c r="A253" t="s">
        <v>6513</v>
      </c>
      <c r="B253" t="s">
        <v>5981</v>
      </c>
      <c r="C253" t="s">
        <v>5988</v>
      </c>
      <c r="D253" t="s">
        <v>646</v>
      </c>
      <c r="E253">
        <v>47</v>
      </c>
      <c r="F253" t="s">
        <v>2398</v>
      </c>
      <c r="H253" t="s">
        <v>2612</v>
      </c>
      <c r="J253" t="s">
        <v>2548</v>
      </c>
      <c r="K253">
        <v>418.31</v>
      </c>
      <c r="L253">
        <v>19733.509999999998</v>
      </c>
      <c r="M253" t="s">
        <v>3493</v>
      </c>
      <c r="N253" t="s">
        <v>6514</v>
      </c>
      <c r="O253" t="s">
        <v>5978</v>
      </c>
      <c r="P253" t="s">
        <v>1764</v>
      </c>
      <c r="Q253" t="s">
        <v>5963</v>
      </c>
      <c r="R253" t="s">
        <v>4235</v>
      </c>
    </row>
    <row r="254" spans="1:18" x14ac:dyDescent="0.25">
      <c r="A254" t="s">
        <v>6515</v>
      </c>
      <c r="B254" t="s">
        <v>5981</v>
      </c>
      <c r="C254" t="s">
        <v>5988</v>
      </c>
      <c r="D254" t="s">
        <v>432</v>
      </c>
      <c r="E254">
        <v>44</v>
      </c>
      <c r="F254" t="s">
        <v>2440</v>
      </c>
      <c r="H254" t="s">
        <v>3130</v>
      </c>
      <c r="J254" t="s">
        <v>5282</v>
      </c>
      <c r="K254">
        <v>261.17</v>
      </c>
      <c r="L254">
        <v>13039.61</v>
      </c>
      <c r="M254" t="s">
        <v>3852</v>
      </c>
      <c r="N254" t="s">
        <v>6516</v>
      </c>
      <c r="O254" t="s">
        <v>1764</v>
      </c>
      <c r="P254" t="s">
        <v>2447</v>
      </c>
      <c r="Q254" t="s">
        <v>5968</v>
      </c>
    </row>
    <row r="255" spans="1:18" x14ac:dyDescent="0.25">
      <c r="A255" t="s">
        <v>6517</v>
      </c>
      <c r="B255" t="s">
        <v>5974</v>
      </c>
      <c r="C255" t="s">
        <v>5982</v>
      </c>
      <c r="D255" t="s">
        <v>515</v>
      </c>
      <c r="E255">
        <v>62</v>
      </c>
      <c r="F255" t="s">
        <v>2376</v>
      </c>
      <c r="H255" t="s">
        <v>2841</v>
      </c>
      <c r="J255" t="s">
        <v>2541</v>
      </c>
      <c r="K255">
        <v>479.07</v>
      </c>
      <c r="L255">
        <v>7372.97</v>
      </c>
      <c r="M255" t="s">
        <v>3518</v>
      </c>
      <c r="N255" t="s">
        <v>6518</v>
      </c>
      <c r="O255" t="s">
        <v>2447</v>
      </c>
      <c r="P255" t="s">
        <v>1746</v>
      </c>
      <c r="Q255" t="s">
        <v>5968</v>
      </c>
    </row>
    <row r="256" spans="1:18" x14ac:dyDescent="0.25">
      <c r="A256" t="s">
        <v>6519</v>
      </c>
      <c r="B256" t="s">
        <v>5974</v>
      </c>
      <c r="C256" t="s">
        <v>5981</v>
      </c>
      <c r="D256" t="s">
        <v>990</v>
      </c>
      <c r="E256">
        <v>93</v>
      </c>
      <c r="F256" t="s">
        <v>2416</v>
      </c>
      <c r="H256" t="s">
        <v>6210</v>
      </c>
      <c r="J256" t="s">
        <v>3469</v>
      </c>
      <c r="K256">
        <v>439.56</v>
      </c>
      <c r="L256">
        <v>7769.16</v>
      </c>
      <c r="M256" t="s">
        <v>3382</v>
      </c>
      <c r="N256" t="s">
        <v>6520</v>
      </c>
      <c r="O256" t="s">
        <v>5984</v>
      </c>
      <c r="P256" t="s">
        <v>1897</v>
      </c>
      <c r="Q256" t="s">
        <v>3434</v>
      </c>
      <c r="R256" t="s">
        <v>6002</v>
      </c>
    </row>
    <row r="257" spans="1:18" x14ac:dyDescent="0.25">
      <c r="A257" t="s">
        <v>6521</v>
      </c>
      <c r="B257" t="s">
        <v>5965</v>
      </c>
      <c r="C257" t="s">
        <v>5981</v>
      </c>
      <c r="D257" t="s">
        <v>51</v>
      </c>
      <c r="E257">
        <v>26</v>
      </c>
      <c r="F257" t="s">
        <v>2432</v>
      </c>
      <c r="H257" t="s">
        <v>2612</v>
      </c>
      <c r="K257">
        <v>114.96</v>
      </c>
      <c r="L257">
        <v>8116.81</v>
      </c>
      <c r="M257" t="s">
        <v>3244</v>
      </c>
      <c r="N257" t="s">
        <v>6522</v>
      </c>
      <c r="O257" t="s">
        <v>1746</v>
      </c>
      <c r="P257" t="s">
        <v>5978</v>
      </c>
      <c r="Q257" t="s">
        <v>5963</v>
      </c>
      <c r="R257" t="s">
        <v>6002</v>
      </c>
    </row>
    <row r="258" spans="1:18" x14ac:dyDescent="0.25">
      <c r="A258" t="s">
        <v>6523</v>
      </c>
      <c r="B258" t="s">
        <v>5981</v>
      </c>
      <c r="C258" t="s">
        <v>6011</v>
      </c>
      <c r="D258" t="s">
        <v>571</v>
      </c>
      <c r="E258">
        <v>31</v>
      </c>
      <c r="F258" t="s">
        <v>2388</v>
      </c>
      <c r="H258" t="s">
        <v>6040</v>
      </c>
      <c r="K258">
        <v>489.7</v>
      </c>
      <c r="L258">
        <v>9311.32</v>
      </c>
      <c r="M258" t="s">
        <v>3294</v>
      </c>
      <c r="N258" t="s">
        <v>6524</v>
      </c>
      <c r="O258" t="s">
        <v>1764</v>
      </c>
      <c r="P258" t="s">
        <v>2447</v>
      </c>
      <c r="Q258" t="s">
        <v>5963</v>
      </c>
      <c r="R258" t="s">
        <v>5979</v>
      </c>
    </row>
    <row r="259" spans="1:18" x14ac:dyDescent="0.25">
      <c r="A259" t="s">
        <v>6525</v>
      </c>
      <c r="B259" t="s">
        <v>6026</v>
      </c>
      <c r="C259" t="s">
        <v>5981</v>
      </c>
      <c r="D259" t="s">
        <v>1000</v>
      </c>
      <c r="E259">
        <v>66</v>
      </c>
      <c r="F259" t="s">
        <v>2440</v>
      </c>
      <c r="H259" t="s">
        <v>2837</v>
      </c>
      <c r="J259" t="s">
        <v>2538</v>
      </c>
      <c r="K259">
        <v>341.99</v>
      </c>
      <c r="L259">
        <v>24818.57</v>
      </c>
      <c r="M259" t="s">
        <v>3456</v>
      </c>
      <c r="N259" t="s">
        <v>6526</v>
      </c>
      <c r="O259" t="s">
        <v>5978</v>
      </c>
      <c r="P259" t="s">
        <v>2447</v>
      </c>
      <c r="Q259" t="s">
        <v>5963</v>
      </c>
    </row>
    <row r="260" spans="1:18" x14ac:dyDescent="0.25">
      <c r="A260" t="s">
        <v>6527</v>
      </c>
      <c r="B260" t="s">
        <v>5970</v>
      </c>
      <c r="C260" t="s">
        <v>5988</v>
      </c>
      <c r="D260" t="s">
        <v>651</v>
      </c>
      <c r="E260">
        <v>71</v>
      </c>
      <c r="F260" t="s">
        <v>2440</v>
      </c>
      <c r="H260" t="s">
        <v>2978</v>
      </c>
      <c r="J260" t="s">
        <v>4590</v>
      </c>
      <c r="K260">
        <v>235.53</v>
      </c>
      <c r="L260">
        <v>24946.62</v>
      </c>
      <c r="M260" t="s">
        <v>5369</v>
      </c>
      <c r="N260" t="s">
        <v>6528</v>
      </c>
      <c r="O260" t="s">
        <v>2447</v>
      </c>
      <c r="P260" t="s">
        <v>2447</v>
      </c>
      <c r="Q260" t="s">
        <v>5963</v>
      </c>
      <c r="R260" t="s">
        <v>4235</v>
      </c>
    </row>
    <row r="261" spans="1:18" x14ac:dyDescent="0.25">
      <c r="A261" t="s">
        <v>6529</v>
      </c>
      <c r="B261" t="s">
        <v>5974</v>
      </c>
      <c r="C261" t="s">
        <v>5993</v>
      </c>
      <c r="D261" t="s">
        <v>139</v>
      </c>
      <c r="E261">
        <v>14</v>
      </c>
      <c r="F261" t="s">
        <v>2425</v>
      </c>
      <c r="H261" t="s">
        <v>6147</v>
      </c>
      <c r="J261" t="s">
        <v>3448</v>
      </c>
      <c r="K261">
        <v>206.61</v>
      </c>
      <c r="L261">
        <v>2521.08</v>
      </c>
      <c r="M261" t="s">
        <v>3478</v>
      </c>
      <c r="N261" t="s">
        <v>6530</v>
      </c>
      <c r="O261" t="s">
        <v>1648</v>
      </c>
      <c r="P261" t="s">
        <v>1746</v>
      </c>
      <c r="Q261" t="s">
        <v>5963</v>
      </c>
    </row>
    <row r="262" spans="1:18" x14ac:dyDescent="0.25">
      <c r="A262" t="s">
        <v>6531</v>
      </c>
      <c r="B262" t="s">
        <v>6026</v>
      </c>
      <c r="C262" t="s">
        <v>5982</v>
      </c>
      <c r="D262" t="s">
        <v>975</v>
      </c>
      <c r="E262">
        <v>23</v>
      </c>
      <c r="F262" t="s">
        <v>2425</v>
      </c>
      <c r="H262" t="s">
        <v>3388</v>
      </c>
      <c r="J262" t="s">
        <v>5272</v>
      </c>
      <c r="K262">
        <v>338</v>
      </c>
      <c r="L262">
        <v>10135.42</v>
      </c>
      <c r="M262" t="s">
        <v>4612</v>
      </c>
      <c r="N262" t="s">
        <v>6532</v>
      </c>
      <c r="O262" t="s">
        <v>1764</v>
      </c>
      <c r="P262" t="s">
        <v>5978</v>
      </c>
      <c r="Q262" t="s">
        <v>5963</v>
      </c>
    </row>
    <row r="263" spans="1:18" x14ac:dyDescent="0.25">
      <c r="A263" t="s">
        <v>6533</v>
      </c>
      <c r="B263" t="s">
        <v>3442</v>
      </c>
      <c r="C263" t="s">
        <v>6011</v>
      </c>
      <c r="D263" t="s">
        <v>290</v>
      </c>
      <c r="E263">
        <v>50</v>
      </c>
      <c r="F263" t="s">
        <v>2398</v>
      </c>
      <c r="G263" t="s">
        <v>2376</v>
      </c>
      <c r="H263" t="s">
        <v>6238</v>
      </c>
      <c r="I263" t="s">
        <v>2666</v>
      </c>
      <c r="J263" t="s">
        <v>3579</v>
      </c>
      <c r="K263">
        <v>248.36</v>
      </c>
      <c r="L263">
        <v>3385.36</v>
      </c>
      <c r="M263" t="s">
        <v>3756</v>
      </c>
      <c r="N263" t="s">
        <v>6534</v>
      </c>
      <c r="O263" t="s">
        <v>5977</v>
      </c>
      <c r="P263" t="s">
        <v>1648</v>
      </c>
      <c r="Q263" t="s">
        <v>5963</v>
      </c>
      <c r="R263" t="s">
        <v>5979</v>
      </c>
    </row>
    <row r="264" spans="1:18" x14ac:dyDescent="0.25">
      <c r="A264" t="s">
        <v>6535</v>
      </c>
      <c r="B264" t="s">
        <v>5960</v>
      </c>
      <c r="C264" t="s">
        <v>5982</v>
      </c>
      <c r="D264" t="s">
        <v>895</v>
      </c>
      <c r="E264">
        <v>99</v>
      </c>
      <c r="F264" t="s">
        <v>2432</v>
      </c>
      <c r="G264" t="s">
        <v>2432</v>
      </c>
      <c r="H264" t="s">
        <v>6012</v>
      </c>
      <c r="I264" t="s">
        <v>3116</v>
      </c>
      <c r="J264" t="s">
        <v>4242</v>
      </c>
      <c r="K264">
        <v>204.58</v>
      </c>
      <c r="L264">
        <v>39111.910000000003</v>
      </c>
      <c r="M264" t="s">
        <v>2864</v>
      </c>
      <c r="N264" t="s">
        <v>6536</v>
      </c>
      <c r="O264" t="s">
        <v>2447</v>
      </c>
      <c r="P264" t="s">
        <v>5984</v>
      </c>
      <c r="Q264" t="s">
        <v>5968</v>
      </c>
    </row>
    <row r="265" spans="1:18" x14ac:dyDescent="0.25">
      <c r="A265" t="s">
        <v>6537</v>
      </c>
      <c r="B265" t="s">
        <v>5965</v>
      </c>
      <c r="C265" t="s">
        <v>5993</v>
      </c>
      <c r="D265" t="s">
        <v>1041</v>
      </c>
      <c r="E265">
        <v>51</v>
      </c>
      <c r="F265" t="s">
        <v>2388</v>
      </c>
      <c r="H265" t="s">
        <v>6538</v>
      </c>
      <c r="K265">
        <v>145.15</v>
      </c>
      <c r="L265">
        <v>21357.23</v>
      </c>
      <c r="M265" t="s">
        <v>4732</v>
      </c>
      <c r="N265" t="s">
        <v>6539</v>
      </c>
      <c r="O265" t="s">
        <v>1746</v>
      </c>
      <c r="P265" t="s">
        <v>5978</v>
      </c>
      <c r="Q265" t="s">
        <v>5963</v>
      </c>
      <c r="R265" t="s">
        <v>4235</v>
      </c>
    </row>
    <row r="266" spans="1:18" x14ac:dyDescent="0.25">
      <c r="A266" t="s">
        <v>6540</v>
      </c>
      <c r="B266" t="s">
        <v>3442</v>
      </c>
      <c r="C266" t="s">
        <v>5988</v>
      </c>
      <c r="D266" t="s">
        <v>677</v>
      </c>
      <c r="E266">
        <v>33</v>
      </c>
      <c r="F266" t="s">
        <v>2376</v>
      </c>
      <c r="G266" t="s">
        <v>2456</v>
      </c>
      <c r="H266" t="s">
        <v>2803</v>
      </c>
      <c r="I266" t="s">
        <v>3186</v>
      </c>
      <c r="J266" t="s">
        <v>5918</v>
      </c>
      <c r="K266">
        <v>115.41</v>
      </c>
      <c r="L266">
        <v>8204.3700000000008</v>
      </c>
      <c r="M266" t="s">
        <v>4977</v>
      </c>
      <c r="N266" t="s">
        <v>6541</v>
      </c>
      <c r="O266" t="s">
        <v>5977</v>
      </c>
      <c r="P266" t="s">
        <v>5977</v>
      </c>
      <c r="Q266" t="s">
        <v>5963</v>
      </c>
      <c r="R266" t="s">
        <v>4235</v>
      </c>
    </row>
    <row r="267" spans="1:18" x14ac:dyDescent="0.25">
      <c r="A267" t="s">
        <v>6542</v>
      </c>
      <c r="B267" t="s">
        <v>5965</v>
      </c>
      <c r="C267" t="s">
        <v>5993</v>
      </c>
      <c r="D267" t="s">
        <v>586</v>
      </c>
      <c r="E267">
        <v>89</v>
      </c>
      <c r="F267" t="s">
        <v>2416</v>
      </c>
      <c r="H267" t="s">
        <v>3094</v>
      </c>
      <c r="J267" t="s">
        <v>5591</v>
      </c>
      <c r="K267">
        <v>318.39999999999998</v>
      </c>
      <c r="L267">
        <v>37231.18</v>
      </c>
      <c r="M267" t="s">
        <v>3382</v>
      </c>
      <c r="N267" t="s">
        <v>6543</v>
      </c>
      <c r="O267" t="s">
        <v>1897</v>
      </c>
      <c r="P267" t="s">
        <v>5977</v>
      </c>
      <c r="Q267" t="s">
        <v>5968</v>
      </c>
      <c r="R267" t="s">
        <v>4235</v>
      </c>
    </row>
    <row r="268" spans="1:18" x14ac:dyDescent="0.25">
      <c r="A268" t="s">
        <v>6544</v>
      </c>
      <c r="B268" t="s">
        <v>5970</v>
      </c>
      <c r="C268" t="s">
        <v>5971</v>
      </c>
      <c r="D268" t="s">
        <v>139</v>
      </c>
      <c r="E268">
        <v>85</v>
      </c>
      <c r="F268" t="s">
        <v>2416</v>
      </c>
      <c r="H268" t="s">
        <v>2694</v>
      </c>
      <c r="J268" t="s">
        <v>2558</v>
      </c>
      <c r="K268">
        <v>169.11</v>
      </c>
      <c r="L268">
        <v>17490.830000000002</v>
      </c>
      <c r="M268" t="s">
        <v>3682</v>
      </c>
      <c r="N268" t="s">
        <v>6545</v>
      </c>
      <c r="O268" t="s">
        <v>1746</v>
      </c>
      <c r="P268" t="s">
        <v>2447</v>
      </c>
      <c r="Q268" t="s">
        <v>5963</v>
      </c>
    </row>
    <row r="269" spans="1:18" x14ac:dyDescent="0.25">
      <c r="A269" t="s">
        <v>6546</v>
      </c>
      <c r="B269" t="s">
        <v>3442</v>
      </c>
      <c r="C269" t="s">
        <v>5993</v>
      </c>
      <c r="D269" t="s">
        <v>809</v>
      </c>
      <c r="E269">
        <v>21</v>
      </c>
      <c r="F269" t="s">
        <v>2440</v>
      </c>
      <c r="G269" t="s">
        <v>2449</v>
      </c>
      <c r="H269" t="s">
        <v>6384</v>
      </c>
      <c r="I269" t="s">
        <v>3336</v>
      </c>
      <c r="J269" t="s">
        <v>4882</v>
      </c>
      <c r="K269">
        <v>323.98</v>
      </c>
      <c r="L269">
        <v>6151.42</v>
      </c>
      <c r="M269" t="s">
        <v>3688</v>
      </c>
      <c r="N269" t="s">
        <v>6547</v>
      </c>
      <c r="O269" t="s">
        <v>2447</v>
      </c>
      <c r="P269" t="s">
        <v>5978</v>
      </c>
      <c r="Q269" t="s">
        <v>5963</v>
      </c>
      <c r="R269" t="s">
        <v>6002</v>
      </c>
    </row>
    <row r="270" spans="1:18" x14ac:dyDescent="0.25">
      <c r="A270" t="s">
        <v>6548</v>
      </c>
      <c r="B270" t="s">
        <v>5970</v>
      </c>
      <c r="C270" t="s">
        <v>5993</v>
      </c>
      <c r="D270" t="s">
        <v>693</v>
      </c>
      <c r="E270">
        <v>14</v>
      </c>
      <c r="F270" t="s">
        <v>2416</v>
      </c>
      <c r="H270" t="s">
        <v>3067</v>
      </c>
      <c r="K270">
        <v>256.11</v>
      </c>
      <c r="L270">
        <v>3843.93</v>
      </c>
      <c r="M270" t="s">
        <v>3477</v>
      </c>
      <c r="N270" t="s">
        <v>6549</v>
      </c>
      <c r="O270" t="s">
        <v>5978</v>
      </c>
      <c r="P270" t="s">
        <v>5984</v>
      </c>
      <c r="Q270" t="s">
        <v>5963</v>
      </c>
      <c r="R270" t="s">
        <v>6002</v>
      </c>
    </row>
    <row r="271" spans="1:18" x14ac:dyDescent="0.25">
      <c r="A271" t="s">
        <v>6550</v>
      </c>
      <c r="B271" t="s">
        <v>5960</v>
      </c>
      <c r="C271" t="s">
        <v>5981</v>
      </c>
      <c r="D271" t="s">
        <v>332</v>
      </c>
      <c r="E271">
        <v>55</v>
      </c>
      <c r="F271" t="s">
        <v>2456</v>
      </c>
      <c r="G271" t="s">
        <v>2449</v>
      </c>
      <c r="H271" t="s">
        <v>2602</v>
      </c>
      <c r="I271" t="s">
        <v>6215</v>
      </c>
      <c r="J271" t="s">
        <v>4910</v>
      </c>
      <c r="K271">
        <v>280.72000000000003</v>
      </c>
      <c r="L271">
        <v>24616.07</v>
      </c>
      <c r="M271" t="s">
        <v>2703</v>
      </c>
      <c r="N271" t="s">
        <v>6551</v>
      </c>
      <c r="O271" t="s">
        <v>5978</v>
      </c>
      <c r="P271" t="s">
        <v>2447</v>
      </c>
      <c r="Q271" t="s">
        <v>5963</v>
      </c>
      <c r="R271" t="s">
        <v>6002</v>
      </c>
    </row>
    <row r="272" spans="1:18" x14ac:dyDescent="0.25">
      <c r="A272" t="s">
        <v>6552</v>
      </c>
      <c r="B272" t="s">
        <v>5970</v>
      </c>
      <c r="C272" t="s">
        <v>5971</v>
      </c>
      <c r="D272" t="s">
        <v>1036</v>
      </c>
      <c r="E272">
        <v>75</v>
      </c>
      <c r="F272" t="s">
        <v>2432</v>
      </c>
      <c r="H272" t="s">
        <v>2966</v>
      </c>
      <c r="J272" t="s">
        <v>2501</v>
      </c>
      <c r="K272">
        <v>199.79</v>
      </c>
      <c r="L272">
        <v>37197.81</v>
      </c>
      <c r="M272" t="s">
        <v>5118</v>
      </c>
      <c r="N272" t="s">
        <v>6553</v>
      </c>
      <c r="O272" t="s">
        <v>5978</v>
      </c>
      <c r="P272" t="s">
        <v>1897</v>
      </c>
      <c r="Q272" t="s">
        <v>5963</v>
      </c>
      <c r="R272" t="s">
        <v>6002</v>
      </c>
    </row>
    <row r="273" spans="1:18" x14ac:dyDescent="0.25">
      <c r="A273" t="s">
        <v>6554</v>
      </c>
      <c r="B273" t="s">
        <v>5965</v>
      </c>
      <c r="C273" t="s">
        <v>6011</v>
      </c>
      <c r="D273" t="s">
        <v>87</v>
      </c>
      <c r="E273">
        <v>15</v>
      </c>
      <c r="F273" t="s">
        <v>2449</v>
      </c>
      <c r="H273" t="s">
        <v>2794</v>
      </c>
      <c r="J273" t="s">
        <v>2512</v>
      </c>
      <c r="K273">
        <v>373.45</v>
      </c>
      <c r="L273">
        <v>5266.29</v>
      </c>
      <c r="M273" t="s">
        <v>2945</v>
      </c>
      <c r="N273" t="s">
        <v>6555</v>
      </c>
      <c r="O273" t="s">
        <v>5977</v>
      </c>
      <c r="P273" t="s">
        <v>5984</v>
      </c>
      <c r="Q273" t="s">
        <v>3434</v>
      </c>
      <c r="R273" t="s">
        <v>6002</v>
      </c>
    </row>
    <row r="274" spans="1:18" x14ac:dyDescent="0.25">
      <c r="A274" t="s">
        <v>6556</v>
      </c>
      <c r="B274" t="s">
        <v>5960</v>
      </c>
      <c r="C274" t="s">
        <v>5975</v>
      </c>
      <c r="D274" t="s">
        <v>621</v>
      </c>
      <c r="E274">
        <v>18</v>
      </c>
      <c r="F274" t="s">
        <v>2407</v>
      </c>
      <c r="G274" t="s">
        <v>2376</v>
      </c>
      <c r="H274" t="s">
        <v>6557</v>
      </c>
      <c r="I274" t="s">
        <v>2770</v>
      </c>
      <c r="K274">
        <v>439.88</v>
      </c>
      <c r="L274">
        <v>8739.18</v>
      </c>
      <c r="M274" t="s">
        <v>3802</v>
      </c>
      <c r="N274" t="s">
        <v>6558</v>
      </c>
      <c r="O274" t="s">
        <v>1746</v>
      </c>
      <c r="P274" t="s">
        <v>1746</v>
      </c>
      <c r="Q274" t="s">
        <v>3434</v>
      </c>
      <c r="R274" t="s">
        <v>4235</v>
      </c>
    </row>
    <row r="275" spans="1:18" x14ac:dyDescent="0.25">
      <c r="A275" t="s">
        <v>6559</v>
      </c>
      <c r="B275" t="s">
        <v>3442</v>
      </c>
      <c r="C275" t="s">
        <v>5971</v>
      </c>
      <c r="D275" t="s">
        <v>410</v>
      </c>
      <c r="E275">
        <v>32</v>
      </c>
      <c r="F275" t="s">
        <v>2440</v>
      </c>
      <c r="G275" t="s">
        <v>2398</v>
      </c>
      <c r="H275" t="s">
        <v>3110</v>
      </c>
      <c r="I275" t="s">
        <v>6115</v>
      </c>
      <c r="J275" t="s">
        <v>4921</v>
      </c>
      <c r="K275">
        <v>238.27</v>
      </c>
      <c r="L275">
        <v>14006.71</v>
      </c>
      <c r="M275" t="s">
        <v>4063</v>
      </c>
      <c r="N275" t="s">
        <v>6560</v>
      </c>
      <c r="O275" t="s">
        <v>5977</v>
      </c>
      <c r="P275" t="s">
        <v>1648</v>
      </c>
      <c r="Q275" t="s">
        <v>5968</v>
      </c>
      <c r="R275" t="s">
        <v>4235</v>
      </c>
    </row>
    <row r="276" spans="1:18" x14ac:dyDescent="0.25">
      <c r="A276" t="s">
        <v>6561</v>
      </c>
      <c r="B276" t="s">
        <v>6026</v>
      </c>
      <c r="C276" t="s">
        <v>5993</v>
      </c>
      <c r="D276" t="s">
        <v>739</v>
      </c>
      <c r="E276">
        <v>70</v>
      </c>
      <c r="F276" t="s">
        <v>2440</v>
      </c>
      <c r="H276" t="s">
        <v>3023</v>
      </c>
      <c r="J276" t="s">
        <v>4414</v>
      </c>
      <c r="K276">
        <v>206.02</v>
      </c>
      <c r="L276">
        <v>30645.63</v>
      </c>
      <c r="M276" t="s">
        <v>3670</v>
      </c>
      <c r="N276" t="s">
        <v>6539</v>
      </c>
      <c r="O276" t="s">
        <v>1897</v>
      </c>
      <c r="P276" t="s">
        <v>1648</v>
      </c>
      <c r="Q276" t="s">
        <v>5963</v>
      </c>
      <c r="R276" t="s">
        <v>5979</v>
      </c>
    </row>
    <row r="277" spans="1:18" x14ac:dyDescent="0.25">
      <c r="A277" t="s">
        <v>6562</v>
      </c>
      <c r="B277" t="s">
        <v>3442</v>
      </c>
      <c r="C277" t="s">
        <v>5993</v>
      </c>
      <c r="D277" t="s">
        <v>1021</v>
      </c>
      <c r="E277">
        <v>38</v>
      </c>
      <c r="F277" t="s">
        <v>2376</v>
      </c>
      <c r="G277" t="s">
        <v>2398</v>
      </c>
      <c r="H277" t="s">
        <v>3225</v>
      </c>
      <c r="I277" t="s">
        <v>3336</v>
      </c>
      <c r="J277" t="s">
        <v>2541</v>
      </c>
      <c r="K277">
        <v>244.76</v>
      </c>
      <c r="L277">
        <v>2609.71</v>
      </c>
      <c r="M277" t="s">
        <v>3782</v>
      </c>
      <c r="N277" t="s">
        <v>6563</v>
      </c>
      <c r="O277" t="s">
        <v>5978</v>
      </c>
      <c r="P277" t="s">
        <v>1897</v>
      </c>
      <c r="Q277" t="s">
        <v>5968</v>
      </c>
      <c r="R277" t="s">
        <v>4235</v>
      </c>
    </row>
    <row r="278" spans="1:18" x14ac:dyDescent="0.25">
      <c r="A278" t="s">
        <v>6564</v>
      </c>
      <c r="B278" t="s">
        <v>5965</v>
      </c>
      <c r="C278" t="s">
        <v>5975</v>
      </c>
      <c r="D278" t="s">
        <v>784</v>
      </c>
      <c r="E278">
        <v>98</v>
      </c>
      <c r="F278" t="s">
        <v>2449</v>
      </c>
      <c r="H278" t="s">
        <v>3292</v>
      </c>
      <c r="J278" t="s">
        <v>5246</v>
      </c>
      <c r="K278">
        <v>119.35</v>
      </c>
      <c r="L278">
        <v>15595.97</v>
      </c>
      <c r="M278" t="s">
        <v>3516</v>
      </c>
      <c r="N278" t="s">
        <v>6565</v>
      </c>
      <c r="O278" t="s">
        <v>1746</v>
      </c>
      <c r="P278" t="s">
        <v>1764</v>
      </c>
      <c r="Q278" t="s">
        <v>5963</v>
      </c>
      <c r="R278" t="s">
        <v>4235</v>
      </c>
    </row>
    <row r="279" spans="1:18" x14ac:dyDescent="0.25">
      <c r="A279" t="s">
        <v>6566</v>
      </c>
      <c r="B279" t="s">
        <v>5960</v>
      </c>
      <c r="C279" t="s">
        <v>5975</v>
      </c>
      <c r="D279" t="s">
        <v>311</v>
      </c>
      <c r="E279">
        <v>27</v>
      </c>
      <c r="F279" t="s">
        <v>2376</v>
      </c>
      <c r="G279" t="s">
        <v>2407</v>
      </c>
      <c r="H279" t="s">
        <v>2955</v>
      </c>
      <c r="I279" t="s">
        <v>2666</v>
      </c>
      <c r="J279" t="s">
        <v>2564</v>
      </c>
      <c r="K279">
        <v>295.31</v>
      </c>
      <c r="L279">
        <v>3004.64</v>
      </c>
      <c r="M279" t="s">
        <v>3778</v>
      </c>
      <c r="N279" t="s">
        <v>6567</v>
      </c>
      <c r="O279" t="s">
        <v>5984</v>
      </c>
      <c r="P279" t="s">
        <v>1746</v>
      </c>
      <c r="Q279" t="s">
        <v>3434</v>
      </c>
    </row>
    <row r="280" spans="1:18" x14ac:dyDescent="0.25">
      <c r="A280" t="s">
        <v>6568</v>
      </c>
      <c r="B280" t="s">
        <v>5965</v>
      </c>
      <c r="C280" t="s">
        <v>5961</v>
      </c>
      <c r="D280" t="s">
        <v>703</v>
      </c>
      <c r="E280">
        <v>95</v>
      </c>
      <c r="F280" t="s">
        <v>2407</v>
      </c>
      <c r="H280" t="s">
        <v>2798</v>
      </c>
      <c r="J280" t="s">
        <v>4004</v>
      </c>
      <c r="K280">
        <v>424.02</v>
      </c>
      <c r="L280">
        <v>23458.75</v>
      </c>
      <c r="M280" t="s">
        <v>2599</v>
      </c>
      <c r="N280" t="s">
        <v>6569</v>
      </c>
      <c r="O280" t="s">
        <v>1897</v>
      </c>
      <c r="P280" t="s">
        <v>1746</v>
      </c>
      <c r="Q280" t="s">
        <v>5968</v>
      </c>
    </row>
    <row r="281" spans="1:18" x14ac:dyDescent="0.25">
      <c r="A281" t="s">
        <v>6570</v>
      </c>
      <c r="B281" t="s">
        <v>5960</v>
      </c>
      <c r="C281" t="s">
        <v>5988</v>
      </c>
      <c r="D281" t="s">
        <v>384</v>
      </c>
      <c r="E281">
        <v>35</v>
      </c>
      <c r="F281" t="s">
        <v>2425</v>
      </c>
      <c r="G281" t="s">
        <v>2440</v>
      </c>
      <c r="H281" t="s">
        <v>5998</v>
      </c>
      <c r="I281" t="s">
        <v>6115</v>
      </c>
      <c r="J281" t="s">
        <v>2495</v>
      </c>
      <c r="K281">
        <v>274.87</v>
      </c>
      <c r="L281">
        <v>12992.93</v>
      </c>
      <c r="M281" t="s">
        <v>3576</v>
      </c>
      <c r="N281" t="s">
        <v>6571</v>
      </c>
      <c r="O281" t="s">
        <v>5984</v>
      </c>
      <c r="P281" t="s">
        <v>1648</v>
      </c>
      <c r="Q281" t="s">
        <v>5963</v>
      </c>
      <c r="R281" t="s">
        <v>6002</v>
      </c>
    </row>
    <row r="282" spans="1:18" x14ac:dyDescent="0.25">
      <c r="A282" t="s">
        <v>6572</v>
      </c>
      <c r="B282" t="s">
        <v>3442</v>
      </c>
      <c r="C282" t="s">
        <v>5971</v>
      </c>
      <c r="D282" t="s">
        <v>1015</v>
      </c>
      <c r="E282">
        <v>75</v>
      </c>
      <c r="F282" t="s">
        <v>2376</v>
      </c>
      <c r="G282" t="s">
        <v>2398</v>
      </c>
      <c r="H282" t="s">
        <v>3077</v>
      </c>
      <c r="I282" t="s">
        <v>6221</v>
      </c>
      <c r="K282">
        <v>190.48</v>
      </c>
      <c r="L282">
        <v>9258.57</v>
      </c>
      <c r="M282" t="s">
        <v>2930</v>
      </c>
      <c r="N282" t="s">
        <v>6573</v>
      </c>
      <c r="O282" t="s">
        <v>1746</v>
      </c>
      <c r="P282" t="s">
        <v>5984</v>
      </c>
      <c r="Q282" t="s">
        <v>5963</v>
      </c>
    </row>
    <row r="283" spans="1:18" x14ac:dyDescent="0.25">
      <c r="A283" t="s">
        <v>6574</v>
      </c>
      <c r="B283" t="s">
        <v>3442</v>
      </c>
      <c r="C283" t="s">
        <v>5971</v>
      </c>
      <c r="D283" t="s">
        <v>636</v>
      </c>
      <c r="E283">
        <v>67</v>
      </c>
      <c r="F283" t="s">
        <v>2456</v>
      </c>
      <c r="G283" t="s">
        <v>2440</v>
      </c>
      <c r="H283" t="s">
        <v>3378</v>
      </c>
      <c r="I283" t="s">
        <v>2861</v>
      </c>
      <c r="K283">
        <v>211.86</v>
      </c>
      <c r="L283">
        <v>20951.009999999998</v>
      </c>
      <c r="M283" t="s">
        <v>3574</v>
      </c>
      <c r="N283" t="s">
        <v>6575</v>
      </c>
      <c r="O283" t="s">
        <v>5978</v>
      </c>
      <c r="P283" t="s">
        <v>1897</v>
      </c>
      <c r="Q283" t="s">
        <v>3434</v>
      </c>
    </row>
    <row r="284" spans="1:18" x14ac:dyDescent="0.25">
      <c r="A284" t="s">
        <v>6576</v>
      </c>
      <c r="B284" t="s">
        <v>5965</v>
      </c>
      <c r="C284" t="s">
        <v>5961</v>
      </c>
      <c r="D284" t="s">
        <v>611</v>
      </c>
      <c r="E284">
        <v>44</v>
      </c>
      <c r="F284" t="s">
        <v>2416</v>
      </c>
      <c r="H284" t="s">
        <v>2620</v>
      </c>
      <c r="J284" t="s">
        <v>2564</v>
      </c>
      <c r="K284">
        <v>274.76</v>
      </c>
      <c r="L284">
        <v>6719.63</v>
      </c>
      <c r="M284" t="s">
        <v>2953</v>
      </c>
      <c r="N284" t="s">
        <v>6577</v>
      </c>
      <c r="O284" t="s">
        <v>5977</v>
      </c>
      <c r="P284" t="s">
        <v>1746</v>
      </c>
      <c r="Q284" t="s">
        <v>5963</v>
      </c>
      <c r="R284" t="s">
        <v>6002</v>
      </c>
    </row>
    <row r="285" spans="1:18" x14ac:dyDescent="0.25">
      <c r="A285" t="s">
        <v>6578</v>
      </c>
      <c r="B285" t="s">
        <v>5965</v>
      </c>
      <c r="C285" t="s">
        <v>5982</v>
      </c>
      <c r="D285" t="s">
        <v>530</v>
      </c>
      <c r="E285">
        <v>46</v>
      </c>
      <c r="F285" t="s">
        <v>2440</v>
      </c>
      <c r="H285" t="s">
        <v>2607</v>
      </c>
      <c r="J285" t="s">
        <v>4125</v>
      </c>
      <c r="K285">
        <v>354.83</v>
      </c>
      <c r="L285">
        <v>7718.65</v>
      </c>
      <c r="M285" t="s">
        <v>3587</v>
      </c>
      <c r="N285" t="s">
        <v>6579</v>
      </c>
      <c r="O285" t="s">
        <v>5978</v>
      </c>
      <c r="P285" t="s">
        <v>1746</v>
      </c>
      <c r="Q285" t="s">
        <v>3434</v>
      </c>
    </row>
    <row r="286" spans="1:18" x14ac:dyDescent="0.25">
      <c r="A286" t="s">
        <v>6580</v>
      </c>
      <c r="B286" t="s">
        <v>6026</v>
      </c>
      <c r="C286" t="s">
        <v>5993</v>
      </c>
      <c r="D286" t="s">
        <v>734</v>
      </c>
      <c r="E286">
        <v>53</v>
      </c>
      <c r="F286" t="s">
        <v>2456</v>
      </c>
      <c r="H286" t="s">
        <v>6089</v>
      </c>
      <c r="K286">
        <v>151.43</v>
      </c>
      <c r="L286">
        <v>25431.88</v>
      </c>
      <c r="M286" t="s">
        <v>2849</v>
      </c>
      <c r="N286" t="s">
        <v>6581</v>
      </c>
      <c r="O286" t="s">
        <v>5977</v>
      </c>
      <c r="P286" t="s">
        <v>1648</v>
      </c>
      <c r="Q286" t="s">
        <v>5968</v>
      </c>
      <c r="R286" t="s">
        <v>5979</v>
      </c>
    </row>
    <row r="287" spans="1:18" x14ac:dyDescent="0.25">
      <c r="A287" t="s">
        <v>6582</v>
      </c>
      <c r="B287" t="s">
        <v>6026</v>
      </c>
      <c r="C287" t="s">
        <v>5993</v>
      </c>
      <c r="D287" t="s">
        <v>1086</v>
      </c>
      <c r="E287">
        <v>49</v>
      </c>
      <c r="F287" t="s">
        <v>2407</v>
      </c>
      <c r="H287" t="s">
        <v>2933</v>
      </c>
      <c r="K287">
        <v>194.21</v>
      </c>
      <c r="L287">
        <v>22021.919999999998</v>
      </c>
      <c r="M287" t="s">
        <v>2593</v>
      </c>
      <c r="N287" t="s">
        <v>6583</v>
      </c>
      <c r="O287" t="s">
        <v>2447</v>
      </c>
      <c r="P287" t="s">
        <v>5977</v>
      </c>
      <c r="Q287" t="s">
        <v>5963</v>
      </c>
    </row>
    <row r="288" spans="1:18" x14ac:dyDescent="0.25">
      <c r="A288" t="s">
        <v>6584</v>
      </c>
      <c r="B288" t="s">
        <v>5970</v>
      </c>
      <c r="C288" t="s">
        <v>5988</v>
      </c>
      <c r="D288" t="s">
        <v>698</v>
      </c>
      <c r="E288">
        <v>36</v>
      </c>
      <c r="F288" t="s">
        <v>2432</v>
      </c>
      <c r="H288" t="s">
        <v>6557</v>
      </c>
      <c r="J288" t="s">
        <v>2554</v>
      </c>
      <c r="K288">
        <v>270.95</v>
      </c>
      <c r="L288">
        <v>10086.200000000001</v>
      </c>
      <c r="M288" t="s">
        <v>3332</v>
      </c>
      <c r="N288" t="s">
        <v>6585</v>
      </c>
      <c r="O288" t="s">
        <v>1897</v>
      </c>
      <c r="P288" t="s">
        <v>5984</v>
      </c>
      <c r="Q288" t="s">
        <v>5968</v>
      </c>
      <c r="R288" t="s">
        <v>5979</v>
      </c>
    </row>
    <row r="289" spans="1:18" x14ac:dyDescent="0.25">
      <c r="A289" t="s">
        <v>6586</v>
      </c>
      <c r="B289" t="s">
        <v>5981</v>
      </c>
      <c r="C289" t="s">
        <v>6011</v>
      </c>
      <c r="D289" t="s">
        <v>905</v>
      </c>
      <c r="E289">
        <v>48</v>
      </c>
      <c r="F289" t="s">
        <v>2425</v>
      </c>
      <c r="H289" t="s">
        <v>2952</v>
      </c>
      <c r="J289" t="s">
        <v>5018</v>
      </c>
      <c r="K289">
        <v>489.32</v>
      </c>
      <c r="L289">
        <v>2949.03</v>
      </c>
      <c r="M289" t="s">
        <v>3348</v>
      </c>
      <c r="N289" t="s">
        <v>6587</v>
      </c>
      <c r="O289" t="s">
        <v>1648</v>
      </c>
      <c r="P289" t="s">
        <v>1897</v>
      </c>
      <c r="Q289" t="s">
        <v>5963</v>
      </c>
      <c r="R289" t="s">
        <v>6002</v>
      </c>
    </row>
    <row r="290" spans="1:18" x14ac:dyDescent="0.25">
      <c r="A290" t="s">
        <v>6588</v>
      </c>
      <c r="B290" t="s">
        <v>5981</v>
      </c>
      <c r="C290" t="s">
        <v>5966</v>
      </c>
      <c r="D290" t="s">
        <v>920</v>
      </c>
      <c r="E290">
        <v>11</v>
      </c>
      <c r="F290" t="s">
        <v>2416</v>
      </c>
      <c r="H290" t="s">
        <v>3016</v>
      </c>
      <c r="J290" t="s">
        <v>5485</v>
      </c>
      <c r="K290">
        <v>473.93</v>
      </c>
      <c r="L290">
        <v>3963.91</v>
      </c>
      <c r="M290" t="s">
        <v>3189</v>
      </c>
      <c r="N290" t="s">
        <v>6589</v>
      </c>
      <c r="O290" t="s">
        <v>5984</v>
      </c>
      <c r="P290" t="s">
        <v>1746</v>
      </c>
      <c r="Q290" t="s">
        <v>5963</v>
      </c>
      <c r="R290" t="s">
        <v>5979</v>
      </c>
    </row>
    <row r="291" spans="1:18" x14ac:dyDescent="0.25">
      <c r="A291" t="s">
        <v>6590</v>
      </c>
      <c r="B291" t="s">
        <v>5981</v>
      </c>
      <c r="C291" t="s">
        <v>5993</v>
      </c>
      <c r="D291" t="s">
        <v>1106</v>
      </c>
      <c r="E291">
        <v>68</v>
      </c>
      <c r="F291" t="s">
        <v>2398</v>
      </c>
      <c r="H291" t="s">
        <v>3116</v>
      </c>
      <c r="K291">
        <v>324.62</v>
      </c>
      <c r="L291">
        <v>25118.83</v>
      </c>
      <c r="M291" t="s">
        <v>4003</v>
      </c>
      <c r="N291" t="s">
        <v>6591</v>
      </c>
      <c r="O291" t="s">
        <v>5984</v>
      </c>
      <c r="P291" t="s">
        <v>1764</v>
      </c>
      <c r="Q291" t="s">
        <v>5963</v>
      </c>
      <c r="R291" t="s">
        <v>4235</v>
      </c>
    </row>
    <row r="292" spans="1:18" x14ac:dyDescent="0.25">
      <c r="A292" t="s">
        <v>6592</v>
      </c>
      <c r="B292" t="s">
        <v>3442</v>
      </c>
      <c r="C292" t="s">
        <v>5971</v>
      </c>
      <c r="D292" t="s">
        <v>515</v>
      </c>
      <c r="E292">
        <v>20</v>
      </c>
      <c r="F292" t="s">
        <v>2376</v>
      </c>
      <c r="G292" t="s">
        <v>2398</v>
      </c>
      <c r="H292" t="s">
        <v>6012</v>
      </c>
      <c r="I292" t="s">
        <v>3049</v>
      </c>
      <c r="J292" t="s">
        <v>3687</v>
      </c>
      <c r="K292">
        <v>185.08</v>
      </c>
      <c r="L292">
        <v>1510.15</v>
      </c>
      <c r="M292" t="s">
        <v>3556</v>
      </c>
      <c r="N292" t="s">
        <v>6593</v>
      </c>
      <c r="O292" t="s">
        <v>1648</v>
      </c>
      <c r="P292" t="s">
        <v>1746</v>
      </c>
      <c r="Q292" t="s">
        <v>5963</v>
      </c>
    </row>
    <row r="293" spans="1:18" x14ac:dyDescent="0.25">
      <c r="A293" t="s">
        <v>6594</v>
      </c>
      <c r="B293" t="s">
        <v>5981</v>
      </c>
      <c r="C293" t="s">
        <v>5975</v>
      </c>
      <c r="D293" t="s">
        <v>468</v>
      </c>
      <c r="E293">
        <v>37</v>
      </c>
      <c r="F293" t="s">
        <v>2456</v>
      </c>
      <c r="H293" t="s">
        <v>2752</v>
      </c>
      <c r="K293">
        <v>309.14</v>
      </c>
      <c r="L293">
        <v>3352.73</v>
      </c>
      <c r="M293" t="s">
        <v>2975</v>
      </c>
      <c r="N293" t="s">
        <v>6595</v>
      </c>
      <c r="O293" t="s">
        <v>2447</v>
      </c>
      <c r="P293" t="s">
        <v>5984</v>
      </c>
      <c r="Q293" t="s">
        <v>5963</v>
      </c>
    </row>
    <row r="294" spans="1:18" x14ac:dyDescent="0.25">
      <c r="A294" t="s">
        <v>6596</v>
      </c>
      <c r="B294" t="s">
        <v>5974</v>
      </c>
      <c r="C294" t="s">
        <v>5961</v>
      </c>
      <c r="D294" t="s">
        <v>844</v>
      </c>
      <c r="E294">
        <v>41</v>
      </c>
      <c r="F294" t="s">
        <v>2376</v>
      </c>
      <c r="H294" t="s">
        <v>2612</v>
      </c>
      <c r="J294" t="s">
        <v>4085</v>
      </c>
      <c r="K294">
        <v>410.21</v>
      </c>
      <c r="L294">
        <v>14142.27</v>
      </c>
      <c r="M294" t="s">
        <v>4049</v>
      </c>
      <c r="N294" t="s">
        <v>6597</v>
      </c>
      <c r="O294" t="s">
        <v>1897</v>
      </c>
      <c r="P294" t="s">
        <v>2447</v>
      </c>
      <c r="Q294" t="s">
        <v>5963</v>
      </c>
      <c r="R294" t="s">
        <v>6002</v>
      </c>
    </row>
    <row r="295" spans="1:18" x14ac:dyDescent="0.25">
      <c r="A295" t="s">
        <v>6598</v>
      </c>
      <c r="B295" t="s">
        <v>5965</v>
      </c>
      <c r="C295" t="s">
        <v>6011</v>
      </c>
      <c r="D295" t="s">
        <v>198</v>
      </c>
      <c r="E295">
        <v>15</v>
      </c>
      <c r="F295" t="s">
        <v>2407</v>
      </c>
      <c r="H295" t="s">
        <v>2620</v>
      </c>
      <c r="K295">
        <v>140.96</v>
      </c>
      <c r="L295">
        <v>4805.58</v>
      </c>
      <c r="M295" t="s">
        <v>2659</v>
      </c>
      <c r="N295" t="s">
        <v>6599</v>
      </c>
      <c r="O295" t="s">
        <v>1746</v>
      </c>
      <c r="P295" t="s">
        <v>1764</v>
      </c>
      <c r="Q295" t="s">
        <v>3434</v>
      </c>
      <c r="R295" t="s">
        <v>6002</v>
      </c>
    </row>
    <row r="296" spans="1:18" x14ac:dyDescent="0.25">
      <c r="A296" t="s">
        <v>6600</v>
      </c>
      <c r="B296" t="s">
        <v>5974</v>
      </c>
      <c r="C296" t="s">
        <v>5971</v>
      </c>
      <c r="D296" t="s">
        <v>198</v>
      </c>
      <c r="E296">
        <v>24</v>
      </c>
      <c r="F296" t="s">
        <v>2416</v>
      </c>
      <c r="H296" t="s">
        <v>3346</v>
      </c>
      <c r="K296">
        <v>397.97</v>
      </c>
      <c r="L296">
        <v>7887.85</v>
      </c>
      <c r="M296" t="s">
        <v>2102</v>
      </c>
      <c r="N296" t="s">
        <v>6601</v>
      </c>
      <c r="O296" t="s">
        <v>5977</v>
      </c>
      <c r="P296" t="s">
        <v>1648</v>
      </c>
      <c r="Q296" t="s">
        <v>5963</v>
      </c>
    </row>
    <row r="297" spans="1:18" x14ac:dyDescent="0.25">
      <c r="A297" t="s">
        <v>6602</v>
      </c>
      <c r="B297" t="s">
        <v>3442</v>
      </c>
      <c r="C297" t="s">
        <v>5961</v>
      </c>
      <c r="D297" t="s">
        <v>870</v>
      </c>
      <c r="E297">
        <v>40</v>
      </c>
      <c r="F297" t="s">
        <v>2398</v>
      </c>
      <c r="G297" t="s">
        <v>2456</v>
      </c>
      <c r="H297" t="s">
        <v>2784</v>
      </c>
      <c r="I297" t="s">
        <v>6603</v>
      </c>
      <c r="J297" t="s">
        <v>5733</v>
      </c>
      <c r="K297">
        <v>414.31</v>
      </c>
      <c r="L297">
        <v>4840.1000000000004</v>
      </c>
      <c r="M297" t="s">
        <v>3441</v>
      </c>
      <c r="N297" t="s">
        <v>6604</v>
      </c>
      <c r="O297" t="s">
        <v>5977</v>
      </c>
      <c r="P297" t="s">
        <v>2447</v>
      </c>
      <c r="Q297" t="s">
        <v>5968</v>
      </c>
    </row>
    <row r="298" spans="1:18" x14ac:dyDescent="0.25">
      <c r="A298" t="s">
        <v>6605</v>
      </c>
      <c r="B298" t="s">
        <v>6026</v>
      </c>
      <c r="C298" t="s">
        <v>5988</v>
      </c>
      <c r="D298" t="s">
        <v>970</v>
      </c>
      <c r="E298">
        <v>28</v>
      </c>
      <c r="F298" t="s">
        <v>2432</v>
      </c>
      <c r="H298" t="s">
        <v>2898</v>
      </c>
      <c r="J298" t="s">
        <v>2512</v>
      </c>
      <c r="K298">
        <v>446.45</v>
      </c>
      <c r="L298">
        <v>9288.0400000000009</v>
      </c>
      <c r="M298" t="s">
        <v>3423</v>
      </c>
      <c r="N298" t="s">
        <v>6606</v>
      </c>
      <c r="O298" t="s">
        <v>5977</v>
      </c>
      <c r="P298" t="s">
        <v>1764</v>
      </c>
      <c r="Q298" t="s">
        <v>5963</v>
      </c>
    </row>
    <row r="299" spans="1:18" x14ac:dyDescent="0.25">
      <c r="A299" t="s">
        <v>6607</v>
      </c>
      <c r="B299" t="s">
        <v>5960</v>
      </c>
      <c r="C299" t="s">
        <v>5993</v>
      </c>
      <c r="D299" t="s">
        <v>950</v>
      </c>
      <c r="E299">
        <v>28</v>
      </c>
      <c r="F299" t="s">
        <v>2456</v>
      </c>
      <c r="G299" t="s">
        <v>2388</v>
      </c>
      <c r="H299" t="s">
        <v>2748</v>
      </c>
      <c r="I299" t="s">
        <v>2846</v>
      </c>
      <c r="K299">
        <v>157.63</v>
      </c>
      <c r="L299">
        <v>3994.9</v>
      </c>
      <c r="M299" t="s">
        <v>4553</v>
      </c>
      <c r="N299" t="s">
        <v>6608</v>
      </c>
      <c r="O299" t="s">
        <v>1648</v>
      </c>
      <c r="P299" t="s">
        <v>5978</v>
      </c>
      <c r="Q299" t="s">
        <v>5963</v>
      </c>
      <c r="R299" t="s">
        <v>6002</v>
      </c>
    </row>
    <row r="300" spans="1:18" x14ac:dyDescent="0.25">
      <c r="A300" t="s">
        <v>6609</v>
      </c>
      <c r="B300" t="s">
        <v>3442</v>
      </c>
      <c r="C300" t="s">
        <v>5966</v>
      </c>
      <c r="D300" t="s">
        <v>662</v>
      </c>
      <c r="E300">
        <v>4</v>
      </c>
      <c r="F300" t="s">
        <v>2416</v>
      </c>
      <c r="G300" t="s">
        <v>2449</v>
      </c>
      <c r="H300" t="s">
        <v>6012</v>
      </c>
      <c r="I300" t="s">
        <v>2709</v>
      </c>
      <c r="J300" t="s">
        <v>5348</v>
      </c>
      <c r="K300">
        <v>388.01</v>
      </c>
      <c r="L300">
        <v>476.29</v>
      </c>
      <c r="M300" t="s">
        <v>4574</v>
      </c>
      <c r="N300" t="s">
        <v>6610</v>
      </c>
      <c r="O300" t="s">
        <v>1764</v>
      </c>
      <c r="P300" t="s">
        <v>1746</v>
      </c>
      <c r="Q300" t="s">
        <v>5963</v>
      </c>
    </row>
    <row r="301" spans="1:18" x14ac:dyDescent="0.25">
      <c r="A301" t="s">
        <v>6611</v>
      </c>
      <c r="B301" t="s">
        <v>5960</v>
      </c>
      <c r="C301" t="s">
        <v>5971</v>
      </c>
      <c r="D301" t="s">
        <v>591</v>
      </c>
      <c r="E301">
        <v>97</v>
      </c>
      <c r="F301" t="s">
        <v>2388</v>
      </c>
      <c r="G301" t="s">
        <v>2432</v>
      </c>
      <c r="H301" t="s">
        <v>2739</v>
      </c>
      <c r="I301" t="s">
        <v>6333</v>
      </c>
      <c r="K301">
        <v>191.96</v>
      </c>
      <c r="L301">
        <v>43646.68</v>
      </c>
      <c r="M301" t="s">
        <v>4164</v>
      </c>
      <c r="N301" t="s">
        <v>6612</v>
      </c>
      <c r="O301" t="s">
        <v>1648</v>
      </c>
      <c r="P301" t="s">
        <v>1897</v>
      </c>
      <c r="Q301" t="s">
        <v>5963</v>
      </c>
    </row>
    <row r="302" spans="1:18" x14ac:dyDescent="0.25">
      <c r="A302" t="s">
        <v>6613</v>
      </c>
      <c r="B302" t="s">
        <v>5974</v>
      </c>
      <c r="C302" t="s">
        <v>5961</v>
      </c>
      <c r="D302" t="s">
        <v>621</v>
      </c>
      <c r="E302">
        <v>60</v>
      </c>
      <c r="F302" t="s">
        <v>2425</v>
      </c>
      <c r="H302" t="s">
        <v>3027</v>
      </c>
      <c r="J302" t="s">
        <v>4077</v>
      </c>
      <c r="K302">
        <v>437.58</v>
      </c>
      <c r="L302">
        <v>6696.97</v>
      </c>
      <c r="M302" t="s">
        <v>4192</v>
      </c>
      <c r="N302" t="s">
        <v>6614</v>
      </c>
      <c r="O302" t="s">
        <v>1764</v>
      </c>
      <c r="P302" t="s">
        <v>2447</v>
      </c>
      <c r="Q302" t="s">
        <v>5963</v>
      </c>
      <c r="R302" t="s">
        <v>5979</v>
      </c>
    </row>
    <row r="303" spans="1:18" x14ac:dyDescent="0.25">
      <c r="A303" t="s">
        <v>6615</v>
      </c>
      <c r="B303" t="s">
        <v>6026</v>
      </c>
      <c r="C303" t="s">
        <v>5993</v>
      </c>
      <c r="D303" t="s">
        <v>1066</v>
      </c>
      <c r="E303">
        <v>88</v>
      </c>
      <c r="F303" t="s">
        <v>2376</v>
      </c>
      <c r="H303" t="s">
        <v>3200</v>
      </c>
      <c r="K303">
        <v>301.74</v>
      </c>
      <c r="L303">
        <v>12236.87</v>
      </c>
      <c r="M303" t="s">
        <v>3558</v>
      </c>
      <c r="N303" t="s">
        <v>6616</v>
      </c>
      <c r="O303" t="s">
        <v>1648</v>
      </c>
      <c r="P303" t="s">
        <v>2447</v>
      </c>
      <c r="Q303" t="s">
        <v>3434</v>
      </c>
    </row>
    <row r="304" spans="1:18" x14ac:dyDescent="0.25">
      <c r="A304" t="s">
        <v>6617</v>
      </c>
      <c r="B304" t="s">
        <v>5965</v>
      </c>
      <c r="C304" t="s">
        <v>6011</v>
      </c>
      <c r="D304" t="s">
        <v>1111</v>
      </c>
      <c r="E304">
        <v>63</v>
      </c>
      <c r="F304" t="s">
        <v>2449</v>
      </c>
      <c r="H304" t="s">
        <v>6207</v>
      </c>
      <c r="J304" t="s">
        <v>2512</v>
      </c>
      <c r="K304">
        <v>200.77</v>
      </c>
      <c r="L304">
        <v>23908.11</v>
      </c>
      <c r="M304" t="s">
        <v>2252</v>
      </c>
      <c r="N304" t="s">
        <v>6618</v>
      </c>
      <c r="O304" t="s">
        <v>1746</v>
      </c>
      <c r="P304" t="s">
        <v>5984</v>
      </c>
      <c r="Q304" t="s">
        <v>5968</v>
      </c>
      <c r="R304" t="s">
        <v>4235</v>
      </c>
    </row>
    <row r="305" spans="1:18" x14ac:dyDescent="0.25">
      <c r="A305" t="s">
        <v>6619</v>
      </c>
      <c r="B305" t="s">
        <v>5970</v>
      </c>
      <c r="C305" t="s">
        <v>5988</v>
      </c>
      <c r="D305" t="s">
        <v>990</v>
      </c>
      <c r="E305">
        <v>48</v>
      </c>
      <c r="F305" t="s">
        <v>2416</v>
      </c>
      <c r="H305" t="s">
        <v>3060</v>
      </c>
      <c r="K305">
        <v>452.37</v>
      </c>
      <c r="L305">
        <v>23024.01</v>
      </c>
      <c r="M305" t="s">
        <v>4182</v>
      </c>
      <c r="N305" t="s">
        <v>6620</v>
      </c>
      <c r="O305" t="s">
        <v>5978</v>
      </c>
      <c r="P305" t="s">
        <v>1746</v>
      </c>
      <c r="Q305" t="s">
        <v>5963</v>
      </c>
      <c r="R305" t="s">
        <v>5979</v>
      </c>
    </row>
    <row r="306" spans="1:18" x14ac:dyDescent="0.25">
      <c r="A306" t="s">
        <v>6621</v>
      </c>
      <c r="B306" t="s">
        <v>5974</v>
      </c>
      <c r="C306" t="s">
        <v>5993</v>
      </c>
      <c r="D306" t="s">
        <v>804</v>
      </c>
      <c r="E306">
        <v>72</v>
      </c>
      <c r="F306" t="s">
        <v>2440</v>
      </c>
      <c r="H306" t="s">
        <v>3071</v>
      </c>
      <c r="J306" t="s">
        <v>4052</v>
      </c>
      <c r="K306">
        <v>478.78</v>
      </c>
      <c r="L306">
        <v>20833.21</v>
      </c>
      <c r="M306" t="s">
        <v>3422</v>
      </c>
      <c r="N306" t="s">
        <v>6622</v>
      </c>
      <c r="O306" t="s">
        <v>1648</v>
      </c>
      <c r="P306" t="s">
        <v>1897</v>
      </c>
      <c r="Q306" t="s">
        <v>5963</v>
      </c>
      <c r="R306" t="s">
        <v>5979</v>
      </c>
    </row>
    <row r="307" spans="1:18" x14ac:dyDescent="0.25">
      <c r="A307" t="s">
        <v>6623</v>
      </c>
      <c r="B307" t="s">
        <v>3442</v>
      </c>
      <c r="C307" t="s">
        <v>5981</v>
      </c>
      <c r="D307" t="s">
        <v>774</v>
      </c>
      <c r="E307">
        <v>40</v>
      </c>
      <c r="F307" t="s">
        <v>2416</v>
      </c>
      <c r="G307" t="s">
        <v>2449</v>
      </c>
      <c r="H307" t="s">
        <v>2675</v>
      </c>
      <c r="I307" t="s">
        <v>2861</v>
      </c>
      <c r="K307">
        <v>108.62</v>
      </c>
      <c r="L307">
        <v>9205.85</v>
      </c>
      <c r="M307" t="s">
        <v>2896</v>
      </c>
      <c r="N307" t="s">
        <v>6624</v>
      </c>
      <c r="O307" t="s">
        <v>5984</v>
      </c>
      <c r="P307" t="s">
        <v>1746</v>
      </c>
      <c r="Q307" t="s">
        <v>5968</v>
      </c>
      <c r="R307" t="s">
        <v>5979</v>
      </c>
    </row>
    <row r="308" spans="1:18" x14ac:dyDescent="0.25">
      <c r="A308" t="s">
        <v>6625</v>
      </c>
      <c r="B308" t="s">
        <v>5974</v>
      </c>
      <c r="C308" t="s">
        <v>6011</v>
      </c>
      <c r="D308" t="s">
        <v>621</v>
      </c>
      <c r="E308">
        <v>5</v>
      </c>
      <c r="F308" t="s">
        <v>2425</v>
      </c>
      <c r="H308" t="s">
        <v>3084</v>
      </c>
      <c r="J308" t="s">
        <v>4474</v>
      </c>
      <c r="K308">
        <v>163.88</v>
      </c>
      <c r="L308">
        <v>428.81</v>
      </c>
      <c r="M308" t="s">
        <v>4013</v>
      </c>
      <c r="N308" t="s">
        <v>6626</v>
      </c>
      <c r="O308" t="s">
        <v>5977</v>
      </c>
      <c r="P308" t="s">
        <v>5978</v>
      </c>
      <c r="Q308" t="s">
        <v>5963</v>
      </c>
      <c r="R308" t="s">
        <v>4235</v>
      </c>
    </row>
    <row r="309" spans="1:18" x14ac:dyDescent="0.25">
      <c r="A309" t="s">
        <v>6627</v>
      </c>
      <c r="B309" t="s">
        <v>5974</v>
      </c>
      <c r="C309" t="s">
        <v>5993</v>
      </c>
      <c r="D309" t="s">
        <v>165</v>
      </c>
      <c r="E309">
        <v>10</v>
      </c>
      <c r="F309" t="s">
        <v>2432</v>
      </c>
      <c r="H309" t="s">
        <v>2653</v>
      </c>
      <c r="J309" t="s">
        <v>3810</v>
      </c>
      <c r="K309">
        <v>444.85</v>
      </c>
      <c r="L309">
        <v>842.58</v>
      </c>
      <c r="M309" t="s">
        <v>5179</v>
      </c>
      <c r="N309" t="s">
        <v>6628</v>
      </c>
      <c r="O309" t="s">
        <v>1897</v>
      </c>
      <c r="P309" t="s">
        <v>2447</v>
      </c>
      <c r="Q309" t="s">
        <v>5963</v>
      </c>
    </row>
    <row r="310" spans="1:18" x14ac:dyDescent="0.25">
      <c r="A310" t="s">
        <v>6629</v>
      </c>
      <c r="B310" t="s">
        <v>3442</v>
      </c>
      <c r="C310" t="s">
        <v>5981</v>
      </c>
      <c r="D310" t="s">
        <v>1021</v>
      </c>
      <c r="E310">
        <v>81</v>
      </c>
      <c r="F310" t="s">
        <v>2425</v>
      </c>
      <c r="G310" t="s">
        <v>2416</v>
      </c>
      <c r="H310" t="s">
        <v>2670</v>
      </c>
      <c r="I310" t="s">
        <v>3071</v>
      </c>
      <c r="J310" t="s">
        <v>4005</v>
      </c>
      <c r="K310">
        <v>274.92</v>
      </c>
      <c r="L310">
        <v>7312.45</v>
      </c>
      <c r="M310" t="s">
        <v>4237</v>
      </c>
      <c r="N310" t="s">
        <v>6630</v>
      </c>
      <c r="O310" t="s">
        <v>1648</v>
      </c>
      <c r="P310" t="s">
        <v>5978</v>
      </c>
      <c r="Q310" t="s">
        <v>5963</v>
      </c>
      <c r="R310" t="s">
        <v>4235</v>
      </c>
    </row>
    <row r="311" spans="1:18" x14ac:dyDescent="0.25">
      <c r="A311" t="s">
        <v>6631</v>
      </c>
      <c r="B311" t="s">
        <v>5981</v>
      </c>
      <c r="C311" t="s">
        <v>5988</v>
      </c>
      <c r="D311" t="s">
        <v>510</v>
      </c>
      <c r="E311">
        <v>36</v>
      </c>
      <c r="F311" t="s">
        <v>2432</v>
      </c>
      <c r="H311" t="s">
        <v>6040</v>
      </c>
      <c r="K311">
        <v>91.72</v>
      </c>
      <c r="L311">
        <v>17275.55</v>
      </c>
      <c r="M311" t="s">
        <v>2824</v>
      </c>
      <c r="N311" t="s">
        <v>6632</v>
      </c>
      <c r="O311" t="s">
        <v>1764</v>
      </c>
      <c r="P311" t="s">
        <v>1746</v>
      </c>
      <c r="Q311" t="s">
        <v>5963</v>
      </c>
      <c r="R311" t="s">
        <v>6002</v>
      </c>
    </row>
    <row r="312" spans="1:18" x14ac:dyDescent="0.25">
      <c r="A312" t="s">
        <v>6633</v>
      </c>
      <c r="B312" t="s">
        <v>5974</v>
      </c>
      <c r="C312" t="s">
        <v>5975</v>
      </c>
      <c r="D312" t="s">
        <v>865</v>
      </c>
      <c r="E312">
        <v>61</v>
      </c>
      <c r="F312" t="s">
        <v>2388</v>
      </c>
      <c r="H312" t="s">
        <v>3176</v>
      </c>
      <c r="J312" t="s">
        <v>5425</v>
      </c>
      <c r="K312">
        <v>346.15</v>
      </c>
      <c r="L312">
        <v>27062</v>
      </c>
      <c r="M312" t="s">
        <v>3530</v>
      </c>
      <c r="N312" t="s">
        <v>6634</v>
      </c>
      <c r="O312" t="s">
        <v>1764</v>
      </c>
      <c r="P312" t="s">
        <v>2447</v>
      </c>
      <c r="Q312" t="s">
        <v>5968</v>
      </c>
    </row>
    <row r="313" spans="1:18" x14ac:dyDescent="0.25">
      <c r="A313" t="s">
        <v>6635</v>
      </c>
      <c r="B313" t="s">
        <v>3442</v>
      </c>
      <c r="C313" t="s">
        <v>5966</v>
      </c>
      <c r="D313" t="s">
        <v>95</v>
      </c>
      <c r="E313">
        <v>100</v>
      </c>
      <c r="F313" t="s">
        <v>2432</v>
      </c>
      <c r="G313" t="s">
        <v>2425</v>
      </c>
      <c r="H313" t="s">
        <v>2784</v>
      </c>
      <c r="I313" t="s">
        <v>3373</v>
      </c>
      <c r="J313" t="s">
        <v>5165</v>
      </c>
      <c r="K313">
        <v>435.26</v>
      </c>
      <c r="L313">
        <v>38912.76</v>
      </c>
      <c r="M313" t="s">
        <v>3695</v>
      </c>
      <c r="N313" t="s">
        <v>6636</v>
      </c>
      <c r="O313" t="s">
        <v>5978</v>
      </c>
      <c r="P313" t="s">
        <v>5978</v>
      </c>
      <c r="Q313" t="s">
        <v>5963</v>
      </c>
      <c r="R313" t="s">
        <v>4235</v>
      </c>
    </row>
    <row r="314" spans="1:18" x14ac:dyDescent="0.25">
      <c r="A314" t="s">
        <v>6637</v>
      </c>
      <c r="B314" t="s">
        <v>5974</v>
      </c>
      <c r="C314" t="s">
        <v>5981</v>
      </c>
      <c r="D314" t="s">
        <v>703</v>
      </c>
      <c r="E314">
        <v>5</v>
      </c>
      <c r="F314" t="s">
        <v>2398</v>
      </c>
      <c r="H314" t="s">
        <v>2602</v>
      </c>
      <c r="J314" t="s">
        <v>5806</v>
      </c>
      <c r="K314">
        <v>444.32</v>
      </c>
      <c r="L314">
        <v>529.26</v>
      </c>
      <c r="M314" t="s">
        <v>4829</v>
      </c>
      <c r="N314" t="s">
        <v>6638</v>
      </c>
      <c r="O314" t="s">
        <v>5978</v>
      </c>
      <c r="P314" t="s">
        <v>5978</v>
      </c>
      <c r="Q314" t="s">
        <v>5968</v>
      </c>
      <c r="R314" t="s">
        <v>4235</v>
      </c>
    </row>
    <row r="315" spans="1:18" x14ac:dyDescent="0.25">
      <c r="A315" t="s">
        <v>6639</v>
      </c>
      <c r="B315" t="s">
        <v>5974</v>
      </c>
      <c r="C315" t="s">
        <v>6011</v>
      </c>
      <c r="D315" t="s">
        <v>657</v>
      </c>
      <c r="E315">
        <v>74</v>
      </c>
      <c r="F315" t="s">
        <v>2398</v>
      </c>
      <c r="H315" t="s">
        <v>2714</v>
      </c>
      <c r="J315" t="s">
        <v>2525</v>
      </c>
      <c r="K315">
        <v>108.69</v>
      </c>
      <c r="L315">
        <v>15115.07</v>
      </c>
      <c r="M315" t="s">
        <v>3007</v>
      </c>
      <c r="N315" t="s">
        <v>6640</v>
      </c>
      <c r="O315" t="s">
        <v>5977</v>
      </c>
      <c r="P315" t="s">
        <v>1897</v>
      </c>
      <c r="Q315" t="s">
        <v>5963</v>
      </c>
      <c r="R315" t="s">
        <v>4235</v>
      </c>
    </row>
    <row r="316" spans="1:18" x14ac:dyDescent="0.25">
      <c r="A316" t="s">
        <v>6641</v>
      </c>
      <c r="B316" t="s">
        <v>5974</v>
      </c>
      <c r="C316" t="s">
        <v>5982</v>
      </c>
      <c r="D316" t="s">
        <v>363</v>
      </c>
      <c r="E316">
        <v>35</v>
      </c>
      <c r="F316" t="s">
        <v>2456</v>
      </c>
      <c r="H316" t="s">
        <v>6162</v>
      </c>
      <c r="J316" t="s">
        <v>4668</v>
      </c>
      <c r="K316">
        <v>353.37</v>
      </c>
      <c r="L316">
        <v>14603.81</v>
      </c>
      <c r="M316" t="s">
        <v>3666</v>
      </c>
      <c r="N316" t="s">
        <v>6642</v>
      </c>
      <c r="O316" t="s">
        <v>1648</v>
      </c>
      <c r="P316" t="s">
        <v>1746</v>
      </c>
      <c r="Q316" t="s">
        <v>3434</v>
      </c>
    </row>
    <row r="317" spans="1:18" x14ac:dyDescent="0.25">
      <c r="A317" t="s">
        <v>6643</v>
      </c>
      <c r="B317" t="s">
        <v>5981</v>
      </c>
      <c r="C317" t="s">
        <v>5966</v>
      </c>
      <c r="D317" t="s">
        <v>769</v>
      </c>
      <c r="E317">
        <v>78</v>
      </c>
      <c r="F317" t="s">
        <v>2376</v>
      </c>
      <c r="H317" t="s">
        <v>6118</v>
      </c>
      <c r="K317">
        <v>106.45</v>
      </c>
      <c r="L317">
        <v>28894.81</v>
      </c>
      <c r="M317" t="s">
        <v>3352</v>
      </c>
      <c r="N317" t="s">
        <v>6644</v>
      </c>
      <c r="O317" t="s">
        <v>5984</v>
      </c>
      <c r="P317" t="s">
        <v>1764</v>
      </c>
      <c r="Q317" t="s">
        <v>3434</v>
      </c>
    </row>
    <row r="318" spans="1:18" x14ac:dyDescent="0.25">
      <c r="A318" t="s">
        <v>6645</v>
      </c>
      <c r="B318" t="s">
        <v>5981</v>
      </c>
      <c r="C318" t="s">
        <v>6011</v>
      </c>
      <c r="D318" t="s">
        <v>1061</v>
      </c>
      <c r="E318">
        <v>31</v>
      </c>
      <c r="F318" t="s">
        <v>2456</v>
      </c>
      <c r="H318" t="s">
        <v>2689</v>
      </c>
      <c r="J318" t="s">
        <v>4444</v>
      </c>
      <c r="K318">
        <v>128.18</v>
      </c>
      <c r="L318">
        <v>11393.31</v>
      </c>
      <c r="M318" t="s">
        <v>3555</v>
      </c>
      <c r="N318" t="s">
        <v>6646</v>
      </c>
      <c r="O318" t="s">
        <v>1648</v>
      </c>
      <c r="P318" t="s">
        <v>5984</v>
      </c>
      <c r="Q318" t="s">
        <v>5963</v>
      </c>
    </row>
    <row r="319" spans="1:18" x14ac:dyDescent="0.25">
      <c r="A319" t="s">
        <v>6647</v>
      </c>
      <c r="B319" t="s">
        <v>5960</v>
      </c>
      <c r="C319" t="s">
        <v>5971</v>
      </c>
      <c r="D319" t="s">
        <v>804</v>
      </c>
      <c r="E319">
        <v>26</v>
      </c>
      <c r="F319" t="s">
        <v>2440</v>
      </c>
      <c r="G319" t="s">
        <v>2398</v>
      </c>
      <c r="H319" t="s">
        <v>2635</v>
      </c>
      <c r="I319" t="s">
        <v>2675</v>
      </c>
      <c r="J319" t="s">
        <v>4060</v>
      </c>
      <c r="K319">
        <v>71.73</v>
      </c>
      <c r="L319">
        <v>2920.7</v>
      </c>
      <c r="M319" t="s">
        <v>4083</v>
      </c>
      <c r="N319" t="s">
        <v>6648</v>
      </c>
      <c r="O319" t="s">
        <v>1764</v>
      </c>
      <c r="P319" t="s">
        <v>1764</v>
      </c>
      <c r="Q319" t="s">
        <v>5963</v>
      </c>
    </row>
    <row r="320" spans="1:18" x14ac:dyDescent="0.25">
      <c r="A320" t="s">
        <v>6649</v>
      </c>
      <c r="B320" t="s">
        <v>3442</v>
      </c>
      <c r="C320" t="s">
        <v>5966</v>
      </c>
      <c r="D320" t="s">
        <v>774</v>
      </c>
      <c r="E320">
        <v>72</v>
      </c>
      <c r="F320" t="s">
        <v>2449</v>
      </c>
      <c r="G320" t="s">
        <v>2440</v>
      </c>
      <c r="H320" t="s">
        <v>2731</v>
      </c>
      <c r="I320" t="s">
        <v>6238</v>
      </c>
      <c r="K320">
        <v>102.2</v>
      </c>
      <c r="L320">
        <v>17095.310000000001</v>
      </c>
      <c r="M320" t="s">
        <v>2277</v>
      </c>
      <c r="N320" t="s">
        <v>6650</v>
      </c>
      <c r="O320" t="s">
        <v>1897</v>
      </c>
      <c r="P320" t="s">
        <v>5978</v>
      </c>
      <c r="Q320" t="s">
        <v>5963</v>
      </c>
      <c r="R320" t="s">
        <v>5979</v>
      </c>
    </row>
    <row r="321" spans="1:18" x14ac:dyDescent="0.25">
      <c r="A321" t="s">
        <v>6651</v>
      </c>
      <c r="B321" t="s">
        <v>5981</v>
      </c>
      <c r="C321" t="s">
        <v>5993</v>
      </c>
      <c r="D321" t="s">
        <v>945</v>
      </c>
      <c r="E321">
        <v>11</v>
      </c>
      <c r="F321" t="s">
        <v>2407</v>
      </c>
      <c r="H321" t="s">
        <v>3200</v>
      </c>
      <c r="J321" t="s">
        <v>3958</v>
      </c>
      <c r="K321">
        <v>379.15</v>
      </c>
      <c r="L321">
        <v>2044.77</v>
      </c>
      <c r="M321" t="s">
        <v>4262</v>
      </c>
      <c r="N321" t="s">
        <v>6652</v>
      </c>
      <c r="O321" t="s">
        <v>5984</v>
      </c>
      <c r="P321" t="s">
        <v>1746</v>
      </c>
      <c r="Q321" t="s">
        <v>5963</v>
      </c>
      <c r="R321" t="s">
        <v>5979</v>
      </c>
    </row>
    <row r="322" spans="1:18" x14ac:dyDescent="0.25">
      <c r="A322" t="s">
        <v>6653</v>
      </c>
      <c r="B322" t="s">
        <v>5981</v>
      </c>
      <c r="C322" t="s">
        <v>5993</v>
      </c>
      <c r="D322" t="s">
        <v>970</v>
      </c>
      <c r="E322">
        <v>62</v>
      </c>
      <c r="F322" t="s">
        <v>2440</v>
      </c>
      <c r="H322" t="s">
        <v>6557</v>
      </c>
      <c r="K322">
        <v>334.64</v>
      </c>
      <c r="L322">
        <v>12603.77</v>
      </c>
      <c r="M322" t="s">
        <v>4645</v>
      </c>
      <c r="N322" t="s">
        <v>6654</v>
      </c>
      <c r="O322" t="s">
        <v>5977</v>
      </c>
      <c r="P322" t="s">
        <v>1746</v>
      </c>
      <c r="Q322" t="s">
        <v>5963</v>
      </c>
      <c r="R322" t="s">
        <v>4235</v>
      </c>
    </row>
    <row r="323" spans="1:18" x14ac:dyDescent="0.25">
      <c r="A323" t="s">
        <v>6655</v>
      </c>
      <c r="B323" t="s">
        <v>5981</v>
      </c>
      <c r="C323" t="s">
        <v>5993</v>
      </c>
      <c r="D323" t="s">
        <v>1101</v>
      </c>
      <c r="E323">
        <v>72</v>
      </c>
      <c r="F323" t="s">
        <v>2398</v>
      </c>
      <c r="H323" t="s">
        <v>2670</v>
      </c>
      <c r="K323">
        <v>326.52999999999997</v>
      </c>
      <c r="L323">
        <v>25173.35</v>
      </c>
      <c r="M323" t="s">
        <v>4226</v>
      </c>
      <c r="N323" t="s">
        <v>6656</v>
      </c>
      <c r="O323" t="s">
        <v>1746</v>
      </c>
      <c r="P323" t="s">
        <v>1897</v>
      </c>
      <c r="Q323" t="s">
        <v>5963</v>
      </c>
      <c r="R323" t="s">
        <v>4235</v>
      </c>
    </row>
    <row r="324" spans="1:18" x14ac:dyDescent="0.25">
      <c r="A324" t="s">
        <v>6657</v>
      </c>
      <c r="B324" t="s">
        <v>5960</v>
      </c>
      <c r="C324" t="s">
        <v>5988</v>
      </c>
      <c r="D324" t="s">
        <v>363</v>
      </c>
      <c r="E324">
        <v>71</v>
      </c>
      <c r="F324" t="s">
        <v>2440</v>
      </c>
      <c r="G324" t="s">
        <v>2388</v>
      </c>
      <c r="H324" t="s">
        <v>2666</v>
      </c>
      <c r="I324" t="s">
        <v>3162</v>
      </c>
      <c r="K324">
        <v>423.1</v>
      </c>
      <c r="L324">
        <v>9585.74</v>
      </c>
      <c r="M324" t="s">
        <v>2696</v>
      </c>
      <c r="N324" t="s">
        <v>6658</v>
      </c>
      <c r="O324" t="s">
        <v>2447</v>
      </c>
      <c r="P324" t="s">
        <v>1764</v>
      </c>
      <c r="Q324" t="s">
        <v>5963</v>
      </c>
    </row>
    <row r="325" spans="1:18" x14ac:dyDescent="0.25">
      <c r="A325" t="s">
        <v>6659</v>
      </c>
      <c r="B325" t="s">
        <v>5974</v>
      </c>
      <c r="C325" t="s">
        <v>5993</v>
      </c>
      <c r="D325" t="s">
        <v>779</v>
      </c>
      <c r="E325">
        <v>100</v>
      </c>
      <c r="F325" t="s">
        <v>2449</v>
      </c>
      <c r="H325" t="s">
        <v>3094</v>
      </c>
      <c r="J325" t="s">
        <v>4193</v>
      </c>
      <c r="K325">
        <v>66.459999999999994</v>
      </c>
      <c r="L325">
        <v>41024.68</v>
      </c>
      <c r="M325" t="s">
        <v>2750</v>
      </c>
      <c r="N325" t="s">
        <v>6660</v>
      </c>
      <c r="O325" t="s">
        <v>1648</v>
      </c>
      <c r="P325" t="s">
        <v>5978</v>
      </c>
      <c r="Q325" t="s">
        <v>5968</v>
      </c>
    </row>
    <row r="326" spans="1:18" x14ac:dyDescent="0.25">
      <c r="A326" t="s">
        <v>6661</v>
      </c>
      <c r="B326" t="s">
        <v>5965</v>
      </c>
      <c r="C326" t="s">
        <v>5981</v>
      </c>
      <c r="D326" t="s">
        <v>295</v>
      </c>
      <c r="E326">
        <v>87</v>
      </c>
      <c r="F326" t="s">
        <v>2440</v>
      </c>
      <c r="H326" t="s">
        <v>2689</v>
      </c>
      <c r="J326" t="s">
        <v>3944</v>
      </c>
      <c r="K326">
        <v>327.06</v>
      </c>
      <c r="L326">
        <v>17959.060000000001</v>
      </c>
      <c r="M326" t="s">
        <v>3790</v>
      </c>
      <c r="N326" t="s">
        <v>6662</v>
      </c>
      <c r="O326" t="s">
        <v>5978</v>
      </c>
      <c r="P326" t="s">
        <v>5984</v>
      </c>
      <c r="Q326" t="s">
        <v>3434</v>
      </c>
    </row>
    <row r="327" spans="1:18" x14ac:dyDescent="0.25">
      <c r="A327" t="s">
        <v>6663</v>
      </c>
      <c r="B327" t="s">
        <v>5974</v>
      </c>
      <c r="C327" t="s">
        <v>5981</v>
      </c>
      <c r="D327" t="s">
        <v>269</v>
      </c>
      <c r="E327">
        <v>55</v>
      </c>
      <c r="F327" t="s">
        <v>2425</v>
      </c>
      <c r="H327" t="s">
        <v>6238</v>
      </c>
      <c r="J327" t="s">
        <v>4209</v>
      </c>
      <c r="K327">
        <v>275.97000000000003</v>
      </c>
      <c r="L327">
        <v>13807.03</v>
      </c>
      <c r="M327" t="s">
        <v>3092</v>
      </c>
      <c r="N327" t="s">
        <v>6664</v>
      </c>
      <c r="O327" t="s">
        <v>1764</v>
      </c>
      <c r="P327" t="s">
        <v>5984</v>
      </c>
      <c r="Q327" t="s">
        <v>5963</v>
      </c>
    </row>
    <row r="328" spans="1:18" x14ac:dyDescent="0.25">
      <c r="A328" t="s">
        <v>6665</v>
      </c>
      <c r="B328" t="s">
        <v>5970</v>
      </c>
      <c r="C328" t="s">
        <v>5975</v>
      </c>
      <c r="D328" t="s">
        <v>500</v>
      </c>
      <c r="E328">
        <v>43</v>
      </c>
      <c r="F328" t="s">
        <v>2398</v>
      </c>
      <c r="H328" t="s">
        <v>6147</v>
      </c>
      <c r="J328" t="s">
        <v>3940</v>
      </c>
      <c r="K328">
        <v>76.260000000000005</v>
      </c>
      <c r="L328">
        <v>4568.8900000000003</v>
      </c>
      <c r="M328" t="s">
        <v>3969</v>
      </c>
      <c r="N328" t="s">
        <v>6666</v>
      </c>
      <c r="O328" t="s">
        <v>5978</v>
      </c>
      <c r="P328" t="s">
        <v>5984</v>
      </c>
      <c r="Q328" t="s">
        <v>5963</v>
      </c>
    </row>
    <row r="329" spans="1:18" x14ac:dyDescent="0.25">
      <c r="A329" t="s">
        <v>6667</v>
      </c>
      <c r="B329" t="s">
        <v>5974</v>
      </c>
      <c r="C329" t="s">
        <v>5961</v>
      </c>
      <c r="D329" t="s">
        <v>390</v>
      </c>
      <c r="E329">
        <v>31</v>
      </c>
      <c r="F329" t="s">
        <v>2440</v>
      </c>
      <c r="H329" t="s">
        <v>2987</v>
      </c>
      <c r="J329" t="s">
        <v>5101</v>
      </c>
      <c r="K329">
        <v>88.94</v>
      </c>
      <c r="L329">
        <v>8733.42</v>
      </c>
      <c r="M329" t="s">
        <v>2759</v>
      </c>
      <c r="N329" t="s">
        <v>6668</v>
      </c>
      <c r="O329" t="s">
        <v>5978</v>
      </c>
      <c r="P329" t="s">
        <v>1764</v>
      </c>
      <c r="Q329" t="s">
        <v>3434</v>
      </c>
      <c r="R329" t="s">
        <v>4235</v>
      </c>
    </row>
    <row r="330" spans="1:18" x14ac:dyDescent="0.25">
      <c r="A330" t="s">
        <v>6669</v>
      </c>
      <c r="B330" t="s">
        <v>5974</v>
      </c>
      <c r="C330" t="s">
        <v>5988</v>
      </c>
      <c r="D330" t="s">
        <v>581</v>
      </c>
      <c r="E330">
        <v>16</v>
      </c>
      <c r="F330" t="s">
        <v>2449</v>
      </c>
      <c r="H330" t="s">
        <v>2886</v>
      </c>
      <c r="K330">
        <v>77.83</v>
      </c>
      <c r="L330">
        <v>6549.58</v>
      </c>
      <c r="M330" t="s">
        <v>2984</v>
      </c>
      <c r="N330" t="s">
        <v>6670</v>
      </c>
      <c r="O330" t="s">
        <v>1897</v>
      </c>
      <c r="P330" t="s">
        <v>1648</v>
      </c>
      <c r="Q330" t="s">
        <v>5963</v>
      </c>
    </row>
    <row r="331" spans="1:18" x14ac:dyDescent="0.25">
      <c r="A331" t="s">
        <v>6671</v>
      </c>
      <c r="B331" t="s">
        <v>5974</v>
      </c>
      <c r="C331" t="s">
        <v>6011</v>
      </c>
      <c r="D331" t="s">
        <v>667</v>
      </c>
      <c r="E331">
        <v>30</v>
      </c>
      <c r="F331" t="s">
        <v>2398</v>
      </c>
      <c r="H331" t="s">
        <v>3292</v>
      </c>
      <c r="J331" t="s">
        <v>3855</v>
      </c>
      <c r="K331">
        <v>398</v>
      </c>
      <c r="L331">
        <v>11905.5</v>
      </c>
      <c r="M331" t="s">
        <v>3295</v>
      </c>
      <c r="N331" t="s">
        <v>6672</v>
      </c>
      <c r="O331" t="s">
        <v>1648</v>
      </c>
      <c r="P331" t="s">
        <v>1764</v>
      </c>
      <c r="Q331" t="s">
        <v>5963</v>
      </c>
    </row>
    <row r="332" spans="1:18" x14ac:dyDescent="0.25">
      <c r="A332" t="s">
        <v>6673</v>
      </c>
      <c r="B332" t="s">
        <v>3442</v>
      </c>
      <c r="C332" t="s">
        <v>5966</v>
      </c>
      <c r="D332" t="s">
        <v>1076</v>
      </c>
      <c r="E332">
        <v>75</v>
      </c>
      <c r="F332" t="s">
        <v>2376</v>
      </c>
      <c r="G332" t="s">
        <v>2407</v>
      </c>
      <c r="H332" t="s">
        <v>2886</v>
      </c>
      <c r="I332" t="s">
        <v>2607</v>
      </c>
      <c r="J332" t="s">
        <v>5766</v>
      </c>
      <c r="K332">
        <v>114.16</v>
      </c>
      <c r="L332">
        <v>10757.05</v>
      </c>
      <c r="M332" t="s">
        <v>2782</v>
      </c>
      <c r="N332" t="s">
        <v>6674</v>
      </c>
      <c r="O332" t="s">
        <v>1764</v>
      </c>
      <c r="P332" t="s">
        <v>2447</v>
      </c>
      <c r="Q332" t="s">
        <v>5963</v>
      </c>
    </row>
    <row r="333" spans="1:18" x14ac:dyDescent="0.25">
      <c r="A333" t="s">
        <v>6675</v>
      </c>
      <c r="B333" t="s">
        <v>5970</v>
      </c>
      <c r="C333" t="s">
        <v>5966</v>
      </c>
      <c r="D333" t="s">
        <v>400</v>
      </c>
      <c r="E333">
        <v>98</v>
      </c>
      <c r="F333" t="s">
        <v>2449</v>
      </c>
      <c r="H333" t="s">
        <v>6031</v>
      </c>
      <c r="K333">
        <v>107.55</v>
      </c>
      <c r="L333">
        <v>33374.03</v>
      </c>
      <c r="M333" t="s">
        <v>2994</v>
      </c>
      <c r="N333" t="s">
        <v>6676</v>
      </c>
      <c r="O333" t="s">
        <v>2447</v>
      </c>
      <c r="P333" t="s">
        <v>5978</v>
      </c>
      <c r="Q333" t="s">
        <v>3434</v>
      </c>
    </row>
    <row r="334" spans="1:18" x14ac:dyDescent="0.25">
      <c r="A334" t="s">
        <v>6677</v>
      </c>
      <c r="B334" t="s">
        <v>5974</v>
      </c>
      <c r="C334" t="s">
        <v>5988</v>
      </c>
      <c r="D334" t="s">
        <v>215</v>
      </c>
      <c r="E334">
        <v>76</v>
      </c>
      <c r="F334" t="s">
        <v>2388</v>
      </c>
      <c r="H334" t="s">
        <v>2724</v>
      </c>
      <c r="K334">
        <v>452.14</v>
      </c>
      <c r="L334">
        <v>26117.15</v>
      </c>
      <c r="M334" t="s">
        <v>3729</v>
      </c>
      <c r="N334" t="s">
        <v>6678</v>
      </c>
      <c r="O334" t="s">
        <v>5984</v>
      </c>
      <c r="P334" t="s">
        <v>5978</v>
      </c>
      <c r="Q334" t="s">
        <v>5963</v>
      </c>
      <c r="R334" t="s">
        <v>4235</v>
      </c>
    </row>
    <row r="335" spans="1:18" x14ac:dyDescent="0.25">
      <c r="A335" t="s">
        <v>6679</v>
      </c>
      <c r="B335" t="s">
        <v>5960</v>
      </c>
      <c r="C335" t="s">
        <v>5988</v>
      </c>
      <c r="D335" t="s">
        <v>995</v>
      </c>
      <c r="E335">
        <v>19</v>
      </c>
      <c r="F335" t="s">
        <v>2440</v>
      </c>
      <c r="G335" t="s">
        <v>2449</v>
      </c>
      <c r="H335" t="s">
        <v>3130</v>
      </c>
      <c r="I335" t="s">
        <v>3255</v>
      </c>
      <c r="J335" t="s">
        <v>3792</v>
      </c>
      <c r="K335">
        <v>370.98</v>
      </c>
      <c r="L335">
        <v>6329.99</v>
      </c>
      <c r="M335" t="s">
        <v>3165</v>
      </c>
      <c r="N335" t="s">
        <v>6680</v>
      </c>
      <c r="O335" t="s">
        <v>1897</v>
      </c>
      <c r="P335" t="s">
        <v>5984</v>
      </c>
      <c r="Q335" t="s">
        <v>5968</v>
      </c>
    </row>
    <row r="336" spans="1:18" x14ac:dyDescent="0.25">
      <c r="A336" t="s">
        <v>6681</v>
      </c>
      <c r="B336" t="s">
        <v>3442</v>
      </c>
      <c r="C336" t="s">
        <v>5993</v>
      </c>
      <c r="D336" t="s">
        <v>1041</v>
      </c>
      <c r="E336">
        <v>17</v>
      </c>
      <c r="F336" t="s">
        <v>2407</v>
      </c>
      <c r="G336" t="s">
        <v>2456</v>
      </c>
      <c r="H336" t="s">
        <v>2909</v>
      </c>
      <c r="I336" t="s">
        <v>2982</v>
      </c>
      <c r="J336" t="s">
        <v>4084</v>
      </c>
      <c r="K336">
        <v>354.97</v>
      </c>
      <c r="L336">
        <v>1464.32</v>
      </c>
      <c r="M336" t="s">
        <v>4415</v>
      </c>
      <c r="N336" t="s">
        <v>6682</v>
      </c>
      <c r="O336" t="s">
        <v>1746</v>
      </c>
      <c r="P336" t="s">
        <v>5977</v>
      </c>
      <c r="Q336" t="s">
        <v>5968</v>
      </c>
      <c r="R336" t="s">
        <v>6002</v>
      </c>
    </row>
    <row r="337" spans="1:18" x14ac:dyDescent="0.25">
      <c r="A337" t="s">
        <v>6683</v>
      </c>
      <c r="B337" t="s">
        <v>3442</v>
      </c>
      <c r="C337" t="s">
        <v>5981</v>
      </c>
      <c r="D337" t="s">
        <v>1081</v>
      </c>
      <c r="E337">
        <v>75</v>
      </c>
      <c r="F337" t="s">
        <v>2425</v>
      </c>
      <c r="G337" t="s">
        <v>2425</v>
      </c>
      <c r="H337" t="s">
        <v>3326</v>
      </c>
      <c r="I337" t="s">
        <v>3225</v>
      </c>
      <c r="J337" t="s">
        <v>2531</v>
      </c>
      <c r="K337">
        <v>444.63</v>
      </c>
      <c r="L337">
        <v>28604.89</v>
      </c>
      <c r="M337" t="s">
        <v>4078</v>
      </c>
      <c r="N337" t="s">
        <v>6684</v>
      </c>
      <c r="O337" t="s">
        <v>2447</v>
      </c>
      <c r="P337" t="s">
        <v>1897</v>
      </c>
      <c r="Q337" t="s">
        <v>3434</v>
      </c>
    </row>
    <row r="338" spans="1:18" x14ac:dyDescent="0.25">
      <c r="A338" t="s">
        <v>6685</v>
      </c>
      <c r="B338" t="s">
        <v>3442</v>
      </c>
      <c r="C338" t="s">
        <v>5966</v>
      </c>
      <c r="D338" t="s">
        <v>744</v>
      </c>
      <c r="E338">
        <v>54</v>
      </c>
      <c r="F338" t="s">
        <v>2416</v>
      </c>
      <c r="G338" t="s">
        <v>2456</v>
      </c>
      <c r="H338" t="s">
        <v>3359</v>
      </c>
      <c r="I338" t="s">
        <v>3292</v>
      </c>
      <c r="K338">
        <v>450.76</v>
      </c>
      <c r="L338">
        <v>2723.56</v>
      </c>
      <c r="M338" t="s">
        <v>3092</v>
      </c>
      <c r="N338" t="s">
        <v>6686</v>
      </c>
      <c r="O338" t="s">
        <v>5978</v>
      </c>
      <c r="P338" t="s">
        <v>1746</v>
      </c>
      <c r="Q338" t="s">
        <v>3434</v>
      </c>
      <c r="R338" t="s">
        <v>5979</v>
      </c>
    </row>
    <row r="339" spans="1:18" x14ac:dyDescent="0.25">
      <c r="A339" t="s">
        <v>6687</v>
      </c>
      <c r="B339" t="s">
        <v>5970</v>
      </c>
      <c r="C339" t="s">
        <v>5988</v>
      </c>
      <c r="D339" t="s">
        <v>295</v>
      </c>
      <c r="E339">
        <v>14</v>
      </c>
      <c r="F339" t="s">
        <v>2456</v>
      </c>
      <c r="H339" t="s">
        <v>3359</v>
      </c>
      <c r="J339" t="s">
        <v>4138</v>
      </c>
      <c r="K339">
        <v>307.74</v>
      </c>
      <c r="L339">
        <v>6910.46</v>
      </c>
      <c r="M339" t="s">
        <v>5610</v>
      </c>
      <c r="N339" t="s">
        <v>6688</v>
      </c>
      <c r="O339" t="s">
        <v>5978</v>
      </c>
      <c r="P339" t="s">
        <v>5984</v>
      </c>
      <c r="Q339" t="s">
        <v>5968</v>
      </c>
    </row>
    <row r="340" spans="1:18" x14ac:dyDescent="0.25">
      <c r="A340" t="s">
        <v>6689</v>
      </c>
      <c r="B340" t="s">
        <v>6026</v>
      </c>
      <c r="C340" t="s">
        <v>5988</v>
      </c>
      <c r="D340" t="s">
        <v>358</v>
      </c>
      <c r="E340">
        <v>72</v>
      </c>
      <c r="F340" t="s">
        <v>2425</v>
      </c>
      <c r="H340" t="s">
        <v>3194</v>
      </c>
      <c r="J340" t="s">
        <v>5216</v>
      </c>
      <c r="K340">
        <v>139.27000000000001</v>
      </c>
      <c r="L340">
        <v>18825.740000000002</v>
      </c>
      <c r="M340" t="s">
        <v>3742</v>
      </c>
      <c r="N340" t="s">
        <v>6690</v>
      </c>
      <c r="O340" t="s">
        <v>2447</v>
      </c>
      <c r="P340" t="s">
        <v>2447</v>
      </c>
      <c r="Q340" t="s">
        <v>5963</v>
      </c>
      <c r="R340" t="s">
        <v>4235</v>
      </c>
    </row>
    <row r="341" spans="1:18" x14ac:dyDescent="0.25">
      <c r="A341" t="s">
        <v>6691</v>
      </c>
      <c r="B341" t="s">
        <v>5960</v>
      </c>
      <c r="C341" t="s">
        <v>5975</v>
      </c>
      <c r="D341" t="s">
        <v>203</v>
      </c>
      <c r="E341">
        <v>3</v>
      </c>
      <c r="F341" t="s">
        <v>2440</v>
      </c>
      <c r="G341" t="s">
        <v>2407</v>
      </c>
      <c r="H341" t="s">
        <v>2955</v>
      </c>
      <c r="I341" t="s">
        <v>2649</v>
      </c>
      <c r="J341" t="s">
        <v>2527</v>
      </c>
      <c r="K341">
        <v>142.19999999999999</v>
      </c>
      <c r="L341">
        <v>1101.04</v>
      </c>
      <c r="M341" t="s">
        <v>5217</v>
      </c>
      <c r="N341" t="s">
        <v>6692</v>
      </c>
      <c r="O341" t="s">
        <v>1648</v>
      </c>
      <c r="P341" t="s">
        <v>5978</v>
      </c>
      <c r="Q341" t="s">
        <v>5968</v>
      </c>
      <c r="R341" t="s">
        <v>5979</v>
      </c>
    </row>
    <row r="342" spans="1:18" x14ac:dyDescent="0.25">
      <c r="A342" t="s">
        <v>6693</v>
      </c>
      <c r="B342" t="s">
        <v>3442</v>
      </c>
      <c r="C342" t="s">
        <v>5966</v>
      </c>
      <c r="D342" t="s">
        <v>834</v>
      </c>
      <c r="E342">
        <v>28</v>
      </c>
      <c r="F342" t="s">
        <v>2432</v>
      </c>
      <c r="G342" t="s">
        <v>2432</v>
      </c>
      <c r="H342" t="s">
        <v>6231</v>
      </c>
      <c r="I342" t="s">
        <v>2644</v>
      </c>
      <c r="J342" t="s">
        <v>2519</v>
      </c>
      <c r="K342">
        <v>228.35</v>
      </c>
      <c r="L342">
        <v>13624.35</v>
      </c>
      <c r="M342" t="s">
        <v>3982</v>
      </c>
      <c r="N342" t="s">
        <v>6694</v>
      </c>
      <c r="O342" t="s">
        <v>1648</v>
      </c>
      <c r="P342" t="s">
        <v>1746</v>
      </c>
      <c r="Q342" t="s">
        <v>3434</v>
      </c>
    </row>
    <row r="343" spans="1:18" x14ac:dyDescent="0.25">
      <c r="A343" t="s">
        <v>6695</v>
      </c>
      <c r="B343" t="s">
        <v>3442</v>
      </c>
      <c r="C343" t="s">
        <v>5993</v>
      </c>
      <c r="D343" t="s">
        <v>1081</v>
      </c>
      <c r="E343">
        <v>58</v>
      </c>
      <c r="F343" t="s">
        <v>2456</v>
      </c>
      <c r="G343" t="s">
        <v>2407</v>
      </c>
      <c r="H343" t="s">
        <v>6333</v>
      </c>
      <c r="I343" t="s">
        <v>2586</v>
      </c>
      <c r="K343">
        <v>267.95</v>
      </c>
      <c r="L343">
        <v>14142.46</v>
      </c>
      <c r="M343" t="s">
        <v>3976</v>
      </c>
      <c r="N343" t="s">
        <v>6696</v>
      </c>
      <c r="O343" t="s">
        <v>2447</v>
      </c>
      <c r="P343" t="s">
        <v>1648</v>
      </c>
      <c r="Q343" t="s">
        <v>3434</v>
      </c>
    </row>
    <row r="344" spans="1:18" x14ac:dyDescent="0.25">
      <c r="A344" t="s">
        <v>6697</v>
      </c>
      <c r="B344" t="s">
        <v>5974</v>
      </c>
      <c r="C344" t="s">
        <v>5988</v>
      </c>
      <c r="D344" t="s">
        <v>479</v>
      </c>
      <c r="E344">
        <v>99</v>
      </c>
      <c r="F344" t="s">
        <v>2449</v>
      </c>
      <c r="H344" t="s">
        <v>3326</v>
      </c>
      <c r="J344" t="s">
        <v>2568</v>
      </c>
      <c r="K344">
        <v>416.57</v>
      </c>
      <c r="L344">
        <v>36837.660000000003</v>
      </c>
      <c r="M344" t="s">
        <v>3949</v>
      </c>
      <c r="N344" t="s">
        <v>6698</v>
      </c>
      <c r="O344" t="s">
        <v>5978</v>
      </c>
      <c r="P344" t="s">
        <v>5978</v>
      </c>
      <c r="Q344" t="s">
        <v>3434</v>
      </c>
    </row>
    <row r="345" spans="1:18" x14ac:dyDescent="0.25">
      <c r="A345" t="s">
        <v>6699</v>
      </c>
      <c r="B345" t="s">
        <v>5981</v>
      </c>
      <c r="C345" t="s">
        <v>5993</v>
      </c>
      <c r="D345" t="s">
        <v>400</v>
      </c>
      <c r="E345">
        <v>70</v>
      </c>
      <c r="F345" t="s">
        <v>2376</v>
      </c>
      <c r="H345" t="s">
        <v>2685</v>
      </c>
      <c r="J345" t="s">
        <v>5513</v>
      </c>
      <c r="K345">
        <v>225.05</v>
      </c>
      <c r="L345">
        <v>14360.27</v>
      </c>
      <c r="M345" t="s">
        <v>5327</v>
      </c>
      <c r="N345" t="s">
        <v>6700</v>
      </c>
      <c r="O345" t="s">
        <v>1764</v>
      </c>
      <c r="P345" t="s">
        <v>5978</v>
      </c>
      <c r="Q345" t="s">
        <v>3434</v>
      </c>
      <c r="R345" t="s">
        <v>5979</v>
      </c>
    </row>
    <row r="346" spans="1:18" x14ac:dyDescent="0.25">
      <c r="A346" t="s">
        <v>6701</v>
      </c>
      <c r="B346" t="s">
        <v>6026</v>
      </c>
      <c r="C346" t="s">
        <v>5993</v>
      </c>
      <c r="D346" t="s">
        <v>870</v>
      </c>
      <c r="E346">
        <v>68</v>
      </c>
      <c r="F346" t="s">
        <v>2449</v>
      </c>
      <c r="H346" t="s">
        <v>3130</v>
      </c>
      <c r="J346" t="s">
        <v>4806</v>
      </c>
      <c r="K346">
        <v>69.53</v>
      </c>
      <c r="L346">
        <v>28473.98</v>
      </c>
      <c r="M346" t="s">
        <v>4556</v>
      </c>
      <c r="N346" t="s">
        <v>6702</v>
      </c>
      <c r="O346" t="s">
        <v>1648</v>
      </c>
      <c r="P346" t="s">
        <v>2447</v>
      </c>
      <c r="Q346" t="s">
        <v>3434</v>
      </c>
    </row>
    <row r="347" spans="1:18" x14ac:dyDescent="0.25">
      <c r="A347" t="s">
        <v>6703</v>
      </c>
      <c r="B347" t="s">
        <v>5981</v>
      </c>
      <c r="C347" t="s">
        <v>5971</v>
      </c>
      <c r="D347" t="s">
        <v>520</v>
      </c>
      <c r="E347">
        <v>8</v>
      </c>
      <c r="F347" t="s">
        <v>2376</v>
      </c>
      <c r="H347" t="s">
        <v>6291</v>
      </c>
      <c r="J347" t="s">
        <v>3893</v>
      </c>
      <c r="K347">
        <v>169.35</v>
      </c>
      <c r="L347">
        <v>1200.25</v>
      </c>
      <c r="M347" t="s">
        <v>1756</v>
      </c>
      <c r="N347" t="s">
        <v>6704</v>
      </c>
      <c r="O347" t="s">
        <v>1897</v>
      </c>
      <c r="P347" t="s">
        <v>5984</v>
      </c>
      <c r="Q347" t="s">
        <v>5963</v>
      </c>
    </row>
    <row r="348" spans="1:18" x14ac:dyDescent="0.25">
      <c r="A348" t="s">
        <v>6705</v>
      </c>
      <c r="B348" t="s">
        <v>5970</v>
      </c>
      <c r="C348" t="s">
        <v>5981</v>
      </c>
      <c r="D348" t="s">
        <v>221</v>
      </c>
      <c r="E348">
        <v>88</v>
      </c>
      <c r="F348" t="s">
        <v>2376</v>
      </c>
      <c r="H348" t="s">
        <v>3154</v>
      </c>
      <c r="K348">
        <v>144.31</v>
      </c>
      <c r="L348">
        <v>38764.14</v>
      </c>
      <c r="M348" t="s">
        <v>3148</v>
      </c>
      <c r="N348" t="s">
        <v>6706</v>
      </c>
      <c r="O348" t="s">
        <v>1897</v>
      </c>
      <c r="P348" t="s">
        <v>1897</v>
      </c>
      <c r="Q348" t="s">
        <v>5963</v>
      </c>
    </row>
    <row r="349" spans="1:18" x14ac:dyDescent="0.25">
      <c r="A349" t="s">
        <v>6707</v>
      </c>
      <c r="B349" t="s">
        <v>5965</v>
      </c>
      <c r="C349" t="s">
        <v>5981</v>
      </c>
      <c r="D349" t="s">
        <v>152</v>
      </c>
      <c r="E349">
        <v>28</v>
      </c>
      <c r="F349" t="s">
        <v>2416</v>
      </c>
      <c r="H349" t="s">
        <v>3388</v>
      </c>
      <c r="K349">
        <v>345.68</v>
      </c>
      <c r="L349">
        <v>12504.89</v>
      </c>
      <c r="M349" t="s">
        <v>3164</v>
      </c>
      <c r="N349" t="s">
        <v>6708</v>
      </c>
      <c r="O349" t="s">
        <v>1746</v>
      </c>
      <c r="P349" t="s">
        <v>5977</v>
      </c>
      <c r="Q349" t="s">
        <v>5963</v>
      </c>
    </row>
    <row r="350" spans="1:18" x14ac:dyDescent="0.25">
      <c r="A350" t="s">
        <v>6709</v>
      </c>
      <c r="B350" t="s">
        <v>5960</v>
      </c>
      <c r="C350" t="s">
        <v>5981</v>
      </c>
      <c r="D350" t="s">
        <v>405</v>
      </c>
      <c r="E350">
        <v>94</v>
      </c>
      <c r="F350" t="s">
        <v>2425</v>
      </c>
      <c r="G350" t="s">
        <v>2425</v>
      </c>
      <c r="H350" t="s">
        <v>3162</v>
      </c>
      <c r="I350" t="s">
        <v>6603</v>
      </c>
      <c r="J350" t="s">
        <v>4340</v>
      </c>
      <c r="K350">
        <v>105.18</v>
      </c>
      <c r="L350">
        <v>26743.96</v>
      </c>
      <c r="M350" t="s">
        <v>3688</v>
      </c>
      <c r="N350" t="s">
        <v>6710</v>
      </c>
      <c r="O350" t="s">
        <v>5984</v>
      </c>
      <c r="P350" t="s">
        <v>1746</v>
      </c>
      <c r="Q350" t="s">
        <v>5968</v>
      </c>
      <c r="R350" t="s">
        <v>5979</v>
      </c>
    </row>
    <row r="351" spans="1:18" x14ac:dyDescent="0.25">
      <c r="A351" t="s">
        <v>6711</v>
      </c>
      <c r="B351" t="s">
        <v>5981</v>
      </c>
      <c r="C351" t="s">
        <v>5961</v>
      </c>
      <c r="D351" t="s">
        <v>1031</v>
      </c>
      <c r="E351">
        <v>85</v>
      </c>
      <c r="F351" t="s">
        <v>2388</v>
      </c>
      <c r="H351" t="s">
        <v>3154</v>
      </c>
      <c r="K351">
        <v>394.89</v>
      </c>
      <c r="L351">
        <v>5241.1400000000003</v>
      </c>
      <c r="M351" t="s">
        <v>2632</v>
      </c>
      <c r="N351" t="s">
        <v>6712</v>
      </c>
      <c r="O351" t="s">
        <v>1764</v>
      </c>
      <c r="P351" t="s">
        <v>1648</v>
      </c>
      <c r="Q351" t="s">
        <v>5968</v>
      </c>
    </row>
    <row r="352" spans="1:18" x14ac:dyDescent="0.25">
      <c r="A352" t="s">
        <v>6713</v>
      </c>
      <c r="B352" t="s">
        <v>6026</v>
      </c>
      <c r="C352" t="s">
        <v>6011</v>
      </c>
      <c r="D352" t="s">
        <v>95</v>
      </c>
      <c r="E352">
        <v>9</v>
      </c>
      <c r="F352" t="s">
        <v>2425</v>
      </c>
      <c r="H352" t="s">
        <v>2680</v>
      </c>
      <c r="K352">
        <v>223.15</v>
      </c>
      <c r="L352">
        <v>4153.04</v>
      </c>
      <c r="M352" t="s">
        <v>3075</v>
      </c>
      <c r="N352" t="s">
        <v>6714</v>
      </c>
      <c r="O352" t="s">
        <v>5977</v>
      </c>
      <c r="P352" t="s">
        <v>1648</v>
      </c>
      <c r="Q352" t="s">
        <v>3434</v>
      </c>
      <c r="R352" t="s">
        <v>4235</v>
      </c>
    </row>
    <row r="353" spans="1:18" x14ac:dyDescent="0.25">
      <c r="A353" t="s">
        <v>6715</v>
      </c>
      <c r="B353" t="s">
        <v>5960</v>
      </c>
      <c r="C353" t="s">
        <v>5988</v>
      </c>
      <c r="D353" t="s">
        <v>1041</v>
      </c>
      <c r="E353">
        <v>48</v>
      </c>
      <c r="F353" t="s">
        <v>2425</v>
      </c>
      <c r="G353" t="s">
        <v>2388</v>
      </c>
      <c r="H353" t="s">
        <v>6603</v>
      </c>
      <c r="I353" t="s">
        <v>3073</v>
      </c>
      <c r="K353">
        <v>275.75</v>
      </c>
      <c r="L353">
        <v>19570.990000000002</v>
      </c>
      <c r="M353" t="s">
        <v>3649</v>
      </c>
      <c r="N353" t="s">
        <v>6716</v>
      </c>
      <c r="O353" t="s">
        <v>2447</v>
      </c>
      <c r="P353" t="s">
        <v>2447</v>
      </c>
      <c r="Q353" t="s">
        <v>5963</v>
      </c>
      <c r="R353" t="s">
        <v>6002</v>
      </c>
    </row>
    <row r="354" spans="1:18" x14ac:dyDescent="0.25">
      <c r="A354" t="s">
        <v>6717</v>
      </c>
      <c r="B354" t="s">
        <v>5970</v>
      </c>
      <c r="C354" t="s">
        <v>5975</v>
      </c>
      <c r="D354" t="s">
        <v>875</v>
      </c>
      <c r="E354">
        <v>27</v>
      </c>
      <c r="F354" t="s">
        <v>2449</v>
      </c>
      <c r="H354" t="s">
        <v>3288</v>
      </c>
      <c r="J354" t="s">
        <v>2491</v>
      </c>
      <c r="K354">
        <v>87.68</v>
      </c>
      <c r="L354">
        <v>13048.49</v>
      </c>
      <c r="M354" t="s">
        <v>3949</v>
      </c>
      <c r="N354" t="s">
        <v>6718</v>
      </c>
      <c r="O354" t="s">
        <v>1746</v>
      </c>
      <c r="P354" t="s">
        <v>5977</v>
      </c>
      <c r="Q354" t="s">
        <v>5963</v>
      </c>
    </row>
    <row r="355" spans="1:18" x14ac:dyDescent="0.25">
      <c r="A355" t="s">
        <v>6719</v>
      </c>
      <c r="B355" t="s">
        <v>5965</v>
      </c>
      <c r="C355" t="s">
        <v>5961</v>
      </c>
      <c r="D355" t="s">
        <v>561</v>
      </c>
      <c r="E355">
        <v>21</v>
      </c>
      <c r="F355" t="s">
        <v>2456</v>
      </c>
      <c r="H355" t="s">
        <v>2987</v>
      </c>
      <c r="J355" t="s">
        <v>2506</v>
      </c>
      <c r="K355">
        <v>442.75</v>
      </c>
      <c r="L355">
        <v>1740.24</v>
      </c>
      <c r="M355" t="s">
        <v>3645</v>
      </c>
      <c r="N355" t="s">
        <v>6720</v>
      </c>
      <c r="O355" t="s">
        <v>5984</v>
      </c>
      <c r="P355" t="s">
        <v>1897</v>
      </c>
      <c r="Q355" t="s">
        <v>5963</v>
      </c>
      <c r="R355" t="s">
        <v>4235</v>
      </c>
    </row>
    <row r="356" spans="1:18" x14ac:dyDescent="0.25">
      <c r="A356" t="s">
        <v>6721</v>
      </c>
      <c r="B356" t="s">
        <v>5974</v>
      </c>
      <c r="C356" t="s">
        <v>5981</v>
      </c>
      <c r="D356" t="s">
        <v>432</v>
      </c>
      <c r="E356">
        <v>70</v>
      </c>
      <c r="F356" t="s">
        <v>2432</v>
      </c>
      <c r="H356" t="s">
        <v>3373</v>
      </c>
      <c r="J356" t="s">
        <v>4147</v>
      </c>
      <c r="K356">
        <v>374.37</v>
      </c>
      <c r="L356">
        <v>23964.5</v>
      </c>
      <c r="M356" t="s">
        <v>3278</v>
      </c>
      <c r="N356" t="s">
        <v>6722</v>
      </c>
      <c r="O356" t="s">
        <v>5984</v>
      </c>
      <c r="P356" t="s">
        <v>5977</v>
      </c>
      <c r="Q356" t="s">
        <v>3434</v>
      </c>
    </row>
    <row r="357" spans="1:18" x14ac:dyDescent="0.25">
      <c r="A357" t="s">
        <v>6723</v>
      </c>
      <c r="B357" t="s">
        <v>5974</v>
      </c>
      <c r="C357" t="s">
        <v>5966</v>
      </c>
      <c r="D357" t="s">
        <v>975</v>
      </c>
      <c r="E357">
        <v>12</v>
      </c>
      <c r="F357" t="s">
        <v>2388</v>
      </c>
      <c r="H357" t="s">
        <v>2948</v>
      </c>
      <c r="K357">
        <v>454.65</v>
      </c>
      <c r="L357">
        <v>4203.0200000000004</v>
      </c>
      <c r="M357" t="s">
        <v>4128</v>
      </c>
      <c r="N357" t="s">
        <v>6724</v>
      </c>
      <c r="O357" t="s">
        <v>1648</v>
      </c>
      <c r="P357" t="s">
        <v>1648</v>
      </c>
      <c r="Q357" t="s">
        <v>5963</v>
      </c>
    </row>
    <row r="358" spans="1:18" x14ac:dyDescent="0.25">
      <c r="A358" t="s">
        <v>6725</v>
      </c>
      <c r="B358" t="s">
        <v>5970</v>
      </c>
      <c r="C358" t="s">
        <v>5993</v>
      </c>
      <c r="D358" t="s">
        <v>525</v>
      </c>
      <c r="E358">
        <v>46</v>
      </c>
      <c r="F358" t="s">
        <v>2440</v>
      </c>
      <c r="H358" t="s">
        <v>3101</v>
      </c>
      <c r="K358">
        <v>405.82</v>
      </c>
      <c r="L358">
        <v>19191.080000000002</v>
      </c>
      <c r="M358" t="s">
        <v>3616</v>
      </c>
      <c r="N358" t="s">
        <v>6726</v>
      </c>
      <c r="O358" t="s">
        <v>5977</v>
      </c>
      <c r="P358" t="s">
        <v>2447</v>
      </c>
      <c r="Q358" t="s">
        <v>5968</v>
      </c>
      <c r="R358" t="s">
        <v>4235</v>
      </c>
    </row>
    <row r="359" spans="1:18" x14ac:dyDescent="0.25">
      <c r="A359" t="s">
        <v>6727</v>
      </c>
      <c r="B359" t="s">
        <v>5974</v>
      </c>
      <c r="C359" t="s">
        <v>5981</v>
      </c>
      <c r="D359" t="s">
        <v>925</v>
      </c>
      <c r="E359">
        <v>14</v>
      </c>
      <c r="F359" t="s">
        <v>2449</v>
      </c>
      <c r="H359" t="s">
        <v>6144</v>
      </c>
      <c r="J359" t="s">
        <v>3858</v>
      </c>
      <c r="K359">
        <v>90.07</v>
      </c>
      <c r="L359">
        <v>1588.19</v>
      </c>
      <c r="M359" t="s">
        <v>3563</v>
      </c>
      <c r="N359" t="s">
        <v>6728</v>
      </c>
      <c r="O359" t="s">
        <v>1897</v>
      </c>
      <c r="P359" t="s">
        <v>2447</v>
      </c>
      <c r="Q359" t="s">
        <v>5968</v>
      </c>
    </row>
    <row r="360" spans="1:18" x14ac:dyDescent="0.25">
      <c r="A360" t="s">
        <v>6729</v>
      </c>
      <c r="B360" t="s">
        <v>5974</v>
      </c>
      <c r="C360" t="s">
        <v>5993</v>
      </c>
      <c r="D360" t="s">
        <v>458</v>
      </c>
      <c r="E360">
        <v>100</v>
      </c>
      <c r="F360" t="s">
        <v>2376</v>
      </c>
      <c r="H360" t="s">
        <v>6538</v>
      </c>
      <c r="K360">
        <v>361.31</v>
      </c>
      <c r="L360">
        <v>27480.34</v>
      </c>
      <c r="M360" t="s">
        <v>4262</v>
      </c>
      <c r="N360" t="s">
        <v>6730</v>
      </c>
      <c r="O360" t="s">
        <v>1648</v>
      </c>
      <c r="P360" t="s">
        <v>5978</v>
      </c>
      <c r="Q360" t="s">
        <v>3434</v>
      </c>
      <c r="R360" t="s">
        <v>6002</v>
      </c>
    </row>
    <row r="361" spans="1:18" x14ac:dyDescent="0.25">
      <c r="A361" t="s">
        <v>6731</v>
      </c>
      <c r="B361" t="s">
        <v>3442</v>
      </c>
      <c r="C361" t="s">
        <v>5988</v>
      </c>
      <c r="D361" t="s">
        <v>443</v>
      </c>
      <c r="E361">
        <v>36</v>
      </c>
      <c r="F361" t="s">
        <v>2376</v>
      </c>
      <c r="G361" t="s">
        <v>2432</v>
      </c>
      <c r="H361" t="s">
        <v>3200</v>
      </c>
      <c r="I361" t="s">
        <v>3257</v>
      </c>
      <c r="J361" t="s">
        <v>2495</v>
      </c>
      <c r="K361">
        <v>168.02</v>
      </c>
      <c r="L361">
        <v>8253.67</v>
      </c>
      <c r="M361" t="s">
        <v>3567</v>
      </c>
      <c r="N361" t="s">
        <v>6732</v>
      </c>
      <c r="O361" t="s">
        <v>5984</v>
      </c>
      <c r="P361" t="s">
        <v>2447</v>
      </c>
      <c r="Q361" t="s">
        <v>3434</v>
      </c>
    </row>
    <row r="362" spans="1:18" x14ac:dyDescent="0.25">
      <c r="A362" t="s">
        <v>6733</v>
      </c>
      <c r="B362" t="s">
        <v>5970</v>
      </c>
      <c r="C362" t="s">
        <v>6011</v>
      </c>
      <c r="D362" t="s">
        <v>890</v>
      </c>
      <c r="E362">
        <v>36</v>
      </c>
      <c r="F362" t="s">
        <v>2398</v>
      </c>
      <c r="H362" t="s">
        <v>6144</v>
      </c>
      <c r="J362" t="s">
        <v>2535</v>
      </c>
      <c r="K362">
        <v>458.47</v>
      </c>
      <c r="L362">
        <v>4702.09</v>
      </c>
      <c r="M362" t="s">
        <v>3842</v>
      </c>
      <c r="N362" t="s">
        <v>6734</v>
      </c>
      <c r="O362" t="s">
        <v>5978</v>
      </c>
      <c r="P362" t="s">
        <v>1764</v>
      </c>
      <c r="Q362" t="s">
        <v>3434</v>
      </c>
      <c r="R362" t="s">
        <v>5979</v>
      </c>
    </row>
    <row r="363" spans="1:18" x14ac:dyDescent="0.25">
      <c r="A363" t="s">
        <v>6735</v>
      </c>
      <c r="B363" t="s">
        <v>5965</v>
      </c>
      <c r="C363" t="s">
        <v>5971</v>
      </c>
      <c r="D363" t="s">
        <v>192</v>
      </c>
      <c r="E363">
        <v>77</v>
      </c>
      <c r="F363" t="s">
        <v>2376</v>
      </c>
      <c r="H363" t="s">
        <v>3116</v>
      </c>
      <c r="J363" t="s">
        <v>2495</v>
      </c>
      <c r="K363">
        <v>105.56</v>
      </c>
      <c r="L363">
        <v>38126.769999999997</v>
      </c>
      <c r="M363" t="s">
        <v>3806</v>
      </c>
      <c r="N363" t="s">
        <v>6736</v>
      </c>
      <c r="O363" t="s">
        <v>5984</v>
      </c>
      <c r="P363" t="s">
        <v>2447</v>
      </c>
      <c r="Q363" t="s">
        <v>5963</v>
      </c>
      <c r="R363" t="s">
        <v>4235</v>
      </c>
    </row>
    <row r="364" spans="1:18" x14ac:dyDescent="0.25">
      <c r="A364" t="s">
        <v>6737</v>
      </c>
      <c r="B364" t="s">
        <v>5974</v>
      </c>
      <c r="C364" t="s">
        <v>5981</v>
      </c>
      <c r="D364" t="s">
        <v>264</v>
      </c>
      <c r="E364">
        <v>78</v>
      </c>
      <c r="F364" t="s">
        <v>2388</v>
      </c>
      <c r="H364" t="s">
        <v>3116</v>
      </c>
      <c r="J364" t="s">
        <v>2568</v>
      </c>
      <c r="K364">
        <v>245.92</v>
      </c>
      <c r="L364">
        <v>30856.58</v>
      </c>
      <c r="M364" t="s">
        <v>2703</v>
      </c>
      <c r="N364" t="s">
        <v>6738</v>
      </c>
      <c r="O364" t="s">
        <v>1746</v>
      </c>
      <c r="P364" t="s">
        <v>5978</v>
      </c>
      <c r="Q364" t="s">
        <v>3434</v>
      </c>
      <c r="R364" t="s">
        <v>6002</v>
      </c>
    </row>
    <row r="365" spans="1:18" x14ac:dyDescent="0.25">
      <c r="A365" t="s">
        <v>6739</v>
      </c>
      <c r="B365" t="s">
        <v>5965</v>
      </c>
      <c r="C365" t="s">
        <v>5982</v>
      </c>
      <c r="D365" t="s">
        <v>920</v>
      </c>
      <c r="E365">
        <v>87</v>
      </c>
      <c r="F365" t="s">
        <v>2376</v>
      </c>
      <c r="H365" t="s">
        <v>3116</v>
      </c>
      <c r="J365" t="s">
        <v>2501</v>
      </c>
      <c r="K365">
        <v>385.71</v>
      </c>
      <c r="L365">
        <v>36512.51</v>
      </c>
      <c r="M365" t="s">
        <v>3717</v>
      </c>
      <c r="N365" t="s">
        <v>6740</v>
      </c>
      <c r="O365" t="s">
        <v>5977</v>
      </c>
      <c r="P365" t="s">
        <v>5984</v>
      </c>
      <c r="Q365" t="s">
        <v>3434</v>
      </c>
    </row>
    <row r="366" spans="1:18" x14ac:dyDescent="0.25">
      <c r="A366" t="s">
        <v>6741</v>
      </c>
      <c r="B366" t="s">
        <v>5970</v>
      </c>
      <c r="C366" t="s">
        <v>5988</v>
      </c>
      <c r="D366" t="s">
        <v>198</v>
      </c>
      <c r="E366">
        <v>92</v>
      </c>
      <c r="F366" t="s">
        <v>2398</v>
      </c>
      <c r="H366" t="s">
        <v>2617</v>
      </c>
      <c r="J366" t="s">
        <v>5012</v>
      </c>
      <c r="K366">
        <v>422.51</v>
      </c>
      <c r="L366">
        <v>20757.52</v>
      </c>
      <c r="M366" t="s">
        <v>3545</v>
      </c>
      <c r="N366" t="s">
        <v>6742</v>
      </c>
      <c r="O366" t="s">
        <v>5984</v>
      </c>
      <c r="P366" t="s">
        <v>5978</v>
      </c>
      <c r="Q366" t="s">
        <v>5968</v>
      </c>
      <c r="R366" t="s">
        <v>5979</v>
      </c>
    </row>
    <row r="367" spans="1:18" x14ac:dyDescent="0.25">
      <c r="A367" t="s">
        <v>6743</v>
      </c>
      <c r="B367" t="s">
        <v>6026</v>
      </c>
      <c r="C367" t="s">
        <v>5988</v>
      </c>
      <c r="D367" t="s">
        <v>687</v>
      </c>
      <c r="E367">
        <v>24</v>
      </c>
      <c r="F367" t="s">
        <v>2376</v>
      </c>
      <c r="H367" t="s">
        <v>2685</v>
      </c>
      <c r="J367" t="s">
        <v>3438</v>
      </c>
      <c r="K367">
        <v>198.71</v>
      </c>
      <c r="L367">
        <v>9489.4500000000007</v>
      </c>
      <c r="M367" t="s">
        <v>3135</v>
      </c>
      <c r="N367" t="s">
        <v>6744</v>
      </c>
      <c r="O367" t="s">
        <v>5978</v>
      </c>
      <c r="P367" t="s">
        <v>5984</v>
      </c>
      <c r="Q367" t="s">
        <v>3434</v>
      </c>
    </row>
    <row r="368" spans="1:18" x14ac:dyDescent="0.25">
      <c r="A368" t="s">
        <v>6745</v>
      </c>
      <c r="B368" t="s">
        <v>3442</v>
      </c>
      <c r="C368" t="s">
        <v>6011</v>
      </c>
      <c r="D368" t="s">
        <v>895</v>
      </c>
      <c r="E368">
        <v>80</v>
      </c>
      <c r="F368" t="s">
        <v>2398</v>
      </c>
      <c r="G368" t="s">
        <v>2407</v>
      </c>
      <c r="H368" t="s">
        <v>3038</v>
      </c>
      <c r="I368" t="s">
        <v>3326</v>
      </c>
      <c r="J368" t="s">
        <v>4432</v>
      </c>
      <c r="K368">
        <v>462.39</v>
      </c>
      <c r="L368">
        <v>36007.81</v>
      </c>
      <c r="M368" t="s">
        <v>2864</v>
      </c>
      <c r="N368" t="s">
        <v>6746</v>
      </c>
      <c r="O368" t="s">
        <v>5978</v>
      </c>
      <c r="P368" t="s">
        <v>5977</v>
      </c>
      <c r="Q368" t="s">
        <v>5963</v>
      </c>
    </row>
    <row r="369" spans="1:18" x14ac:dyDescent="0.25">
      <c r="A369" t="s">
        <v>6747</v>
      </c>
      <c r="B369" t="s">
        <v>5960</v>
      </c>
      <c r="C369" t="s">
        <v>5971</v>
      </c>
      <c r="D369" t="s">
        <v>799</v>
      </c>
      <c r="E369">
        <v>63</v>
      </c>
      <c r="F369" t="s">
        <v>2416</v>
      </c>
      <c r="G369" t="s">
        <v>2407</v>
      </c>
      <c r="H369" t="s">
        <v>6215</v>
      </c>
      <c r="I369" t="s">
        <v>2907</v>
      </c>
      <c r="K369">
        <v>467.59</v>
      </c>
      <c r="L369">
        <v>15257.83</v>
      </c>
      <c r="M369" t="s">
        <v>3775</v>
      </c>
      <c r="N369" t="s">
        <v>6748</v>
      </c>
      <c r="O369" t="s">
        <v>5977</v>
      </c>
      <c r="P369" t="s">
        <v>1648</v>
      </c>
      <c r="Q369" t="s">
        <v>3434</v>
      </c>
      <c r="R369" t="s">
        <v>6002</v>
      </c>
    </row>
    <row r="370" spans="1:18" x14ac:dyDescent="0.25">
      <c r="A370" t="s">
        <v>6749</v>
      </c>
      <c r="B370" t="s">
        <v>5965</v>
      </c>
      <c r="C370" t="s">
        <v>5966</v>
      </c>
      <c r="D370" t="s">
        <v>985</v>
      </c>
      <c r="E370">
        <v>96</v>
      </c>
      <c r="F370" t="s">
        <v>2449</v>
      </c>
      <c r="H370" t="s">
        <v>3326</v>
      </c>
      <c r="J370" t="s">
        <v>2548</v>
      </c>
      <c r="K370">
        <v>117.77</v>
      </c>
      <c r="L370">
        <v>18223.63</v>
      </c>
      <c r="M370" t="s">
        <v>4387</v>
      </c>
      <c r="N370" t="s">
        <v>6750</v>
      </c>
      <c r="O370" t="s">
        <v>1897</v>
      </c>
      <c r="P370" t="s">
        <v>1648</v>
      </c>
      <c r="Q370" t="s">
        <v>5963</v>
      </c>
    </row>
    <row r="371" spans="1:18" x14ac:dyDescent="0.25">
      <c r="A371" t="s">
        <v>6751</v>
      </c>
      <c r="B371" t="s">
        <v>5965</v>
      </c>
      <c r="C371" t="s">
        <v>5988</v>
      </c>
      <c r="D371" t="s">
        <v>718</v>
      </c>
      <c r="E371">
        <v>58</v>
      </c>
      <c r="F371" t="s">
        <v>2398</v>
      </c>
      <c r="H371" t="s">
        <v>2803</v>
      </c>
      <c r="J371" t="s">
        <v>4204</v>
      </c>
      <c r="K371">
        <v>137.94</v>
      </c>
      <c r="L371">
        <v>22662.799999999999</v>
      </c>
      <c r="M371" t="s">
        <v>4607</v>
      </c>
      <c r="N371" t="s">
        <v>6752</v>
      </c>
      <c r="O371" t="s">
        <v>1746</v>
      </c>
      <c r="P371" t="s">
        <v>5984</v>
      </c>
      <c r="Q371" t="s">
        <v>5963</v>
      </c>
    </row>
    <row r="372" spans="1:18" x14ac:dyDescent="0.25">
      <c r="A372" t="s">
        <v>6753</v>
      </c>
      <c r="B372" t="s">
        <v>5981</v>
      </c>
      <c r="C372" t="s">
        <v>5988</v>
      </c>
      <c r="D372" t="s">
        <v>337</v>
      </c>
      <c r="E372">
        <v>17</v>
      </c>
      <c r="F372" t="s">
        <v>2407</v>
      </c>
      <c r="H372" t="s">
        <v>2625</v>
      </c>
      <c r="J372" t="s">
        <v>3526</v>
      </c>
      <c r="K372">
        <v>299.08999999999997</v>
      </c>
      <c r="L372">
        <v>3383.06</v>
      </c>
      <c r="M372" t="s">
        <v>5264</v>
      </c>
      <c r="N372" t="s">
        <v>6754</v>
      </c>
      <c r="O372" t="s">
        <v>5984</v>
      </c>
      <c r="P372" t="s">
        <v>1648</v>
      </c>
      <c r="Q372" t="s">
        <v>5968</v>
      </c>
      <c r="R372" t="s">
        <v>4235</v>
      </c>
    </row>
    <row r="373" spans="1:18" x14ac:dyDescent="0.25">
      <c r="A373" t="s">
        <v>6755</v>
      </c>
      <c r="B373" t="s">
        <v>5965</v>
      </c>
      <c r="C373" t="s">
        <v>5975</v>
      </c>
      <c r="D373" t="s">
        <v>337</v>
      </c>
      <c r="E373">
        <v>66</v>
      </c>
      <c r="F373" t="s">
        <v>2376</v>
      </c>
      <c r="H373" t="s">
        <v>3049</v>
      </c>
      <c r="J373" t="s">
        <v>2531</v>
      </c>
      <c r="K373">
        <v>461.79</v>
      </c>
      <c r="L373">
        <v>24345.16</v>
      </c>
      <c r="M373" t="s">
        <v>2915</v>
      </c>
      <c r="N373" t="s">
        <v>6756</v>
      </c>
      <c r="O373" t="s">
        <v>1764</v>
      </c>
      <c r="P373" t="s">
        <v>5978</v>
      </c>
      <c r="Q373" t="s">
        <v>5963</v>
      </c>
      <c r="R373" t="s">
        <v>4235</v>
      </c>
    </row>
    <row r="374" spans="1:18" x14ac:dyDescent="0.25">
      <c r="A374" t="s">
        <v>6757</v>
      </c>
      <c r="B374" t="s">
        <v>5981</v>
      </c>
      <c r="C374" t="s">
        <v>5975</v>
      </c>
      <c r="D374" t="s">
        <v>754</v>
      </c>
      <c r="E374">
        <v>58</v>
      </c>
      <c r="F374" t="s">
        <v>2376</v>
      </c>
      <c r="H374" t="s">
        <v>2952</v>
      </c>
      <c r="J374" t="s">
        <v>3693</v>
      </c>
      <c r="K374">
        <v>372.55</v>
      </c>
      <c r="L374">
        <v>13079.68</v>
      </c>
      <c r="M374" t="s">
        <v>3842</v>
      </c>
      <c r="N374" t="s">
        <v>6758</v>
      </c>
      <c r="O374" t="s">
        <v>5977</v>
      </c>
      <c r="P374" t="s">
        <v>5984</v>
      </c>
      <c r="Q374" t="s">
        <v>5963</v>
      </c>
      <c r="R374" t="s">
        <v>5979</v>
      </c>
    </row>
    <row r="375" spans="1:18" x14ac:dyDescent="0.25">
      <c r="A375" t="s">
        <v>6759</v>
      </c>
      <c r="B375" t="s">
        <v>5970</v>
      </c>
      <c r="C375" t="s">
        <v>5961</v>
      </c>
      <c r="D375" t="s">
        <v>209</v>
      </c>
      <c r="E375">
        <v>85</v>
      </c>
      <c r="F375" t="s">
        <v>2440</v>
      </c>
      <c r="H375" t="s">
        <v>6238</v>
      </c>
      <c r="K375">
        <v>336.01</v>
      </c>
      <c r="L375">
        <v>8908.1299999999992</v>
      </c>
      <c r="M375" t="s">
        <v>2505</v>
      </c>
      <c r="N375" t="s">
        <v>6760</v>
      </c>
      <c r="O375" t="s">
        <v>5978</v>
      </c>
      <c r="P375" t="s">
        <v>5984</v>
      </c>
      <c r="Q375" t="s">
        <v>5963</v>
      </c>
      <c r="R375" t="s">
        <v>6002</v>
      </c>
    </row>
    <row r="376" spans="1:18" x14ac:dyDescent="0.25">
      <c r="A376" t="s">
        <v>6761</v>
      </c>
      <c r="B376" t="s">
        <v>5960</v>
      </c>
      <c r="C376" t="s">
        <v>5988</v>
      </c>
      <c r="D376" t="s">
        <v>875</v>
      </c>
      <c r="E376">
        <v>49</v>
      </c>
      <c r="F376" t="s">
        <v>2440</v>
      </c>
      <c r="G376" t="s">
        <v>2416</v>
      </c>
      <c r="H376" t="s">
        <v>2765</v>
      </c>
      <c r="I376" t="s">
        <v>2868</v>
      </c>
      <c r="K376">
        <v>414.85</v>
      </c>
      <c r="L376">
        <v>17521.73</v>
      </c>
      <c r="M376" t="s">
        <v>3666</v>
      </c>
      <c r="N376" t="s">
        <v>6762</v>
      </c>
      <c r="O376" t="s">
        <v>1648</v>
      </c>
      <c r="P376" t="s">
        <v>5978</v>
      </c>
      <c r="Q376" t="s">
        <v>5968</v>
      </c>
      <c r="R376" t="s">
        <v>5979</v>
      </c>
    </row>
    <row r="377" spans="1:18" x14ac:dyDescent="0.25">
      <c r="A377" t="s">
        <v>6763</v>
      </c>
      <c r="B377" t="s">
        <v>5970</v>
      </c>
      <c r="C377" t="s">
        <v>5982</v>
      </c>
      <c r="D377" t="s">
        <v>910</v>
      </c>
      <c r="E377">
        <v>56</v>
      </c>
      <c r="F377" t="s">
        <v>2376</v>
      </c>
      <c r="H377" t="s">
        <v>3326</v>
      </c>
      <c r="J377" t="s">
        <v>4193</v>
      </c>
      <c r="K377">
        <v>406.32</v>
      </c>
      <c r="L377">
        <v>10424.120000000001</v>
      </c>
      <c r="M377" t="s">
        <v>3689</v>
      </c>
      <c r="N377" t="s">
        <v>6764</v>
      </c>
      <c r="O377" t="s">
        <v>1764</v>
      </c>
      <c r="P377" t="s">
        <v>5984</v>
      </c>
      <c r="Q377" t="s">
        <v>5968</v>
      </c>
      <c r="R377" t="s">
        <v>4235</v>
      </c>
    </row>
    <row r="378" spans="1:18" x14ac:dyDescent="0.25">
      <c r="A378" t="s">
        <v>6765</v>
      </c>
      <c r="B378" t="s">
        <v>3442</v>
      </c>
      <c r="C378" t="s">
        <v>5966</v>
      </c>
      <c r="D378" t="s">
        <v>819</v>
      </c>
      <c r="E378">
        <v>92</v>
      </c>
      <c r="F378" t="s">
        <v>2449</v>
      </c>
      <c r="G378" t="s">
        <v>2449</v>
      </c>
      <c r="H378" t="s">
        <v>2714</v>
      </c>
      <c r="I378" t="s">
        <v>2948</v>
      </c>
      <c r="J378" t="s">
        <v>4537</v>
      </c>
      <c r="K378">
        <v>307.70999999999998</v>
      </c>
      <c r="L378">
        <v>10952.68</v>
      </c>
      <c r="M378" t="s">
        <v>2896</v>
      </c>
      <c r="N378" t="s">
        <v>6766</v>
      </c>
      <c r="O378" t="s">
        <v>1764</v>
      </c>
      <c r="P378" t="s">
        <v>1897</v>
      </c>
      <c r="Q378" t="s">
        <v>5963</v>
      </c>
      <c r="R378" t="s">
        <v>6002</v>
      </c>
    </row>
    <row r="379" spans="1:18" x14ac:dyDescent="0.25">
      <c r="A379" t="s">
        <v>6767</v>
      </c>
      <c r="B379" t="s">
        <v>5970</v>
      </c>
      <c r="C379" t="s">
        <v>5961</v>
      </c>
      <c r="D379" t="s">
        <v>739</v>
      </c>
      <c r="E379">
        <v>37</v>
      </c>
      <c r="F379" t="s">
        <v>2407</v>
      </c>
      <c r="H379" t="s">
        <v>2898</v>
      </c>
      <c r="J379" t="s">
        <v>3639</v>
      </c>
      <c r="K379">
        <v>441.92</v>
      </c>
      <c r="L379">
        <v>7202.86</v>
      </c>
      <c r="M379" t="s">
        <v>3616</v>
      </c>
      <c r="N379" t="s">
        <v>6768</v>
      </c>
      <c r="O379" t="s">
        <v>1764</v>
      </c>
      <c r="P379" t="s">
        <v>2447</v>
      </c>
      <c r="Q379" t="s">
        <v>5963</v>
      </c>
      <c r="R379" t="s">
        <v>5979</v>
      </c>
    </row>
    <row r="380" spans="1:18" x14ac:dyDescent="0.25">
      <c r="A380" t="s">
        <v>6769</v>
      </c>
      <c r="B380" t="s">
        <v>5970</v>
      </c>
      <c r="C380" t="s">
        <v>5993</v>
      </c>
      <c r="D380" t="s">
        <v>990</v>
      </c>
      <c r="E380">
        <v>16</v>
      </c>
      <c r="F380" t="s">
        <v>2407</v>
      </c>
      <c r="H380" t="s">
        <v>2920</v>
      </c>
      <c r="J380" t="s">
        <v>2535</v>
      </c>
      <c r="K380">
        <v>375.38</v>
      </c>
      <c r="L380">
        <v>4373.8599999999997</v>
      </c>
      <c r="M380" t="s">
        <v>2858</v>
      </c>
      <c r="N380" t="s">
        <v>6770</v>
      </c>
      <c r="O380" t="s">
        <v>1648</v>
      </c>
      <c r="P380" t="s">
        <v>1897</v>
      </c>
      <c r="Q380" t="s">
        <v>3434</v>
      </c>
      <c r="R380" t="s">
        <v>5979</v>
      </c>
    </row>
    <row r="381" spans="1:18" x14ac:dyDescent="0.25">
      <c r="A381" t="s">
        <v>6771</v>
      </c>
      <c r="B381" t="s">
        <v>5960</v>
      </c>
      <c r="C381" t="s">
        <v>5961</v>
      </c>
      <c r="D381" t="s">
        <v>1091</v>
      </c>
      <c r="E381">
        <v>46</v>
      </c>
      <c r="F381" t="s">
        <v>2376</v>
      </c>
      <c r="G381" t="s">
        <v>2440</v>
      </c>
      <c r="H381" t="s">
        <v>3150</v>
      </c>
      <c r="I381" t="s">
        <v>3292</v>
      </c>
      <c r="J381" t="s">
        <v>3631</v>
      </c>
      <c r="K381">
        <v>104.42</v>
      </c>
      <c r="L381">
        <v>19460.169999999998</v>
      </c>
      <c r="M381" t="s">
        <v>3719</v>
      </c>
      <c r="N381" t="s">
        <v>6772</v>
      </c>
      <c r="O381" t="s">
        <v>1897</v>
      </c>
      <c r="P381" t="s">
        <v>1746</v>
      </c>
      <c r="Q381" t="s">
        <v>3434</v>
      </c>
      <c r="R381" t="s">
        <v>6002</v>
      </c>
    </row>
    <row r="382" spans="1:18" x14ac:dyDescent="0.25">
      <c r="A382" t="s">
        <v>6773</v>
      </c>
      <c r="B382" t="s">
        <v>5960</v>
      </c>
      <c r="C382" t="s">
        <v>5975</v>
      </c>
      <c r="D382" t="s">
        <v>438</v>
      </c>
      <c r="E382">
        <v>98</v>
      </c>
      <c r="F382" t="s">
        <v>2432</v>
      </c>
      <c r="G382" t="s">
        <v>2416</v>
      </c>
      <c r="H382" t="s">
        <v>6207</v>
      </c>
      <c r="I382" t="s">
        <v>2630</v>
      </c>
      <c r="J382" t="s">
        <v>4923</v>
      </c>
      <c r="K382">
        <v>339.73</v>
      </c>
      <c r="L382">
        <v>48925.03</v>
      </c>
      <c r="M382" t="s">
        <v>2691</v>
      </c>
      <c r="N382" t="s">
        <v>6774</v>
      </c>
      <c r="O382" t="s">
        <v>2447</v>
      </c>
      <c r="P382" t="s">
        <v>1897</v>
      </c>
      <c r="Q382" t="s">
        <v>3434</v>
      </c>
      <c r="R382" t="s">
        <v>4235</v>
      </c>
    </row>
    <row r="383" spans="1:18" x14ac:dyDescent="0.25">
      <c r="A383" t="s">
        <v>6775</v>
      </c>
      <c r="B383" t="s">
        <v>5974</v>
      </c>
      <c r="C383" t="s">
        <v>5988</v>
      </c>
      <c r="D383" t="s">
        <v>103</v>
      </c>
      <c r="E383">
        <v>35</v>
      </c>
      <c r="F383" t="s">
        <v>2407</v>
      </c>
      <c r="H383" t="s">
        <v>6399</v>
      </c>
      <c r="J383" t="s">
        <v>4820</v>
      </c>
      <c r="K383">
        <v>142.51</v>
      </c>
      <c r="L383">
        <v>7105.81</v>
      </c>
      <c r="M383" t="s">
        <v>3628</v>
      </c>
      <c r="N383" t="s">
        <v>6776</v>
      </c>
      <c r="O383" t="s">
        <v>5977</v>
      </c>
      <c r="P383" t="s">
        <v>5977</v>
      </c>
      <c r="Q383" t="s">
        <v>5968</v>
      </c>
      <c r="R383" t="s">
        <v>4235</v>
      </c>
    </row>
    <row r="384" spans="1:18" x14ac:dyDescent="0.25">
      <c r="A384" t="s">
        <v>6777</v>
      </c>
      <c r="B384" t="s">
        <v>3442</v>
      </c>
      <c r="C384" t="s">
        <v>5975</v>
      </c>
      <c r="D384" t="s">
        <v>662</v>
      </c>
      <c r="E384">
        <v>45</v>
      </c>
      <c r="F384" t="s">
        <v>2416</v>
      </c>
      <c r="G384" t="s">
        <v>2398</v>
      </c>
      <c r="H384" t="s">
        <v>3326</v>
      </c>
      <c r="I384" t="s">
        <v>3359</v>
      </c>
      <c r="K384">
        <v>263.23</v>
      </c>
      <c r="L384">
        <v>16577.29</v>
      </c>
      <c r="M384" t="s">
        <v>6778</v>
      </c>
      <c r="N384" t="s">
        <v>6779</v>
      </c>
      <c r="O384" t="s">
        <v>1648</v>
      </c>
      <c r="P384" t="s">
        <v>1897</v>
      </c>
      <c r="Q384" t="s">
        <v>5963</v>
      </c>
      <c r="R384" t="s">
        <v>4235</v>
      </c>
    </row>
    <row r="385" spans="1:18" x14ac:dyDescent="0.25">
      <c r="A385" t="s">
        <v>6780</v>
      </c>
      <c r="B385" t="s">
        <v>5965</v>
      </c>
      <c r="C385" t="s">
        <v>5981</v>
      </c>
      <c r="D385" t="s">
        <v>209</v>
      </c>
      <c r="E385">
        <v>11</v>
      </c>
      <c r="F385" t="s">
        <v>2425</v>
      </c>
      <c r="H385" t="s">
        <v>6222</v>
      </c>
      <c r="J385" t="s">
        <v>5470</v>
      </c>
      <c r="K385">
        <v>307.72000000000003</v>
      </c>
      <c r="L385">
        <v>1827.14</v>
      </c>
      <c r="M385" t="s">
        <v>4584</v>
      </c>
      <c r="N385" t="s">
        <v>6781</v>
      </c>
      <c r="O385" t="s">
        <v>1764</v>
      </c>
      <c r="P385" t="s">
        <v>1648</v>
      </c>
      <c r="Q385" t="s">
        <v>5963</v>
      </c>
    </row>
    <row r="386" spans="1:18" x14ac:dyDescent="0.25">
      <c r="A386" t="s">
        <v>6782</v>
      </c>
      <c r="B386" t="s">
        <v>5960</v>
      </c>
      <c r="C386" t="s">
        <v>5981</v>
      </c>
      <c r="D386" t="s">
        <v>631</v>
      </c>
      <c r="E386">
        <v>25</v>
      </c>
      <c r="F386" t="s">
        <v>2425</v>
      </c>
      <c r="G386" t="s">
        <v>2456</v>
      </c>
      <c r="H386" t="s">
        <v>3067</v>
      </c>
      <c r="I386" t="s">
        <v>6012</v>
      </c>
      <c r="J386" t="s">
        <v>2541</v>
      </c>
      <c r="K386">
        <v>264.31</v>
      </c>
      <c r="L386">
        <v>5368.71</v>
      </c>
      <c r="M386" t="s">
        <v>4584</v>
      </c>
      <c r="N386" t="s">
        <v>6783</v>
      </c>
      <c r="O386" t="s">
        <v>1897</v>
      </c>
      <c r="P386" t="s">
        <v>5977</v>
      </c>
      <c r="Q386" t="s">
        <v>5963</v>
      </c>
    </row>
    <row r="387" spans="1:18" x14ac:dyDescent="0.25">
      <c r="A387" t="s">
        <v>6784</v>
      </c>
      <c r="B387" t="s">
        <v>6026</v>
      </c>
      <c r="C387" t="s">
        <v>5966</v>
      </c>
      <c r="D387" t="s">
        <v>734</v>
      </c>
      <c r="E387">
        <v>33</v>
      </c>
      <c r="F387" t="s">
        <v>2456</v>
      </c>
      <c r="H387" t="s">
        <v>3281</v>
      </c>
      <c r="J387" t="s">
        <v>5477</v>
      </c>
      <c r="K387">
        <v>130.62</v>
      </c>
      <c r="L387">
        <v>13331.35</v>
      </c>
      <c r="M387" t="s">
        <v>3431</v>
      </c>
      <c r="N387" t="s">
        <v>6785</v>
      </c>
      <c r="O387" t="s">
        <v>2447</v>
      </c>
      <c r="P387" t="s">
        <v>1764</v>
      </c>
      <c r="Q387" t="s">
        <v>3434</v>
      </c>
    </row>
    <row r="388" spans="1:18" x14ac:dyDescent="0.25">
      <c r="A388" t="s">
        <v>6786</v>
      </c>
      <c r="B388" t="s">
        <v>3442</v>
      </c>
      <c r="C388" t="s">
        <v>5966</v>
      </c>
      <c r="D388" t="s">
        <v>95</v>
      </c>
      <c r="E388">
        <v>5</v>
      </c>
      <c r="F388" t="s">
        <v>2388</v>
      </c>
      <c r="G388" t="s">
        <v>2407</v>
      </c>
      <c r="H388" t="s">
        <v>2743</v>
      </c>
      <c r="I388" t="s">
        <v>2620</v>
      </c>
      <c r="J388" t="s">
        <v>3421</v>
      </c>
      <c r="K388">
        <v>387.22</v>
      </c>
      <c r="L388">
        <v>1178.57</v>
      </c>
      <c r="M388" t="s">
        <v>2866</v>
      </c>
      <c r="N388" t="s">
        <v>6787</v>
      </c>
      <c r="O388" t="s">
        <v>1746</v>
      </c>
      <c r="P388" t="s">
        <v>5977</v>
      </c>
      <c r="Q388" t="s">
        <v>5963</v>
      </c>
      <c r="R388" t="s">
        <v>6002</v>
      </c>
    </row>
    <row r="389" spans="1:18" x14ac:dyDescent="0.25">
      <c r="A389" t="s">
        <v>6788</v>
      </c>
      <c r="B389" t="s">
        <v>5965</v>
      </c>
      <c r="C389" t="s">
        <v>5993</v>
      </c>
      <c r="D389" t="s">
        <v>62</v>
      </c>
      <c r="E389">
        <v>12</v>
      </c>
      <c r="F389" t="s">
        <v>2432</v>
      </c>
      <c r="H389" t="s">
        <v>3116</v>
      </c>
      <c r="K389">
        <v>190.34</v>
      </c>
      <c r="L389">
        <v>3995.74</v>
      </c>
      <c r="M389" t="s">
        <v>4742</v>
      </c>
      <c r="N389" t="s">
        <v>6789</v>
      </c>
      <c r="O389" t="s">
        <v>5977</v>
      </c>
      <c r="P389" t="s">
        <v>5984</v>
      </c>
      <c r="Q389" t="s">
        <v>3434</v>
      </c>
    </row>
    <row r="390" spans="1:18" x14ac:dyDescent="0.25">
      <c r="A390" t="s">
        <v>6790</v>
      </c>
      <c r="B390" t="s">
        <v>5965</v>
      </c>
      <c r="C390" t="s">
        <v>5982</v>
      </c>
      <c r="D390" t="s">
        <v>960</v>
      </c>
      <c r="E390">
        <v>4</v>
      </c>
      <c r="F390" t="s">
        <v>2456</v>
      </c>
      <c r="H390" t="s">
        <v>2978</v>
      </c>
      <c r="J390" t="s">
        <v>2527</v>
      </c>
      <c r="K390">
        <v>131.68</v>
      </c>
      <c r="L390">
        <v>265.82</v>
      </c>
      <c r="M390" t="s">
        <v>3181</v>
      </c>
      <c r="N390" t="s">
        <v>6791</v>
      </c>
      <c r="O390" t="s">
        <v>2447</v>
      </c>
      <c r="P390" t="s">
        <v>1746</v>
      </c>
      <c r="Q390" t="s">
        <v>5963</v>
      </c>
      <c r="R390" t="s">
        <v>5979</v>
      </c>
    </row>
    <row r="391" spans="1:18" x14ac:dyDescent="0.25">
      <c r="A391" t="s">
        <v>6792</v>
      </c>
      <c r="B391" t="s">
        <v>5970</v>
      </c>
      <c r="C391" t="s">
        <v>5975</v>
      </c>
      <c r="D391" t="s">
        <v>662</v>
      </c>
      <c r="E391">
        <v>40</v>
      </c>
      <c r="F391" t="s">
        <v>2376</v>
      </c>
      <c r="H391" t="s">
        <v>3257</v>
      </c>
      <c r="J391" t="s">
        <v>2548</v>
      </c>
      <c r="K391">
        <v>491.41</v>
      </c>
      <c r="L391">
        <v>18124.490000000002</v>
      </c>
      <c r="M391" t="s">
        <v>2439</v>
      </c>
      <c r="N391" t="s">
        <v>6793</v>
      </c>
      <c r="O391" t="s">
        <v>5977</v>
      </c>
      <c r="P391" t="s">
        <v>5984</v>
      </c>
      <c r="Q391" t="s">
        <v>5963</v>
      </c>
      <c r="R391" t="s">
        <v>4235</v>
      </c>
    </row>
    <row r="392" spans="1:18" x14ac:dyDescent="0.25">
      <c r="A392" t="s">
        <v>6794</v>
      </c>
      <c r="B392" t="s">
        <v>5974</v>
      </c>
      <c r="C392" t="s">
        <v>5982</v>
      </c>
      <c r="D392" t="s">
        <v>905</v>
      </c>
      <c r="E392">
        <v>26</v>
      </c>
      <c r="F392" t="s">
        <v>2440</v>
      </c>
      <c r="H392" t="s">
        <v>6231</v>
      </c>
      <c r="J392" t="s">
        <v>5741</v>
      </c>
      <c r="K392">
        <v>355.02</v>
      </c>
      <c r="L392">
        <v>2421.7399999999998</v>
      </c>
      <c r="M392" t="s">
        <v>2494</v>
      </c>
      <c r="N392" t="s">
        <v>6795</v>
      </c>
      <c r="O392" t="s">
        <v>1648</v>
      </c>
      <c r="P392" t="s">
        <v>1746</v>
      </c>
      <c r="Q392" t="s">
        <v>3434</v>
      </c>
    </row>
    <row r="393" spans="1:18" x14ac:dyDescent="0.25">
      <c r="A393" t="s">
        <v>6796</v>
      </c>
      <c r="B393" t="s">
        <v>5960</v>
      </c>
      <c r="C393" t="s">
        <v>5988</v>
      </c>
      <c r="D393" t="s">
        <v>865</v>
      </c>
      <c r="E393">
        <v>55</v>
      </c>
      <c r="F393" t="s">
        <v>2432</v>
      </c>
      <c r="G393" t="s">
        <v>2449</v>
      </c>
      <c r="H393" t="s">
        <v>2841</v>
      </c>
      <c r="I393" t="s">
        <v>2731</v>
      </c>
      <c r="J393" t="s">
        <v>2551</v>
      </c>
      <c r="K393">
        <v>140.21</v>
      </c>
      <c r="L393">
        <v>11332.53</v>
      </c>
      <c r="M393" t="s">
        <v>3661</v>
      </c>
      <c r="N393" t="s">
        <v>6797</v>
      </c>
      <c r="O393" t="s">
        <v>5978</v>
      </c>
      <c r="P393" t="s">
        <v>1648</v>
      </c>
      <c r="Q393" t="s">
        <v>5963</v>
      </c>
      <c r="R393" t="s">
        <v>5979</v>
      </c>
    </row>
    <row r="394" spans="1:18" x14ac:dyDescent="0.25">
      <c r="A394" t="s">
        <v>6798</v>
      </c>
      <c r="B394" t="s">
        <v>3442</v>
      </c>
      <c r="C394" t="s">
        <v>5975</v>
      </c>
      <c r="D394" t="s">
        <v>453</v>
      </c>
      <c r="E394">
        <v>64</v>
      </c>
      <c r="F394" t="s">
        <v>2432</v>
      </c>
      <c r="G394" t="s">
        <v>2407</v>
      </c>
      <c r="H394" t="s">
        <v>2661</v>
      </c>
      <c r="I394" t="s">
        <v>2675</v>
      </c>
      <c r="J394" t="s">
        <v>5193</v>
      </c>
      <c r="K394">
        <v>317.54000000000002</v>
      </c>
      <c r="L394">
        <v>26484.09</v>
      </c>
      <c r="M394" t="s">
        <v>2905</v>
      </c>
      <c r="N394" t="s">
        <v>6799</v>
      </c>
      <c r="O394" t="s">
        <v>1764</v>
      </c>
      <c r="P394" t="s">
        <v>1897</v>
      </c>
      <c r="Q394" t="s">
        <v>3434</v>
      </c>
      <c r="R394" t="s">
        <v>6002</v>
      </c>
    </row>
    <row r="395" spans="1:18" x14ac:dyDescent="0.25">
      <c r="A395" t="s">
        <v>6800</v>
      </c>
      <c r="B395" t="s">
        <v>3442</v>
      </c>
      <c r="C395" t="s">
        <v>5982</v>
      </c>
      <c r="D395" t="s">
        <v>860</v>
      </c>
      <c r="E395">
        <v>82</v>
      </c>
      <c r="F395" t="s">
        <v>2388</v>
      </c>
      <c r="G395" t="s">
        <v>2425</v>
      </c>
      <c r="H395" t="s">
        <v>3281</v>
      </c>
      <c r="I395" t="s">
        <v>3049</v>
      </c>
      <c r="K395">
        <v>372.61</v>
      </c>
      <c r="L395">
        <v>8886.24</v>
      </c>
      <c r="M395" t="s">
        <v>4977</v>
      </c>
      <c r="N395" t="s">
        <v>6801</v>
      </c>
      <c r="O395" t="s">
        <v>1648</v>
      </c>
      <c r="P395" t="s">
        <v>1764</v>
      </c>
      <c r="Q395" t="s">
        <v>3434</v>
      </c>
    </row>
    <row r="396" spans="1:18" x14ac:dyDescent="0.25">
      <c r="A396" t="s">
        <v>6802</v>
      </c>
      <c r="B396" t="s">
        <v>5965</v>
      </c>
      <c r="C396" t="s">
        <v>6011</v>
      </c>
      <c r="D396" t="s">
        <v>940</v>
      </c>
      <c r="E396">
        <v>1</v>
      </c>
      <c r="F396" t="s">
        <v>2449</v>
      </c>
      <c r="H396" t="s">
        <v>2770</v>
      </c>
      <c r="J396" t="s">
        <v>5660</v>
      </c>
      <c r="K396">
        <v>199.74</v>
      </c>
      <c r="L396">
        <v>62.14</v>
      </c>
      <c r="M396" t="s">
        <v>3541</v>
      </c>
      <c r="N396" t="s">
        <v>6803</v>
      </c>
      <c r="O396" t="s">
        <v>5984</v>
      </c>
      <c r="P396" t="s">
        <v>5978</v>
      </c>
      <c r="Q396" t="s">
        <v>5968</v>
      </c>
    </row>
    <row r="397" spans="1:18" x14ac:dyDescent="0.25">
      <c r="A397" t="s">
        <v>6804</v>
      </c>
      <c r="B397" t="s">
        <v>5960</v>
      </c>
      <c r="C397" t="s">
        <v>5988</v>
      </c>
      <c r="D397" t="s">
        <v>728</v>
      </c>
      <c r="E397">
        <v>68</v>
      </c>
      <c r="F397" t="s">
        <v>2407</v>
      </c>
      <c r="G397" t="s">
        <v>2449</v>
      </c>
      <c r="H397" t="s">
        <v>2630</v>
      </c>
      <c r="I397" t="s">
        <v>3126</v>
      </c>
      <c r="K397">
        <v>161.44999999999999</v>
      </c>
      <c r="L397">
        <v>21785.57</v>
      </c>
      <c r="M397" t="s">
        <v>3278</v>
      </c>
      <c r="N397" t="s">
        <v>6805</v>
      </c>
      <c r="O397" t="s">
        <v>2447</v>
      </c>
      <c r="P397" t="s">
        <v>5978</v>
      </c>
      <c r="Q397" t="s">
        <v>5963</v>
      </c>
      <c r="R397" t="s">
        <v>5979</v>
      </c>
    </row>
    <row r="398" spans="1:18" x14ac:dyDescent="0.25">
      <c r="A398" t="s">
        <v>6806</v>
      </c>
      <c r="B398" t="s">
        <v>5970</v>
      </c>
      <c r="C398" t="s">
        <v>6011</v>
      </c>
      <c r="D398" t="s">
        <v>698</v>
      </c>
      <c r="E398">
        <v>27</v>
      </c>
      <c r="F398" t="s">
        <v>2388</v>
      </c>
      <c r="H398" t="s">
        <v>3288</v>
      </c>
      <c r="J398" t="s">
        <v>4170</v>
      </c>
      <c r="K398">
        <v>414.86</v>
      </c>
      <c r="L398">
        <v>9934.26</v>
      </c>
      <c r="M398" t="s">
        <v>2777</v>
      </c>
      <c r="N398" t="s">
        <v>6807</v>
      </c>
      <c r="O398" t="s">
        <v>2447</v>
      </c>
      <c r="P398" t="s">
        <v>1746</v>
      </c>
      <c r="Q398" t="s">
        <v>3434</v>
      </c>
    </row>
    <row r="399" spans="1:18" x14ac:dyDescent="0.25">
      <c r="A399" t="s">
        <v>6808</v>
      </c>
      <c r="B399" t="s">
        <v>5965</v>
      </c>
      <c r="C399" t="s">
        <v>5981</v>
      </c>
      <c r="D399" t="s">
        <v>395</v>
      </c>
      <c r="E399">
        <v>69</v>
      </c>
      <c r="F399" t="s">
        <v>2407</v>
      </c>
      <c r="H399" t="s">
        <v>2719</v>
      </c>
      <c r="J399" t="s">
        <v>2515</v>
      </c>
      <c r="K399">
        <v>169.92</v>
      </c>
      <c r="L399">
        <v>33986.11</v>
      </c>
      <c r="M399" t="s">
        <v>3966</v>
      </c>
      <c r="N399" t="s">
        <v>6809</v>
      </c>
      <c r="O399" t="s">
        <v>2447</v>
      </c>
      <c r="P399" t="s">
        <v>1648</v>
      </c>
      <c r="Q399" t="s">
        <v>5963</v>
      </c>
    </row>
    <row r="400" spans="1:18" x14ac:dyDescent="0.25">
      <c r="A400" t="s">
        <v>6810</v>
      </c>
      <c r="B400" t="s">
        <v>5974</v>
      </c>
      <c r="C400" t="s">
        <v>5982</v>
      </c>
      <c r="D400" t="s">
        <v>353</v>
      </c>
      <c r="E400">
        <v>74</v>
      </c>
      <c r="F400" t="s">
        <v>2416</v>
      </c>
      <c r="H400" t="s">
        <v>2743</v>
      </c>
      <c r="J400" t="s">
        <v>4578</v>
      </c>
      <c r="K400">
        <v>418.17</v>
      </c>
      <c r="L400">
        <v>6024.87</v>
      </c>
      <c r="M400" t="s">
        <v>4612</v>
      </c>
      <c r="N400" t="s">
        <v>6811</v>
      </c>
      <c r="O400" t="s">
        <v>1764</v>
      </c>
      <c r="P400" t="s">
        <v>1897</v>
      </c>
      <c r="Q400" t="s">
        <v>5963</v>
      </c>
      <c r="R400" t="s">
        <v>5979</v>
      </c>
    </row>
    <row r="401" spans="1:18" x14ac:dyDescent="0.25">
      <c r="A401" t="s">
        <v>6812</v>
      </c>
      <c r="B401" t="s">
        <v>5960</v>
      </c>
      <c r="C401" t="s">
        <v>5988</v>
      </c>
      <c r="D401" t="s">
        <v>794</v>
      </c>
      <c r="E401">
        <v>15</v>
      </c>
      <c r="F401" t="s">
        <v>2388</v>
      </c>
      <c r="G401" t="s">
        <v>2432</v>
      </c>
      <c r="H401" t="s">
        <v>2620</v>
      </c>
      <c r="I401" t="s">
        <v>3179</v>
      </c>
      <c r="J401" t="s">
        <v>2548</v>
      </c>
      <c r="K401">
        <v>140.97999999999999</v>
      </c>
      <c r="L401">
        <v>2075.11</v>
      </c>
      <c r="M401" t="s">
        <v>3819</v>
      </c>
      <c r="N401" t="s">
        <v>6813</v>
      </c>
      <c r="O401" t="s">
        <v>2447</v>
      </c>
      <c r="P401" t="s">
        <v>1897</v>
      </c>
      <c r="Q401" t="s">
        <v>5963</v>
      </c>
    </row>
    <row r="402" spans="1:18" x14ac:dyDescent="0.25">
      <c r="A402" t="s">
        <v>6814</v>
      </c>
      <c r="B402" t="s">
        <v>3442</v>
      </c>
      <c r="C402" t="s">
        <v>5988</v>
      </c>
      <c r="D402" t="s">
        <v>379</v>
      </c>
      <c r="E402">
        <v>42</v>
      </c>
      <c r="F402" t="s">
        <v>2416</v>
      </c>
      <c r="G402" t="s">
        <v>2440</v>
      </c>
      <c r="H402" t="s">
        <v>5998</v>
      </c>
      <c r="I402" t="s">
        <v>3105</v>
      </c>
      <c r="J402" t="s">
        <v>4132</v>
      </c>
      <c r="K402">
        <v>234.45</v>
      </c>
      <c r="L402">
        <v>5610.29</v>
      </c>
      <c r="M402" t="s">
        <v>2610</v>
      </c>
      <c r="N402" t="s">
        <v>6815</v>
      </c>
      <c r="O402" t="s">
        <v>1897</v>
      </c>
      <c r="P402" t="s">
        <v>1764</v>
      </c>
      <c r="Q402" t="s">
        <v>5963</v>
      </c>
      <c r="R402" t="s">
        <v>5979</v>
      </c>
    </row>
    <row r="403" spans="1:18" x14ac:dyDescent="0.25">
      <c r="A403" t="s">
        <v>6816</v>
      </c>
      <c r="B403" t="s">
        <v>5960</v>
      </c>
      <c r="C403" t="s">
        <v>5966</v>
      </c>
      <c r="D403" t="s">
        <v>713</v>
      </c>
      <c r="E403">
        <v>8</v>
      </c>
      <c r="F403" t="s">
        <v>2449</v>
      </c>
      <c r="G403" t="s">
        <v>2388</v>
      </c>
      <c r="H403" t="s">
        <v>6817</v>
      </c>
      <c r="I403" t="s">
        <v>2639</v>
      </c>
      <c r="J403" t="s">
        <v>4168</v>
      </c>
      <c r="K403">
        <v>306.49</v>
      </c>
      <c r="L403">
        <v>858.55</v>
      </c>
      <c r="M403" t="s">
        <v>3099</v>
      </c>
      <c r="N403" t="s">
        <v>6818</v>
      </c>
      <c r="O403" t="s">
        <v>5984</v>
      </c>
      <c r="P403" t="s">
        <v>5978</v>
      </c>
      <c r="Q403" t="s">
        <v>5963</v>
      </c>
      <c r="R403" t="s">
        <v>4235</v>
      </c>
    </row>
    <row r="404" spans="1:18" x14ac:dyDescent="0.25">
      <c r="A404" t="s">
        <v>6819</v>
      </c>
      <c r="B404" t="s">
        <v>5981</v>
      </c>
      <c r="C404" t="s">
        <v>5981</v>
      </c>
      <c r="D404" t="s">
        <v>368</v>
      </c>
      <c r="E404">
        <v>32</v>
      </c>
      <c r="F404" t="s">
        <v>2449</v>
      </c>
      <c r="H404" t="s">
        <v>6557</v>
      </c>
      <c r="K404">
        <v>270.18</v>
      </c>
      <c r="L404">
        <v>2552.39</v>
      </c>
      <c r="M404" t="s">
        <v>3984</v>
      </c>
      <c r="N404" t="s">
        <v>6820</v>
      </c>
      <c r="O404" t="s">
        <v>1897</v>
      </c>
      <c r="P404" t="s">
        <v>5984</v>
      </c>
      <c r="Q404" t="s">
        <v>5963</v>
      </c>
    </row>
    <row r="405" spans="1:18" x14ac:dyDescent="0.25">
      <c r="A405" t="s">
        <v>6821</v>
      </c>
      <c r="B405" t="s">
        <v>5960</v>
      </c>
      <c r="C405" t="s">
        <v>5982</v>
      </c>
      <c r="D405" t="s">
        <v>657</v>
      </c>
      <c r="E405">
        <v>35</v>
      </c>
      <c r="F405" t="s">
        <v>2376</v>
      </c>
      <c r="G405" t="s">
        <v>2440</v>
      </c>
      <c r="H405" t="s">
        <v>6031</v>
      </c>
      <c r="I405" t="s">
        <v>3049</v>
      </c>
      <c r="J405" t="s">
        <v>4025</v>
      </c>
      <c r="K405">
        <v>412.49</v>
      </c>
      <c r="L405">
        <v>5340.97</v>
      </c>
      <c r="M405" t="s">
        <v>3555</v>
      </c>
      <c r="N405" t="s">
        <v>6822</v>
      </c>
      <c r="O405" t="s">
        <v>5984</v>
      </c>
      <c r="P405" t="s">
        <v>1764</v>
      </c>
      <c r="Q405" t="s">
        <v>5963</v>
      </c>
      <c r="R405" t="s">
        <v>5979</v>
      </c>
    </row>
    <row r="406" spans="1:18" x14ac:dyDescent="0.25">
      <c r="A406" t="s">
        <v>6823</v>
      </c>
      <c r="B406" t="s">
        <v>5960</v>
      </c>
      <c r="C406" t="s">
        <v>5961</v>
      </c>
      <c r="D406" t="s">
        <v>530</v>
      </c>
      <c r="E406">
        <v>85</v>
      </c>
      <c r="F406" t="s">
        <v>2416</v>
      </c>
      <c r="G406" t="s">
        <v>2416</v>
      </c>
      <c r="H406" t="s">
        <v>2661</v>
      </c>
      <c r="I406" t="s">
        <v>3364</v>
      </c>
      <c r="J406" t="s">
        <v>3515</v>
      </c>
      <c r="K406">
        <v>102.96</v>
      </c>
      <c r="L406">
        <v>21527</v>
      </c>
      <c r="M406" t="s">
        <v>2848</v>
      </c>
      <c r="N406" t="s">
        <v>6824</v>
      </c>
      <c r="O406" t="s">
        <v>1897</v>
      </c>
      <c r="P406" t="s">
        <v>5978</v>
      </c>
      <c r="Q406" t="s">
        <v>5963</v>
      </c>
      <c r="R406" t="s">
        <v>4235</v>
      </c>
    </row>
    <row r="407" spans="1:18" x14ac:dyDescent="0.25">
      <c r="A407" t="s">
        <v>6825</v>
      </c>
      <c r="B407" t="s">
        <v>6026</v>
      </c>
      <c r="C407" t="s">
        <v>5993</v>
      </c>
      <c r="D407" t="s">
        <v>657</v>
      </c>
      <c r="E407">
        <v>64</v>
      </c>
      <c r="F407" t="s">
        <v>2425</v>
      </c>
      <c r="H407" t="s">
        <v>6538</v>
      </c>
      <c r="J407" t="s">
        <v>4334</v>
      </c>
      <c r="K407">
        <v>498.43</v>
      </c>
      <c r="L407">
        <v>20123.560000000001</v>
      </c>
      <c r="M407" t="s">
        <v>4087</v>
      </c>
      <c r="N407" t="s">
        <v>6826</v>
      </c>
      <c r="O407" t="s">
        <v>2447</v>
      </c>
      <c r="P407" t="s">
        <v>1764</v>
      </c>
      <c r="Q407" t="s">
        <v>5963</v>
      </c>
      <c r="R407" t="s">
        <v>5979</v>
      </c>
    </row>
    <row r="408" spans="1:18" x14ac:dyDescent="0.25">
      <c r="A408" t="s">
        <v>6827</v>
      </c>
      <c r="B408" t="s">
        <v>6026</v>
      </c>
      <c r="C408" t="s">
        <v>5981</v>
      </c>
      <c r="D408" t="s">
        <v>1026</v>
      </c>
      <c r="E408">
        <v>44</v>
      </c>
      <c r="F408" t="s">
        <v>2456</v>
      </c>
      <c r="H408" t="s">
        <v>6231</v>
      </c>
      <c r="J408" t="s">
        <v>4188</v>
      </c>
      <c r="K408">
        <v>425.03</v>
      </c>
      <c r="L408">
        <v>15049.68</v>
      </c>
      <c r="M408" t="s">
        <v>3108</v>
      </c>
      <c r="N408" t="s">
        <v>6828</v>
      </c>
      <c r="O408" t="s">
        <v>1897</v>
      </c>
      <c r="P408" t="s">
        <v>1897</v>
      </c>
      <c r="Q408" t="s">
        <v>5963</v>
      </c>
    </row>
    <row r="409" spans="1:18" x14ac:dyDescent="0.25">
      <c r="A409" t="s">
        <v>6829</v>
      </c>
      <c r="B409" t="s">
        <v>6026</v>
      </c>
      <c r="C409" t="s">
        <v>5988</v>
      </c>
      <c r="D409" t="s">
        <v>880</v>
      </c>
      <c r="E409">
        <v>22</v>
      </c>
      <c r="F409" t="s">
        <v>2432</v>
      </c>
      <c r="H409" t="s">
        <v>2970</v>
      </c>
      <c r="J409" t="s">
        <v>2475</v>
      </c>
      <c r="K409">
        <v>318.76</v>
      </c>
      <c r="L409">
        <v>6972.37</v>
      </c>
      <c r="M409" t="s">
        <v>1794</v>
      </c>
      <c r="N409" t="s">
        <v>6830</v>
      </c>
      <c r="O409" t="s">
        <v>2447</v>
      </c>
      <c r="P409" t="s">
        <v>1746</v>
      </c>
      <c r="Q409" t="s">
        <v>3434</v>
      </c>
    </row>
    <row r="410" spans="1:18" x14ac:dyDescent="0.25">
      <c r="A410" t="s">
        <v>6831</v>
      </c>
      <c r="B410" t="s">
        <v>5970</v>
      </c>
      <c r="C410" t="s">
        <v>5988</v>
      </c>
      <c r="D410" t="s">
        <v>87</v>
      </c>
      <c r="E410">
        <v>16</v>
      </c>
      <c r="F410" t="s">
        <v>2407</v>
      </c>
      <c r="H410" t="s">
        <v>2963</v>
      </c>
      <c r="J410" t="s">
        <v>4242</v>
      </c>
      <c r="K410">
        <v>107.61</v>
      </c>
      <c r="L410">
        <v>1364.38</v>
      </c>
      <c r="M410" t="s">
        <v>3637</v>
      </c>
      <c r="N410" t="s">
        <v>6832</v>
      </c>
      <c r="O410" t="s">
        <v>2447</v>
      </c>
      <c r="P410" t="s">
        <v>1897</v>
      </c>
      <c r="Q410" t="s">
        <v>5968</v>
      </c>
    </row>
    <row r="411" spans="1:18" x14ac:dyDescent="0.25">
      <c r="A411" t="s">
        <v>6833</v>
      </c>
      <c r="B411" t="s">
        <v>5960</v>
      </c>
      <c r="C411" t="s">
        <v>5966</v>
      </c>
      <c r="D411" t="s">
        <v>146</v>
      </c>
      <c r="E411">
        <v>39</v>
      </c>
      <c r="F411" t="s">
        <v>2376</v>
      </c>
      <c r="G411" t="s">
        <v>2456</v>
      </c>
      <c r="H411" t="s">
        <v>3401</v>
      </c>
      <c r="I411" t="s">
        <v>3016</v>
      </c>
      <c r="J411" t="s">
        <v>2561</v>
      </c>
      <c r="K411">
        <v>147.88</v>
      </c>
      <c r="L411">
        <v>11009.4</v>
      </c>
      <c r="M411" t="s">
        <v>4398</v>
      </c>
      <c r="N411" t="s">
        <v>6834</v>
      </c>
      <c r="O411" t="s">
        <v>1764</v>
      </c>
      <c r="P411" t="s">
        <v>1764</v>
      </c>
      <c r="Q411" t="s">
        <v>5963</v>
      </c>
      <c r="R411" t="s">
        <v>6002</v>
      </c>
    </row>
    <row r="412" spans="1:18" x14ac:dyDescent="0.25">
      <c r="A412" t="s">
        <v>6835</v>
      </c>
      <c r="B412" t="s">
        <v>5960</v>
      </c>
      <c r="C412" t="s">
        <v>6011</v>
      </c>
      <c r="D412" t="s">
        <v>784</v>
      </c>
      <c r="E412">
        <v>96</v>
      </c>
      <c r="F412" t="s">
        <v>2425</v>
      </c>
      <c r="G412" t="s">
        <v>2425</v>
      </c>
      <c r="H412" t="s">
        <v>3154</v>
      </c>
      <c r="I412" t="s">
        <v>2837</v>
      </c>
      <c r="J412" t="s">
        <v>2501</v>
      </c>
      <c r="K412">
        <v>115.4</v>
      </c>
      <c r="L412">
        <v>34110.82</v>
      </c>
      <c r="M412" t="s">
        <v>1756</v>
      </c>
      <c r="N412" t="s">
        <v>6836</v>
      </c>
      <c r="O412" t="s">
        <v>1897</v>
      </c>
      <c r="P412" t="s">
        <v>5978</v>
      </c>
      <c r="Q412" t="s">
        <v>5963</v>
      </c>
      <c r="R412" t="s">
        <v>6002</v>
      </c>
    </row>
    <row r="413" spans="1:18" x14ac:dyDescent="0.25">
      <c r="A413" t="s">
        <v>6837</v>
      </c>
      <c r="B413" t="s">
        <v>3442</v>
      </c>
      <c r="C413" t="s">
        <v>5975</v>
      </c>
      <c r="D413" t="s">
        <v>215</v>
      </c>
      <c r="E413">
        <v>65</v>
      </c>
      <c r="F413" t="s">
        <v>2425</v>
      </c>
      <c r="G413" t="s">
        <v>2425</v>
      </c>
      <c r="H413" t="s">
        <v>2724</v>
      </c>
      <c r="I413" t="s">
        <v>2743</v>
      </c>
      <c r="J413" t="s">
        <v>3840</v>
      </c>
      <c r="K413">
        <v>74.14</v>
      </c>
      <c r="L413">
        <v>18264.080000000002</v>
      </c>
      <c r="M413" t="s">
        <v>3470</v>
      </c>
      <c r="N413" t="s">
        <v>6838</v>
      </c>
      <c r="O413" t="s">
        <v>5984</v>
      </c>
      <c r="P413" t="s">
        <v>5978</v>
      </c>
      <c r="Q413" t="s">
        <v>5963</v>
      </c>
      <c r="R413" t="s">
        <v>4235</v>
      </c>
    </row>
    <row r="414" spans="1:18" x14ac:dyDescent="0.25">
      <c r="A414" t="s">
        <v>6839</v>
      </c>
      <c r="B414" t="s">
        <v>5965</v>
      </c>
      <c r="C414" t="s">
        <v>5988</v>
      </c>
      <c r="D414" t="s">
        <v>693</v>
      </c>
      <c r="E414">
        <v>50</v>
      </c>
      <c r="F414" t="s">
        <v>2376</v>
      </c>
      <c r="H414" t="s">
        <v>2620</v>
      </c>
      <c r="K414">
        <v>448.15</v>
      </c>
      <c r="L414">
        <v>21519.4</v>
      </c>
      <c r="M414" t="s">
        <v>4262</v>
      </c>
      <c r="N414" t="s">
        <v>6840</v>
      </c>
      <c r="O414" t="s">
        <v>1746</v>
      </c>
      <c r="P414" t="s">
        <v>5978</v>
      </c>
      <c r="Q414" t="s">
        <v>5963</v>
      </c>
      <c r="R414" t="s">
        <v>5979</v>
      </c>
    </row>
    <row r="415" spans="1:18" x14ac:dyDescent="0.25">
      <c r="A415" t="s">
        <v>6841</v>
      </c>
      <c r="B415" t="s">
        <v>5981</v>
      </c>
      <c r="C415" t="s">
        <v>5988</v>
      </c>
      <c r="D415" t="s">
        <v>479</v>
      </c>
      <c r="E415">
        <v>6</v>
      </c>
      <c r="F415" t="s">
        <v>2376</v>
      </c>
      <c r="H415" t="s">
        <v>2724</v>
      </c>
      <c r="J415" t="s">
        <v>5057</v>
      </c>
      <c r="K415">
        <v>320.60000000000002</v>
      </c>
      <c r="L415">
        <v>2459.79</v>
      </c>
      <c r="M415" t="s">
        <v>1522</v>
      </c>
      <c r="N415" t="s">
        <v>6842</v>
      </c>
      <c r="O415" t="s">
        <v>5984</v>
      </c>
      <c r="P415" t="s">
        <v>5977</v>
      </c>
      <c r="Q415" t="s">
        <v>5963</v>
      </c>
      <c r="R415" t="s">
        <v>6002</v>
      </c>
    </row>
    <row r="416" spans="1:18" x14ac:dyDescent="0.25">
      <c r="A416" t="s">
        <v>6843</v>
      </c>
      <c r="B416" t="s">
        <v>5960</v>
      </c>
      <c r="C416" t="s">
        <v>5975</v>
      </c>
      <c r="D416" t="s">
        <v>1026</v>
      </c>
      <c r="E416">
        <v>18</v>
      </c>
      <c r="F416" t="s">
        <v>2440</v>
      </c>
      <c r="G416" t="s">
        <v>2440</v>
      </c>
      <c r="H416" t="s">
        <v>3016</v>
      </c>
      <c r="I416" t="s">
        <v>6218</v>
      </c>
      <c r="J416" t="s">
        <v>5350</v>
      </c>
      <c r="K416">
        <v>217.45</v>
      </c>
      <c r="L416">
        <v>7978.43</v>
      </c>
      <c r="M416" t="s">
        <v>3756</v>
      </c>
      <c r="N416" t="s">
        <v>6844</v>
      </c>
      <c r="O416" t="s">
        <v>5977</v>
      </c>
      <c r="P416" t="s">
        <v>1746</v>
      </c>
      <c r="Q416" t="s">
        <v>5963</v>
      </c>
      <c r="R416" t="s">
        <v>6002</v>
      </c>
    </row>
    <row r="417" spans="1:18" x14ac:dyDescent="0.25">
      <c r="A417" t="s">
        <v>6845</v>
      </c>
      <c r="B417" t="s">
        <v>5974</v>
      </c>
      <c r="C417" t="s">
        <v>5971</v>
      </c>
      <c r="D417" t="s">
        <v>284</v>
      </c>
      <c r="E417">
        <v>37</v>
      </c>
      <c r="F417" t="s">
        <v>2440</v>
      </c>
      <c r="H417" t="s">
        <v>2982</v>
      </c>
      <c r="K417">
        <v>369.81</v>
      </c>
      <c r="L417">
        <v>16404.86</v>
      </c>
      <c r="M417" t="s">
        <v>3482</v>
      </c>
      <c r="N417" t="s">
        <v>6846</v>
      </c>
      <c r="O417" t="s">
        <v>5978</v>
      </c>
      <c r="P417" t="s">
        <v>1897</v>
      </c>
      <c r="Q417" t="s">
        <v>3434</v>
      </c>
    </row>
    <row r="418" spans="1:18" x14ac:dyDescent="0.25">
      <c r="A418" t="s">
        <v>6847</v>
      </c>
      <c r="B418" t="s">
        <v>5981</v>
      </c>
      <c r="C418" t="s">
        <v>5975</v>
      </c>
      <c r="D418" t="s">
        <v>228</v>
      </c>
      <c r="E418">
        <v>56</v>
      </c>
      <c r="F418" t="s">
        <v>2407</v>
      </c>
      <c r="H418" t="s">
        <v>3034</v>
      </c>
      <c r="J418" t="s">
        <v>4125</v>
      </c>
      <c r="K418">
        <v>198.45</v>
      </c>
      <c r="L418">
        <v>17570.310000000001</v>
      </c>
      <c r="M418" t="s">
        <v>3808</v>
      </c>
      <c r="N418" t="s">
        <v>6848</v>
      </c>
      <c r="O418" t="s">
        <v>1746</v>
      </c>
      <c r="P418" t="s">
        <v>1764</v>
      </c>
      <c r="Q418" t="s">
        <v>3434</v>
      </c>
      <c r="R418" t="s">
        <v>5979</v>
      </c>
    </row>
    <row r="419" spans="1:18" x14ac:dyDescent="0.25">
      <c r="A419" t="s">
        <v>6849</v>
      </c>
      <c r="B419" t="s">
        <v>3442</v>
      </c>
      <c r="C419" t="s">
        <v>5981</v>
      </c>
      <c r="D419" t="s">
        <v>910</v>
      </c>
      <c r="E419">
        <v>94</v>
      </c>
      <c r="F419" t="s">
        <v>2416</v>
      </c>
      <c r="G419" t="s">
        <v>2388</v>
      </c>
      <c r="H419" t="s">
        <v>3038</v>
      </c>
      <c r="I419" t="s">
        <v>2779</v>
      </c>
      <c r="J419" t="s">
        <v>5320</v>
      </c>
      <c r="K419">
        <v>138.80000000000001</v>
      </c>
      <c r="L419">
        <v>7354.48</v>
      </c>
      <c r="M419" t="s">
        <v>2604</v>
      </c>
      <c r="N419" t="s">
        <v>6850</v>
      </c>
      <c r="O419" t="s">
        <v>5977</v>
      </c>
      <c r="P419" t="s">
        <v>1648</v>
      </c>
      <c r="Q419" t="s">
        <v>5963</v>
      </c>
    </row>
    <row r="420" spans="1:18" x14ac:dyDescent="0.25">
      <c r="A420" t="s">
        <v>6851</v>
      </c>
      <c r="B420" t="s">
        <v>5974</v>
      </c>
      <c r="C420" t="s">
        <v>5988</v>
      </c>
      <c r="D420" t="s">
        <v>930</v>
      </c>
      <c r="E420">
        <v>7</v>
      </c>
      <c r="F420" t="s">
        <v>2416</v>
      </c>
      <c r="H420" t="s">
        <v>3060</v>
      </c>
      <c r="J420" t="s">
        <v>4796</v>
      </c>
      <c r="K420">
        <v>210.04</v>
      </c>
      <c r="L420">
        <v>3384.79</v>
      </c>
      <c r="M420" t="s">
        <v>2641</v>
      </c>
      <c r="N420" t="s">
        <v>6852</v>
      </c>
      <c r="O420" t="s">
        <v>1746</v>
      </c>
      <c r="P420" t="s">
        <v>5977</v>
      </c>
      <c r="Q420" t="s">
        <v>3434</v>
      </c>
      <c r="R420" t="s">
        <v>6002</v>
      </c>
    </row>
    <row r="421" spans="1:18" x14ac:dyDescent="0.25">
      <c r="A421" t="s">
        <v>6853</v>
      </c>
      <c r="B421" t="s">
        <v>5981</v>
      </c>
      <c r="C421" t="s">
        <v>5982</v>
      </c>
      <c r="D421" t="s">
        <v>373</v>
      </c>
      <c r="E421">
        <v>27</v>
      </c>
      <c r="F421" t="s">
        <v>2432</v>
      </c>
      <c r="H421" t="s">
        <v>3162</v>
      </c>
      <c r="J421" t="s">
        <v>5487</v>
      </c>
      <c r="K421">
        <v>391.38</v>
      </c>
      <c r="L421">
        <v>5013.49</v>
      </c>
      <c r="M421" t="s">
        <v>3368</v>
      </c>
      <c r="N421" t="s">
        <v>6854</v>
      </c>
      <c r="O421" t="s">
        <v>2447</v>
      </c>
      <c r="P421" t="s">
        <v>1897</v>
      </c>
      <c r="Q421" t="s">
        <v>5963</v>
      </c>
    </row>
    <row r="422" spans="1:18" x14ac:dyDescent="0.25">
      <c r="A422" t="s">
        <v>6855</v>
      </c>
      <c r="B422" t="s">
        <v>5970</v>
      </c>
      <c r="C422" t="s">
        <v>5988</v>
      </c>
      <c r="D422" t="s">
        <v>186</v>
      </c>
      <c r="E422">
        <v>61</v>
      </c>
      <c r="F422" t="s">
        <v>2425</v>
      </c>
      <c r="H422" t="s">
        <v>2591</v>
      </c>
      <c r="K422">
        <v>331.59</v>
      </c>
      <c r="L422">
        <v>18945.89</v>
      </c>
      <c r="M422" t="s">
        <v>1989</v>
      </c>
      <c r="N422" t="s">
        <v>6856</v>
      </c>
      <c r="O422" t="s">
        <v>1897</v>
      </c>
      <c r="P422" t="s">
        <v>1897</v>
      </c>
      <c r="Q422" t="s">
        <v>5963</v>
      </c>
      <c r="R422" t="s">
        <v>6002</v>
      </c>
    </row>
    <row r="423" spans="1:18" x14ac:dyDescent="0.25">
      <c r="A423" t="s">
        <v>6857</v>
      </c>
      <c r="B423" t="s">
        <v>5981</v>
      </c>
      <c r="C423" t="s">
        <v>5981</v>
      </c>
      <c r="D423" t="s">
        <v>415</v>
      </c>
      <c r="E423">
        <v>9</v>
      </c>
      <c r="F423" t="s">
        <v>2376</v>
      </c>
      <c r="H423" t="s">
        <v>3288</v>
      </c>
      <c r="J423" t="s">
        <v>4315</v>
      </c>
      <c r="K423">
        <v>405.52</v>
      </c>
      <c r="L423">
        <v>2685.07</v>
      </c>
      <c r="M423" t="s">
        <v>3942</v>
      </c>
      <c r="N423" t="s">
        <v>6858</v>
      </c>
      <c r="O423" t="s">
        <v>5977</v>
      </c>
      <c r="P423" t="s">
        <v>5984</v>
      </c>
      <c r="Q423" t="s">
        <v>5963</v>
      </c>
    </row>
    <row r="424" spans="1:18" x14ac:dyDescent="0.25">
      <c r="A424" t="s">
        <v>6859</v>
      </c>
      <c r="B424" t="s">
        <v>6026</v>
      </c>
      <c r="C424" t="s">
        <v>5961</v>
      </c>
      <c r="D424" t="s">
        <v>306</v>
      </c>
      <c r="E424">
        <v>52</v>
      </c>
      <c r="F424" t="s">
        <v>2376</v>
      </c>
      <c r="H424" t="s">
        <v>3046</v>
      </c>
      <c r="J424" t="s">
        <v>2548</v>
      </c>
      <c r="K424">
        <v>159.35</v>
      </c>
      <c r="L424">
        <v>16345.99</v>
      </c>
      <c r="M424" t="s">
        <v>2848</v>
      </c>
      <c r="N424" t="s">
        <v>6860</v>
      </c>
      <c r="O424" t="s">
        <v>1648</v>
      </c>
      <c r="P424" t="s">
        <v>1764</v>
      </c>
      <c r="Q424" t="s">
        <v>5968</v>
      </c>
    </row>
    <row r="425" spans="1:18" x14ac:dyDescent="0.25">
      <c r="A425" t="s">
        <v>6861</v>
      </c>
      <c r="B425" t="s">
        <v>5981</v>
      </c>
      <c r="C425" t="s">
        <v>5971</v>
      </c>
      <c r="D425" t="s">
        <v>159</v>
      </c>
      <c r="E425">
        <v>72</v>
      </c>
      <c r="F425" t="s">
        <v>2449</v>
      </c>
      <c r="H425" t="s">
        <v>2794</v>
      </c>
      <c r="J425" t="s">
        <v>2491</v>
      </c>
      <c r="K425">
        <v>397.82</v>
      </c>
      <c r="L425">
        <v>17605.77</v>
      </c>
      <c r="M425" t="s">
        <v>5358</v>
      </c>
      <c r="N425" t="s">
        <v>6862</v>
      </c>
      <c r="O425" t="s">
        <v>5978</v>
      </c>
      <c r="P425" t="s">
        <v>1746</v>
      </c>
      <c r="Q425" t="s">
        <v>5963</v>
      </c>
      <c r="R425" t="s">
        <v>6002</v>
      </c>
    </row>
    <row r="426" spans="1:18" x14ac:dyDescent="0.25">
      <c r="A426" t="s">
        <v>6863</v>
      </c>
      <c r="B426" t="s">
        <v>5970</v>
      </c>
      <c r="C426" t="s">
        <v>5966</v>
      </c>
      <c r="D426" t="s">
        <v>490</v>
      </c>
      <c r="E426">
        <v>66</v>
      </c>
      <c r="F426" t="s">
        <v>2398</v>
      </c>
      <c r="H426" t="s">
        <v>2617</v>
      </c>
      <c r="J426" t="s">
        <v>2527</v>
      </c>
      <c r="K426">
        <v>181.45</v>
      </c>
      <c r="L426">
        <v>11559.39</v>
      </c>
      <c r="M426" t="s">
        <v>3796</v>
      </c>
      <c r="N426" t="s">
        <v>6864</v>
      </c>
      <c r="O426" t="s">
        <v>5978</v>
      </c>
      <c r="P426" t="s">
        <v>5978</v>
      </c>
      <c r="Q426" t="s">
        <v>5963</v>
      </c>
    </row>
    <row r="427" spans="1:18" x14ac:dyDescent="0.25">
      <c r="A427" t="s">
        <v>6865</v>
      </c>
      <c r="B427" t="s">
        <v>5974</v>
      </c>
      <c r="C427" t="s">
        <v>5975</v>
      </c>
      <c r="D427" t="s">
        <v>940</v>
      </c>
      <c r="E427">
        <v>72</v>
      </c>
      <c r="F427" t="s">
        <v>2440</v>
      </c>
      <c r="H427" t="s">
        <v>3094</v>
      </c>
      <c r="J427" t="s">
        <v>5231</v>
      </c>
      <c r="K427">
        <v>283.23</v>
      </c>
      <c r="L427">
        <v>25732.42</v>
      </c>
      <c r="M427" t="s">
        <v>2763</v>
      </c>
      <c r="N427" t="s">
        <v>6866</v>
      </c>
      <c r="O427" t="s">
        <v>5978</v>
      </c>
      <c r="P427" t="s">
        <v>5978</v>
      </c>
      <c r="Q427" t="s">
        <v>5968</v>
      </c>
      <c r="R427" t="s">
        <v>6002</v>
      </c>
    </row>
    <row r="428" spans="1:18" x14ac:dyDescent="0.25">
      <c r="A428" t="s">
        <v>6867</v>
      </c>
      <c r="B428" t="s">
        <v>5970</v>
      </c>
      <c r="C428" t="s">
        <v>5982</v>
      </c>
      <c r="D428" t="s">
        <v>505</v>
      </c>
      <c r="E428">
        <v>50</v>
      </c>
      <c r="F428" t="s">
        <v>2388</v>
      </c>
      <c r="H428" t="s">
        <v>6538</v>
      </c>
      <c r="J428" t="s">
        <v>5591</v>
      </c>
      <c r="K428">
        <v>162.19</v>
      </c>
      <c r="L428">
        <v>20733.41</v>
      </c>
      <c r="M428" t="s">
        <v>4016</v>
      </c>
      <c r="N428" t="s">
        <v>6868</v>
      </c>
      <c r="O428" t="s">
        <v>1897</v>
      </c>
      <c r="P428" t="s">
        <v>5978</v>
      </c>
      <c r="Q428" t="s">
        <v>5963</v>
      </c>
    </row>
    <row r="429" spans="1:18" x14ac:dyDescent="0.25">
      <c r="A429" t="s">
        <v>6869</v>
      </c>
      <c r="B429" t="s">
        <v>5965</v>
      </c>
      <c r="C429" t="s">
        <v>5981</v>
      </c>
      <c r="D429" t="s">
        <v>463</v>
      </c>
      <c r="E429">
        <v>2</v>
      </c>
      <c r="F429" t="s">
        <v>2456</v>
      </c>
      <c r="H429" t="s">
        <v>2784</v>
      </c>
      <c r="J429" t="s">
        <v>2515</v>
      </c>
      <c r="K429">
        <v>225.71</v>
      </c>
      <c r="L429">
        <v>700.9</v>
      </c>
      <c r="M429" t="s">
        <v>2945</v>
      </c>
      <c r="N429" t="s">
        <v>6870</v>
      </c>
      <c r="O429" t="s">
        <v>5977</v>
      </c>
      <c r="P429" t="s">
        <v>1746</v>
      </c>
      <c r="Q429" t="s">
        <v>5963</v>
      </c>
      <c r="R429" t="s">
        <v>6002</v>
      </c>
    </row>
    <row r="430" spans="1:18" x14ac:dyDescent="0.25">
      <c r="A430" t="s">
        <v>6871</v>
      </c>
      <c r="B430" t="s">
        <v>5960</v>
      </c>
      <c r="C430" t="s">
        <v>5975</v>
      </c>
      <c r="D430" t="s">
        <v>284</v>
      </c>
      <c r="E430">
        <v>32</v>
      </c>
      <c r="F430" t="s">
        <v>2416</v>
      </c>
      <c r="G430" t="s">
        <v>2432</v>
      </c>
      <c r="H430" t="s">
        <v>2779</v>
      </c>
      <c r="I430" t="s">
        <v>3101</v>
      </c>
      <c r="J430" t="s">
        <v>3712</v>
      </c>
      <c r="K430">
        <v>268.69</v>
      </c>
      <c r="L430">
        <v>9635.16</v>
      </c>
      <c r="M430" t="s">
        <v>3732</v>
      </c>
      <c r="N430" t="s">
        <v>6872</v>
      </c>
      <c r="O430" t="s">
        <v>5977</v>
      </c>
      <c r="P430" t="s">
        <v>1648</v>
      </c>
      <c r="Q430" t="s">
        <v>5968</v>
      </c>
      <c r="R430" t="s">
        <v>5979</v>
      </c>
    </row>
    <row r="431" spans="1:18" x14ac:dyDescent="0.25">
      <c r="A431" t="s">
        <v>6873</v>
      </c>
      <c r="B431" t="s">
        <v>5974</v>
      </c>
      <c r="C431" t="s">
        <v>5988</v>
      </c>
      <c r="D431" t="s">
        <v>495</v>
      </c>
      <c r="E431">
        <v>91</v>
      </c>
      <c r="F431" t="s">
        <v>2440</v>
      </c>
      <c r="H431" t="s">
        <v>3401</v>
      </c>
      <c r="J431" t="s">
        <v>2522</v>
      </c>
      <c r="K431">
        <v>358.92</v>
      </c>
      <c r="L431">
        <v>41952.24</v>
      </c>
      <c r="M431" t="s">
        <v>3632</v>
      </c>
      <c r="N431" t="s">
        <v>6874</v>
      </c>
      <c r="O431" t="s">
        <v>1764</v>
      </c>
      <c r="P431" t="s">
        <v>1897</v>
      </c>
      <c r="Q431" t="s">
        <v>5963</v>
      </c>
      <c r="R431" t="s">
        <v>5979</v>
      </c>
    </row>
    <row r="432" spans="1:18" x14ac:dyDescent="0.25">
      <c r="A432" t="s">
        <v>6875</v>
      </c>
      <c r="B432" t="s">
        <v>5965</v>
      </c>
      <c r="C432" t="s">
        <v>5961</v>
      </c>
      <c r="D432" t="s">
        <v>601</v>
      </c>
      <c r="E432">
        <v>72</v>
      </c>
      <c r="F432" t="s">
        <v>2376</v>
      </c>
      <c r="H432" t="s">
        <v>3060</v>
      </c>
      <c r="J432" t="s">
        <v>2495</v>
      </c>
      <c r="K432">
        <v>336.74</v>
      </c>
      <c r="L432">
        <v>19118.87</v>
      </c>
      <c r="M432" t="s">
        <v>3446</v>
      </c>
      <c r="N432" t="s">
        <v>6876</v>
      </c>
      <c r="O432" t="s">
        <v>5978</v>
      </c>
      <c r="P432" t="s">
        <v>5978</v>
      </c>
      <c r="Q432" t="s">
        <v>5963</v>
      </c>
      <c r="R432" t="s">
        <v>5979</v>
      </c>
    </row>
    <row r="433" spans="1:18" x14ac:dyDescent="0.25">
      <c r="A433" t="s">
        <v>6877</v>
      </c>
      <c r="B433" t="s">
        <v>5970</v>
      </c>
      <c r="C433" t="s">
        <v>5988</v>
      </c>
      <c r="D433" t="s">
        <v>311</v>
      </c>
      <c r="E433">
        <v>60</v>
      </c>
      <c r="F433" t="s">
        <v>2432</v>
      </c>
      <c r="H433" t="s">
        <v>6074</v>
      </c>
      <c r="J433" t="s">
        <v>5045</v>
      </c>
      <c r="K433">
        <v>409.84</v>
      </c>
      <c r="L433">
        <v>7794.43</v>
      </c>
      <c r="M433" t="s">
        <v>3649</v>
      </c>
      <c r="N433" t="s">
        <v>6878</v>
      </c>
      <c r="O433" t="s">
        <v>5977</v>
      </c>
      <c r="P433" t="s">
        <v>1897</v>
      </c>
      <c r="Q433" t="s">
        <v>3434</v>
      </c>
    </row>
    <row r="434" spans="1:18" x14ac:dyDescent="0.25">
      <c r="A434" t="s">
        <v>6879</v>
      </c>
      <c r="B434" t="s">
        <v>5974</v>
      </c>
      <c r="C434" t="s">
        <v>5975</v>
      </c>
      <c r="D434" t="s">
        <v>1031</v>
      </c>
      <c r="E434">
        <v>13</v>
      </c>
      <c r="F434" t="s">
        <v>2376</v>
      </c>
      <c r="H434" t="s">
        <v>5998</v>
      </c>
      <c r="K434">
        <v>307.24</v>
      </c>
      <c r="L434">
        <v>3736.94</v>
      </c>
      <c r="M434" t="s">
        <v>2683</v>
      </c>
      <c r="N434" t="s">
        <v>6880</v>
      </c>
      <c r="O434" t="s">
        <v>5984</v>
      </c>
      <c r="P434" t="s">
        <v>1897</v>
      </c>
      <c r="Q434" t="s">
        <v>5963</v>
      </c>
      <c r="R434" t="s">
        <v>4235</v>
      </c>
    </row>
    <row r="435" spans="1:18" x14ac:dyDescent="0.25">
      <c r="A435" t="s">
        <v>6881</v>
      </c>
      <c r="B435" t="s">
        <v>6026</v>
      </c>
      <c r="C435" t="s">
        <v>5993</v>
      </c>
      <c r="D435" t="s">
        <v>405</v>
      </c>
      <c r="E435">
        <v>29</v>
      </c>
      <c r="F435" t="s">
        <v>2425</v>
      </c>
      <c r="H435" t="s">
        <v>2784</v>
      </c>
      <c r="J435" t="s">
        <v>3548</v>
      </c>
      <c r="K435">
        <v>460.6</v>
      </c>
      <c r="L435">
        <v>12320.07</v>
      </c>
      <c r="M435" t="s">
        <v>4107</v>
      </c>
      <c r="N435" t="s">
        <v>6882</v>
      </c>
      <c r="O435" t="s">
        <v>1764</v>
      </c>
      <c r="P435" t="s">
        <v>1897</v>
      </c>
      <c r="Q435" t="s">
        <v>3434</v>
      </c>
      <c r="R435" t="s">
        <v>4235</v>
      </c>
    </row>
    <row r="436" spans="1:18" x14ac:dyDescent="0.25">
      <c r="A436" t="s">
        <v>6883</v>
      </c>
      <c r="B436" t="s">
        <v>5970</v>
      </c>
      <c r="C436" t="s">
        <v>5961</v>
      </c>
      <c r="D436" t="s">
        <v>337</v>
      </c>
      <c r="E436">
        <v>63</v>
      </c>
      <c r="F436" t="s">
        <v>2416</v>
      </c>
      <c r="H436" t="s">
        <v>2830</v>
      </c>
      <c r="K436">
        <v>231</v>
      </c>
      <c r="L436">
        <v>29234.63</v>
      </c>
      <c r="M436" t="s">
        <v>3495</v>
      </c>
      <c r="N436" t="s">
        <v>6884</v>
      </c>
      <c r="O436" t="s">
        <v>5977</v>
      </c>
      <c r="P436" t="s">
        <v>1764</v>
      </c>
      <c r="Q436" t="s">
        <v>5963</v>
      </c>
    </row>
    <row r="437" spans="1:18" x14ac:dyDescent="0.25">
      <c r="A437" t="s">
        <v>6885</v>
      </c>
      <c r="B437" t="s">
        <v>3442</v>
      </c>
      <c r="C437" t="s">
        <v>5966</v>
      </c>
      <c r="D437" t="s">
        <v>290</v>
      </c>
      <c r="E437">
        <v>17</v>
      </c>
      <c r="F437" t="s">
        <v>2449</v>
      </c>
      <c r="G437" t="s">
        <v>2416</v>
      </c>
      <c r="H437" t="s">
        <v>2935</v>
      </c>
      <c r="I437" t="s">
        <v>3179</v>
      </c>
      <c r="K437">
        <v>200.19</v>
      </c>
      <c r="L437">
        <v>1865.2</v>
      </c>
      <c r="M437" t="s">
        <v>4683</v>
      </c>
      <c r="N437" t="s">
        <v>6886</v>
      </c>
      <c r="O437" t="s">
        <v>5984</v>
      </c>
      <c r="P437" t="s">
        <v>1897</v>
      </c>
      <c r="Q437" t="s">
        <v>5963</v>
      </c>
    </row>
    <row r="438" spans="1:18" x14ac:dyDescent="0.25">
      <c r="A438" t="s">
        <v>6887</v>
      </c>
      <c r="B438" t="s">
        <v>5960</v>
      </c>
      <c r="C438" t="s">
        <v>5993</v>
      </c>
      <c r="D438" t="s">
        <v>479</v>
      </c>
      <c r="E438">
        <v>28</v>
      </c>
      <c r="F438" t="s">
        <v>2407</v>
      </c>
      <c r="G438" t="s">
        <v>2376</v>
      </c>
      <c r="H438" t="s">
        <v>3084</v>
      </c>
      <c r="I438" t="s">
        <v>6215</v>
      </c>
      <c r="J438" t="s">
        <v>5869</v>
      </c>
      <c r="K438">
        <v>105.58</v>
      </c>
      <c r="L438">
        <v>1905.87</v>
      </c>
      <c r="M438" t="s">
        <v>4107</v>
      </c>
      <c r="N438" t="s">
        <v>6888</v>
      </c>
      <c r="O438" t="s">
        <v>1746</v>
      </c>
      <c r="P438" t="s">
        <v>1746</v>
      </c>
      <c r="Q438" t="s">
        <v>5963</v>
      </c>
      <c r="R438" t="s">
        <v>5979</v>
      </c>
    </row>
    <row r="439" spans="1:18" x14ac:dyDescent="0.25">
      <c r="A439" t="s">
        <v>6889</v>
      </c>
      <c r="B439" t="s">
        <v>5965</v>
      </c>
      <c r="C439" t="s">
        <v>5988</v>
      </c>
      <c r="D439" t="s">
        <v>865</v>
      </c>
      <c r="E439">
        <v>59</v>
      </c>
      <c r="F439" t="s">
        <v>2407</v>
      </c>
      <c r="H439" t="s">
        <v>2680</v>
      </c>
      <c r="J439" t="s">
        <v>3783</v>
      </c>
      <c r="K439">
        <v>69.680000000000007</v>
      </c>
      <c r="L439">
        <v>9476.76</v>
      </c>
      <c r="M439" t="s">
        <v>3533</v>
      </c>
      <c r="N439" t="s">
        <v>6890</v>
      </c>
      <c r="O439" t="s">
        <v>5978</v>
      </c>
      <c r="P439" t="s">
        <v>1648</v>
      </c>
      <c r="Q439" t="s">
        <v>5963</v>
      </c>
    </row>
    <row r="440" spans="1:18" x14ac:dyDescent="0.25">
      <c r="A440" t="s">
        <v>6891</v>
      </c>
      <c r="B440" t="s">
        <v>5974</v>
      </c>
      <c r="C440" t="s">
        <v>5981</v>
      </c>
      <c r="D440" t="s">
        <v>651</v>
      </c>
      <c r="E440">
        <v>53</v>
      </c>
      <c r="F440" t="s">
        <v>2376</v>
      </c>
      <c r="H440" t="s">
        <v>2639</v>
      </c>
      <c r="J440" t="s">
        <v>2486</v>
      </c>
      <c r="K440">
        <v>485.61</v>
      </c>
      <c r="L440">
        <v>10753.1</v>
      </c>
      <c r="M440" t="s">
        <v>2787</v>
      </c>
      <c r="N440" t="s">
        <v>6892</v>
      </c>
      <c r="O440" t="s">
        <v>1746</v>
      </c>
      <c r="P440" t="s">
        <v>5978</v>
      </c>
      <c r="Q440" t="s">
        <v>3434</v>
      </c>
    </row>
    <row r="441" spans="1:18" x14ac:dyDescent="0.25">
      <c r="A441" t="s">
        <v>6893</v>
      </c>
      <c r="B441" t="s">
        <v>3442</v>
      </c>
      <c r="C441" t="s">
        <v>5982</v>
      </c>
      <c r="D441" t="s">
        <v>540</v>
      </c>
      <c r="E441">
        <v>20</v>
      </c>
      <c r="F441" t="s">
        <v>2398</v>
      </c>
      <c r="G441" t="s">
        <v>2376</v>
      </c>
      <c r="H441" t="s">
        <v>3071</v>
      </c>
      <c r="I441" t="s">
        <v>3378</v>
      </c>
      <c r="J441" t="s">
        <v>5258</v>
      </c>
      <c r="K441">
        <v>100.73</v>
      </c>
      <c r="L441">
        <v>1069.33</v>
      </c>
      <c r="M441" t="s">
        <v>3965</v>
      </c>
      <c r="N441" t="s">
        <v>6894</v>
      </c>
      <c r="O441" t="s">
        <v>1897</v>
      </c>
      <c r="P441" t="s">
        <v>1764</v>
      </c>
      <c r="Q441" t="s">
        <v>5963</v>
      </c>
      <c r="R441" t="s">
        <v>5979</v>
      </c>
    </row>
    <row r="442" spans="1:18" x14ac:dyDescent="0.25">
      <c r="A442" t="s">
        <v>6895</v>
      </c>
      <c r="B442" t="s">
        <v>5965</v>
      </c>
      <c r="C442" t="s">
        <v>5966</v>
      </c>
      <c r="D442" t="s">
        <v>24</v>
      </c>
      <c r="E442">
        <v>41</v>
      </c>
      <c r="F442" t="s">
        <v>2388</v>
      </c>
      <c r="H442" t="s">
        <v>3336</v>
      </c>
      <c r="J442" t="s">
        <v>2486</v>
      </c>
      <c r="K442">
        <v>254.14</v>
      </c>
      <c r="L442">
        <v>14746.48</v>
      </c>
      <c r="M442" t="s">
        <v>3348</v>
      </c>
      <c r="N442" t="s">
        <v>6896</v>
      </c>
      <c r="O442" t="s">
        <v>1648</v>
      </c>
      <c r="P442" t="s">
        <v>5984</v>
      </c>
      <c r="Q442" t="s">
        <v>5963</v>
      </c>
      <c r="R442" t="s">
        <v>6002</v>
      </c>
    </row>
    <row r="443" spans="1:18" x14ac:dyDescent="0.25">
      <c r="A443" t="s">
        <v>6897</v>
      </c>
      <c r="B443" t="s">
        <v>5960</v>
      </c>
      <c r="C443" t="s">
        <v>5971</v>
      </c>
      <c r="D443" t="s">
        <v>395</v>
      </c>
      <c r="E443">
        <v>98</v>
      </c>
      <c r="F443" t="s">
        <v>2376</v>
      </c>
      <c r="G443" t="s">
        <v>2425</v>
      </c>
      <c r="H443" t="s">
        <v>2620</v>
      </c>
      <c r="I443" t="s">
        <v>3179</v>
      </c>
      <c r="J443" t="s">
        <v>2486</v>
      </c>
      <c r="K443">
        <v>198.88</v>
      </c>
      <c r="L443">
        <v>40960.550000000003</v>
      </c>
      <c r="M443" t="s">
        <v>3746</v>
      </c>
      <c r="N443" t="s">
        <v>6898</v>
      </c>
      <c r="O443" t="s">
        <v>1648</v>
      </c>
      <c r="P443" t="s">
        <v>1746</v>
      </c>
      <c r="Q443" t="s">
        <v>5963</v>
      </c>
      <c r="R443" t="s">
        <v>4235</v>
      </c>
    </row>
    <row r="444" spans="1:18" x14ac:dyDescent="0.25">
      <c r="A444" t="s">
        <v>6899</v>
      </c>
      <c r="B444" t="s">
        <v>5965</v>
      </c>
      <c r="C444" t="s">
        <v>6011</v>
      </c>
      <c r="D444" t="s">
        <v>395</v>
      </c>
      <c r="E444">
        <v>5</v>
      </c>
      <c r="F444" t="s">
        <v>2398</v>
      </c>
      <c r="H444" t="s">
        <v>6291</v>
      </c>
      <c r="J444" t="s">
        <v>5885</v>
      </c>
      <c r="K444">
        <v>332.64</v>
      </c>
      <c r="L444">
        <v>1789.24</v>
      </c>
      <c r="M444" t="s">
        <v>3545</v>
      </c>
      <c r="N444" t="s">
        <v>6900</v>
      </c>
      <c r="O444" t="s">
        <v>2447</v>
      </c>
      <c r="P444" t="s">
        <v>1746</v>
      </c>
      <c r="Q444" t="s">
        <v>5963</v>
      </c>
    </row>
    <row r="445" spans="1:18" x14ac:dyDescent="0.25">
      <c r="A445" t="s">
        <v>6901</v>
      </c>
      <c r="B445" t="s">
        <v>6026</v>
      </c>
      <c r="C445" t="s">
        <v>5988</v>
      </c>
      <c r="D445" t="s">
        <v>1106</v>
      </c>
      <c r="E445">
        <v>84</v>
      </c>
      <c r="F445" t="s">
        <v>2416</v>
      </c>
      <c r="H445" t="s">
        <v>2966</v>
      </c>
      <c r="J445" t="s">
        <v>3561</v>
      </c>
      <c r="K445">
        <v>135.66</v>
      </c>
      <c r="L445">
        <v>18993.060000000001</v>
      </c>
      <c r="M445" t="s">
        <v>2891</v>
      </c>
      <c r="N445" t="s">
        <v>6902</v>
      </c>
      <c r="O445" t="s">
        <v>1648</v>
      </c>
      <c r="P445" t="s">
        <v>1897</v>
      </c>
      <c r="Q445" t="s">
        <v>5963</v>
      </c>
    </row>
    <row r="446" spans="1:18" x14ac:dyDescent="0.25">
      <c r="A446" t="s">
        <v>6903</v>
      </c>
      <c r="B446" t="s">
        <v>6026</v>
      </c>
      <c r="C446" t="s">
        <v>5988</v>
      </c>
      <c r="D446" t="s">
        <v>510</v>
      </c>
      <c r="E446">
        <v>62</v>
      </c>
      <c r="F446" t="s">
        <v>2416</v>
      </c>
      <c r="H446" t="s">
        <v>3130</v>
      </c>
      <c r="J446" t="s">
        <v>4359</v>
      </c>
      <c r="K446">
        <v>103.78</v>
      </c>
      <c r="L446">
        <v>24612.82</v>
      </c>
      <c r="M446" t="s">
        <v>3497</v>
      </c>
      <c r="N446" t="s">
        <v>6904</v>
      </c>
      <c r="O446" t="s">
        <v>1764</v>
      </c>
      <c r="P446" t="s">
        <v>2447</v>
      </c>
      <c r="Q446" t="s">
        <v>5963</v>
      </c>
    </row>
    <row r="447" spans="1:18" x14ac:dyDescent="0.25">
      <c r="A447" t="s">
        <v>6905</v>
      </c>
      <c r="B447" t="s">
        <v>5960</v>
      </c>
      <c r="C447" t="s">
        <v>6011</v>
      </c>
      <c r="D447" t="s">
        <v>703</v>
      </c>
      <c r="E447">
        <v>2</v>
      </c>
      <c r="F447" t="s">
        <v>2440</v>
      </c>
      <c r="G447" t="s">
        <v>2376</v>
      </c>
      <c r="H447" t="s">
        <v>6399</v>
      </c>
      <c r="I447" t="s">
        <v>2586</v>
      </c>
      <c r="J447" t="s">
        <v>3648</v>
      </c>
      <c r="K447">
        <v>438.17</v>
      </c>
      <c r="L447">
        <v>928.38</v>
      </c>
      <c r="M447" t="s">
        <v>4164</v>
      </c>
      <c r="N447" t="s">
        <v>6906</v>
      </c>
      <c r="O447" t="s">
        <v>1764</v>
      </c>
      <c r="P447" t="s">
        <v>5977</v>
      </c>
      <c r="Q447" t="s">
        <v>3434</v>
      </c>
      <c r="R447" t="s">
        <v>4235</v>
      </c>
    </row>
    <row r="448" spans="1:18" x14ac:dyDescent="0.25">
      <c r="A448" t="s">
        <v>6907</v>
      </c>
      <c r="B448" t="s">
        <v>5960</v>
      </c>
      <c r="C448" t="s">
        <v>5993</v>
      </c>
      <c r="D448" t="s">
        <v>804</v>
      </c>
      <c r="E448">
        <v>48</v>
      </c>
      <c r="F448" t="s">
        <v>2388</v>
      </c>
      <c r="G448" t="s">
        <v>2440</v>
      </c>
      <c r="H448" t="s">
        <v>6094</v>
      </c>
      <c r="I448" t="s">
        <v>2635</v>
      </c>
      <c r="K448">
        <v>272.11</v>
      </c>
      <c r="L448">
        <v>18373.13</v>
      </c>
      <c r="M448" t="s">
        <v>2953</v>
      </c>
      <c r="N448" t="s">
        <v>6908</v>
      </c>
      <c r="O448" t="s">
        <v>1648</v>
      </c>
      <c r="P448" t="s">
        <v>2447</v>
      </c>
      <c r="Q448" t="s">
        <v>5963</v>
      </c>
    </row>
    <row r="449" spans="1:18" x14ac:dyDescent="0.25">
      <c r="A449" t="s">
        <v>6909</v>
      </c>
      <c r="B449" t="s">
        <v>5981</v>
      </c>
      <c r="C449" t="s">
        <v>5966</v>
      </c>
      <c r="D449" t="s">
        <v>550</v>
      </c>
      <c r="E449">
        <v>93</v>
      </c>
      <c r="F449" t="s">
        <v>2432</v>
      </c>
      <c r="H449" t="s">
        <v>3046</v>
      </c>
      <c r="J449" t="s">
        <v>2486</v>
      </c>
      <c r="K449">
        <v>314.99</v>
      </c>
      <c r="L449">
        <v>46291.82</v>
      </c>
      <c r="M449" t="s">
        <v>3157</v>
      </c>
      <c r="N449" t="s">
        <v>6910</v>
      </c>
      <c r="O449" t="s">
        <v>1764</v>
      </c>
      <c r="P449" t="s">
        <v>2447</v>
      </c>
      <c r="Q449" t="s">
        <v>5968</v>
      </c>
      <c r="R449" t="s">
        <v>6002</v>
      </c>
    </row>
    <row r="450" spans="1:18" x14ac:dyDescent="0.25">
      <c r="A450" t="s">
        <v>6911</v>
      </c>
      <c r="B450" t="s">
        <v>5981</v>
      </c>
      <c r="C450" t="s">
        <v>5961</v>
      </c>
      <c r="D450" t="s">
        <v>432</v>
      </c>
      <c r="E450">
        <v>93</v>
      </c>
      <c r="F450" t="s">
        <v>2432</v>
      </c>
      <c r="H450" t="s">
        <v>3016</v>
      </c>
      <c r="J450" t="s">
        <v>4582</v>
      </c>
      <c r="K450">
        <v>306.92</v>
      </c>
      <c r="L450">
        <v>43628.91</v>
      </c>
      <c r="M450" t="s">
        <v>2749</v>
      </c>
      <c r="N450" t="s">
        <v>6912</v>
      </c>
      <c r="O450" t="s">
        <v>1764</v>
      </c>
      <c r="P450" t="s">
        <v>1897</v>
      </c>
      <c r="Q450" t="s">
        <v>5963</v>
      </c>
    </row>
    <row r="451" spans="1:18" x14ac:dyDescent="0.25">
      <c r="A451" t="s">
        <v>6913</v>
      </c>
      <c r="B451" t="s">
        <v>5965</v>
      </c>
      <c r="C451" t="s">
        <v>5961</v>
      </c>
      <c r="D451" t="s">
        <v>438</v>
      </c>
      <c r="E451">
        <v>51</v>
      </c>
      <c r="F451" t="s">
        <v>2440</v>
      </c>
      <c r="H451" t="s">
        <v>3034</v>
      </c>
      <c r="J451" t="s">
        <v>3623</v>
      </c>
      <c r="K451">
        <v>252.58</v>
      </c>
      <c r="L451">
        <v>15883.19</v>
      </c>
      <c r="M451" t="s">
        <v>3357</v>
      </c>
      <c r="N451" t="s">
        <v>6914</v>
      </c>
      <c r="O451" t="s">
        <v>1746</v>
      </c>
      <c r="P451" t="s">
        <v>1897</v>
      </c>
      <c r="Q451" t="s">
        <v>5963</v>
      </c>
    </row>
    <row r="452" spans="1:18" x14ac:dyDescent="0.25">
      <c r="A452" t="s">
        <v>6915</v>
      </c>
      <c r="B452" t="s">
        <v>5965</v>
      </c>
      <c r="C452" t="s">
        <v>5966</v>
      </c>
      <c r="D452" t="s">
        <v>667</v>
      </c>
      <c r="E452">
        <v>66</v>
      </c>
      <c r="F452" t="s">
        <v>2376</v>
      </c>
      <c r="H452" t="s">
        <v>2752</v>
      </c>
      <c r="K452">
        <v>315.31</v>
      </c>
      <c r="L452">
        <v>28376.21</v>
      </c>
      <c r="M452" t="s">
        <v>4198</v>
      </c>
      <c r="N452" t="s">
        <v>6916</v>
      </c>
      <c r="O452" t="s">
        <v>5977</v>
      </c>
      <c r="P452" t="s">
        <v>1764</v>
      </c>
      <c r="Q452" t="s">
        <v>5963</v>
      </c>
    </row>
    <row r="453" spans="1:18" x14ac:dyDescent="0.25">
      <c r="A453" t="s">
        <v>6917</v>
      </c>
      <c r="B453" t="s">
        <v>5960</v>
      </c>
      <c r="C453" t="s">
        <v>5981</v>
      </c>
      <c r="D453" t="s">
        <v>353</v>
      </c>
      <c r="E453">
        <v>18</v>
      </c>
      <c r="F453" t="s">
        <v>2398</v>
      </c>
      <c r="G453" t="s">
        <v>2449</v>
      </c>
      <c r="H453" t="s">
        <v>3105</v>
      </c>
      <c r="I453" t="s">
        <v>6218</v>
      </c>
      <c r="K453">
        <v>174.89</v>
      </c>
      <c r="L453">
        <v>5668.22</v>
      </c>
      <c r="M453" t="s">
        <v>5845</v>
      </c>
      <c r="N453" t="s">
        <v>6918</v>
      </c>
      <c r="O453" t="s">
        <v>1746</v>
      </c>
      <c r="P453" t="s">
        <v>5977</v>
      </c>
      <c r="Q453" t="s">
        <v>5963</v>
      </c>
      <c r="R453" t="s">
        <v>6002</v>
      </c>
    </row>
    <row r="454" spans="1:18" x14ac:dyDescent="0.25">
      <c r="A454" t="s">
        <v>6919</v>
      </c>
      <c r="B454" t="s">
        <v>3442</v>
      </c>
      <c r="C454" t="s">
        <v>5981</v>
      </c>
      <c r="D454" t="s">
        <v>657</v>
      </c>
      <c r="E454">
        <v>83</v>
      </c>
      <c r="F454" t="s">
        <v>2416</v>
      </c>
      <c r="G454" t="s">
        <v>2432</v>
      </c>
      <c r="H454" t="s">
        <v>2876</v>
      </c>
      <c r="I454" t="s">
        <v>3176</v>
      </c>
      <c r="J454" t="s">
        <v>4962</v>
      </c>
      <c r="K454">
        <v>225.65</v>
      </c>
      <c r="L454">
        <v>33961.160000000003</v>
      </c>
      <c r="M454" t="s">
        <v>3755</v>
      </c>
      <c r="N454" t="s">
        <v>6920</v>
      </c>
      <c r="O454" t="s">
        <v>1746</v>
      </c>
      <c r="P454" t="s">
        <v>1746</v>
      </c>
      <c r="Q454" t="s">
        <v>5963</v>
      </c>
    </row>
    <row r="455" spans="1:18" x14ac:dyDescent="0.25">
      <c r="A455" t="s">
        <v>6921</v>
      </c>
      <c r="B455" t="s">
        <v>5960</v>
      </c>
      <c r="C455" t="s">
        <v>5981</v>
      </c>
      <c r="D455" t="s">
        <v>248</v>
      </c>
      <c r="E455">
        <v>27</v>
      </c>
      <c r="F455" t="s">
        <v>2407</v>
      </c>
      <c r="G455" t="s">
        <v>2456</v>
      </c>
      <c r="H455" t="s">
        <v>2846</v>
      </c>
      <c r="I455" t="s">
        <v>6442</v>
      </c>
      <c r="J455" t="s">
        <v>4348</v>
      </c>
      <c r="K455">
        <v>97.63</v>
      </c>
      <c r="L455">
        <v>7023.75</v>
      </c>
      <c r="M455" t="s">
        <v>2683</v>
      </c>
      <c r="N455" t="s">
        <v>6922</v>
      </c>
      <c r="O455" t="s">
        <v>1897</v>
      </c>
      <c r="P455" t="s">
        <v>1764</v>
      </c>
      <c r="Q455" t="s">
        <v>5963</v>
      </c>
    </row>
    <row r="456" spans="1:18" x14ac:dyDescent="0.25">
      <c r="A456" t="s">
        <v>6923</v>
      </c>
      <c r="B456" t="s">
        <v>5965</v>
      </c>
      <c r="C456" t="s">
        <v>5966</v>
      </c>
      <c r="D456" t="s">
        <v>248</v>
      </c>
      <c r="E456">
        <v>71</v>
      </c>
      <c r="F456" t="s">
        <v>2440</v>
      </c>
      <c r="H456" t="s">
        <v>3388</v>
      </c>
      <c r="J456" t="s">
        <v>2519</v>
      </c>
      <c r="K456">
        <v>253.01</v>
      </c>
      <c r="L456">
        <v>11178.32</v>
      </c>
      <c r="M456" t="s">
        <v>2277</v>
      </c>
      <c r="N456" t="s">
        <v>6924</v>
      </c>
      <c r="O456" t="s">
        <v>5984</v>
      </c>
      <c r="P456" t="s">
        <v>5978</v>
      </c>
      <c r="Q456" t="s">
        <v>5963</v>
      </c>
      <c r="R456" t="s">
        <v>6002</v>
      </c>
    </row>
    <row r="457" spans="1:18" x14ac:dyDescent="0.25">
      <c r="A457" t="s">
        <v>6925</v>
      </c>
      <c r="B457" t="s">
        <v>5970</v>
      </c>
      <c r="C457" t="s">
        <v>5982</v>
      </c>
      <c r="D457" t="s">
        <v>586</v>
      </c>
      <c r="E457">
        <v>50</v>
      </c>
      <c r="F457" t="s">
        <v>2388</v>
      </c>
      <c r="H457" t="s">
        <v>6442</v>
      </c>
      <c r="K457">
        <v>325.24</v>
      </c>
      <c r="L457">
        <v>3885.6</v>
      </c>
      <c r="M457" t="s">
        <v>3574</v>
      </c>
      <c r="N457" t="s">
        <v>6926</v>
      </c>
      <c r="O457" t="s">
        <v>1897</v>
      </c>
      <c r="P457" t="s">
        <v>5977</v>
      </c>
      <c r="Q457" t="s">
        <v>5963</v>
      </c>
      <c r="R457" t="s">
        <v>5979</v>
      </c>
    </row>
    <row r="458" spans="1:18" x14ac:dyDescent="0.25">
      <c r="A458" t="s">
        <v>6927</v>
      </c>
      <c r="B458" t="s">
        <v>5960</v>
      </c>
      <c r="C458" t="s">
        <v>5966</v>
      </c>
      <c r="D458" t="s">
        <v>739</v>
      </c>
      <c r="E458">
        <v>15</v>
      </c>
      <c r="F458" t="s">
        <v>2456</v>
      </c>
      <c r="G458" t="s">
        <v>2432</v>
      </c>
      <c r="H458" t="s">
        <v>2630</v>
      </c>
      <c r="I458" t="s">
        <v>3281</v>
      </c>
      <c r="K458">
        <v>160.38999999999999</v>
      </c>
      <c r="L458">
        <v>4497.01</v>
      </c>
      <c r="M458" t="s">
        <v>3440</v>
      </c>
      <c r="N458" t="s">
        <v>6928</v>
      </c>
      <c r="O458" t="s">
        <v>5984</v>
      </c>
      <c r="P458" t="s">
        <v>1897</v>
      </c>
      <c r="Q458" t="s">
        <v>5968</v>
      </c>
    </row>
    <row r="459" spans="1:18" x14ac:dyDescent="0.25">
      <c r="A459" t="s">
        <v>6929</v>
      </c>
      <c r="B459" t="s">
        <v>5965</v>
      </c>
      <c r="C459" t="s">
        <v>5988</v>
      </c>
      <c r="D459" t="s">
        <v>1056</v>
      </c>
      <c r="E459">
        <v>93</v>
      </c>
      <c r="F459" t="s">
        <v>2407</v>
      </c>
      <c r="H459" t="s">
        <v>5998</v>
      </c>
      <c r="J459" t="s">
        <v>3835</v>
      </c>
      <c r="K459">
        <v>73.97</v>
      </c>
      <c r="L459">
        <v>29685.63</v>
      </c>
      <c r="M459" t="s">
        <v>3164</v>
      </c>
      <c r="N459" t="s">
        <v>6930</v>
      </c>
      <c r="O459" t="s">
        <v>1764</v>
      </c>
      <c r="P459" t="s">
        <v>5978</v>
      </c>
      <c r="Q459" t="s">
        <v>3434</v>
      </c>
      <c r="R459" t="s">
        <v>6002</v>
      </c>
    </row>
    <row r="460" spans="1:18" x14ac:dyDescent="0.25">
      <c r="A460" t="s">
        <v>6931</v>
      </c>
      <c r="B460" t="s">
        <v>6026</v>
      </c>
      <c r="C460" t="s">
        <v>5975</v>
      </c>
      <c r="D460" t="s">
        <v>240</v>
      </c>
      <c r="E460">
        <v>24</v>
      </c>
      <c r="F460" t="s">
        <v>2432</v>
      </c>
      <c r="H460" t="s">
        <v>2719</v>
      </c>
      <c r="J460" t="s">
        <v>2491</v>
      </c>
      <c r="K460">
        <v>153.84</v>
      </c>
      <c r="L460">
        <v>11714.39</v>
      </c>
      <c r="M460" t="s">
        <v>3686</v>
      </c>
      <c r="N460" t="s">
        <v>6932</v>
      </c>
      <c r="O460" t="s">
        <v>1648</v>
      </c>
      <c r="P460" t="s">
        <v>5977</v>
      </c>
      <c r="Q460" t="s">
        <v>3434</v>
      </c>
      <c r="R460" t="s">
        <v>4235</v>
      </c>
    </row>
    <row r="461" spans="1:18" x14ac:dyDescent="0.25">
      <c r="A461" t="s">
        <v>6933</v>
      </c>
      <c r="B461" t="s">
        <v>5974</v>
      </c>
      <c r="C461" t="s">
        <v>5961</v>
      </c>
      <c r="D461" t="s">
        <v>764</v>
      </c>
      <c r="E461">
        <v>56</v>
      </c>
      <c r="F461" t="s">
        <v>2407</v>
      </c>
      <c r="H461" t="s">
        <v>3049</v>
      </c>
      <c r="K461">
        <v>192.32</v>
      </c>
      <c r="L461">
        <v>27128.99</v>
      </c>
      <c r="M461" t="s">
        <v>3128</v>
      </c>
      <c r="N461" t="s">
        <v>6934</v>
      </c>
      <c r="O461" t="s">
        <v>1764</v>
      </c>
      <c r="P461" t="s">
        <v>5977</v>
      </c>
      <c r="Q461" t="s">
        <v>3434</v>
      </c>
    </row>
    <row r="462" spans="1:18" x14ac:dyDescent="0.25">
      <c r="A462" t="s">
        <v>6935</v>
      </c>
      <c r="B462" t="s">
        <v>5970</v>
      </c>
      <c r="C462" t="s">
        <v>6011</v>
      </c>
      <c r="D462" t="s">
        <v>174</v>
      </c>
      <c r="E462">
        <v>17</v>
      </c>
      <c r="F462" t="s">
        <v>2407</v>
      </c>
      <c r="H462" t="s">
        <v>6162</v>
      </c>
      <c r="K462">
        <v>80.92</v>
      </c>
      <c r="L462">
        <v>3377.75</v>
      </c>
      <c r="M462" t="s">
        <v>4327</v>
      </c>
      <c r="N462" t="s">
        <v>6936</v>
      </c>
      <c r="O462" t="s">
        <v>1746</v>
      </c>
      <c r="P462" t="s">
        <v>1764</v>
      </c>
      <c r="Q462" t="s">
        <v>5963</v>
      </c>
    </row>
    <row r="463" spans="1:18" x14ac:dyDescent="0.25">
      <c r="A463" t="s">
        <v>6937</v>
      </c>
      <c r="B463" t="s">
        <v>5965</v>
      </c>
      <c r="C463" t="s">
        <v>5971</v>
      </c>
      <c r="D463" t="s">
        <v>453</v>
      </c>
      <c r="E463">
        <v>66</v>
      </c>
      <c r="F463" t="s">
        <v>2432</v>
      </c>
      <c r="H463" t="s">
        <v>2935</v>
      </c>
      <c r="J463" t="s">
        <v>4113</v>
      </c>
      <c r="K463">
        <v>446.93</v>
      </c>
      <c r="L463">
        <v>10920.49</v>
      </c>
      <c r="M463" t="s">
        <v>3952</v>
      </c>
      <c r="N463" t="s">
        <v>6938</v>
      </c>
      <c r="O463" t="s">
        <v>1897</v>
      </c>
      <c r="P463" t="s">
        <v>1897</v>
      </c>
      <c r="Q463" t="s">
        <v>3434</v>
      </c>
    </row>
    <row r="464" spans="1:18" x14ac:dyDescent="0.25">
      <c r="A464" t="s">
        <v>6939</v>
      </c>
      <c r="B464" t="s">
        <v>5960</v>
      </c>
      <c r="C464" t="s">
        <v>5988</v>
      </c>
      <c r="D464" t="s">
        <v>779</v>
      </c>
      <c r="E464">
        <v>69</v>
      </c>
      <c r="F464" t="s">
        <v>2376</v>
      </c>
      <c r="G464" t="s">
        <v>2432</v>
      </c>
      <c r="H464" t="s">
        <v>3211</v>
      </c>
      <c r="I464" t="s">
        <v>6538</v>
      </c>
      <c r="K464">
        <v>57.04</v>
      </c>
      <c r="L464">
        <v>7980.41</v>
      </c>
      <c r="M464" t="s">
        <v>3773</v>
      </c>
      <c r="N464" t="s">
        <v>6940</v>
      </c>
      <c r="O464" t="s">
        <v>1764</v>
      </c>
      <c r="P464" t="s">
        <v>5978</v>
      </c>
      <c r="Q464" t="s">
        <v>5968</v>
      </c>
    </row>
    <row r="465" spans="1:18" x14ac:dyDescent="0.25">
      <c r="A465" t="s">
        <v>6941</v>
      </c>
      <c r="B465" t="s">
        <v>3442</v>
      </c>
      <c r="C465" t="s">
        <v>5966</v>
      </c>
      <c r="D465" t="s">
        <v>463</v>
      </c>
      <c r="E465">
        <v>75</v>
      </c>
      <c r="F465" t="s">
        <v>2376</v>
      </c>
      <c r="G465" t="s">
        <v>2388</v>
      </c>
      <c r="H465" t="s">
        <v>2748</v>
      </c>
      <c r="I465" t="s">
        <v>6094</v>
      </c>
      <c r="J465" t="s">
        <v>4095</v>
      </c>
      <c r="K465">
        <v>481.72</v>
      </c>
      <c r="L465">
        <v>29489.8</v>
      </c>
      <c r="M465" t="s">
        <v>1756</v>
      </c>
      <c r="N465" t="s">
        <v>6942</v>
      </c>
      <c r="O465" t="s">
        <v>5984</v>
      </c>
      <c r="P465" t="s">
        <v>1764</v>
      </c>
      <c r="Q465" t="s">
        <v>5963</v>
      </c>
    </row>
    <row r="466" spans="1:18" x14ac:dyDescent="0.25">
      <c r="A466" t="s">
        <v>6943</v>
      </c>
      <c r="B466" t="s">
        <v>5965</v>
      </c>
      <c r="C466" t="s">
        <v>5966</v>
      </c>
      <c r="D466" t="s">
        <v>500</v>
      </c>
      <c r="E466">
        <v>65</v>
      </c>
      <c r="F466" t="s">
        <v>2388</v>
      </c>
      <c r="H466" t="s">
        <v>2743</v>
      </c>
      <c r="J466" t="s">
        <v>4166</v>
      </c>
      <c r="K466">
        <v>184.81</v>
      </c>
      <c r="L466">
        <v>14055.87</v>
      </c>
      <c r="M466" t="s">
        <v>4097</v>
      </c>
      <c r="N466" t="s">
        <v>6944</v>
      </c>
      <c r="O466" t="s">
        <v>1897</v>
      </c>
      <c r="P466" t="s">
        <v>5978</v>
      </c>
      <c r="Q466" t="s">
        <v>5963</v>
      </c>
      <c r="R466" t="s">
        <v>5979</v>
      </c>
    </row>
    <row r="467" spans="1:18" x14ac:dyDescent="0.25">
      <c r="A467" t="s">
        <v>6945</v>
      </c>
      <c r="B467" t="s">
        <v>5970</v>
      </c>
      <c r="C467" t="s">
        <v>6011</v>
      </c>
      <c r="D467" t="s">
        <v>495</v>
      </c>
      <c r="E467">
        <v>43</v>
      </c>
      <c r="F467" t="s">
        <v>2432</v>
      </c>
      <c r="H467" t="s">
        <v>2798</v>
      </c>
      <c r="J467" t="s">
        <v>4521</v>
      </c>
      <c r="K467">
        <v>369.07</v>
      </c>
      <c r="L467">
        <v>17495.45</v>
      </c>
      <c r="M467" t="s">
        <v>2801</v>
      </c>
      <c r="N467" t="s">
        <v>6946</v>
      </c>
      <c r="O467" t="s">
        <v>1746</v>
      </c>
      <c r="P467" t="s">
        <v>1746</v>
      </c>
      <c r="Q467" t="s">
        <v>5963</v>
      </c>
      <c r="R467" t="s">
        <v>6002</v>
      </c>
    </row>
    <row r="468" spans="1:18" x14ac:dyDescent="0.25">
      <c r="A468" t="s">
        <v>6947</v>
      </c>
      <c r="B468" t="s">
        <v>3442</v>
      </c>
      <c r="C468" t="s">
        <v>5982</v>
      </c>
      <c r="D468" t="s">
        <v>38</v>
      </c>
      <c r="E468">
        <v>63</v>
      </c>
      <c r="F468" t="s">
        <v>2407</v>
      </c>
      <c r="G468" t="s">
        <v>2416</v>
      </c>
      <c r="H468" t="s">
        <v>3169</v>
      </c>
      <c r="I468" t="s">
        <v>2955</v>
      </c>
      <c r="J468" t="s">
        <v>5624</v>
      </c>
      <c r="K468">
        <v>262.52999999999997</v>
      </c>
      <c r="L468">
        <v>4555.8</v>
      </c>
      <c r="M468" t="s">
        <v>2716</v>
      </c>
      <c r="N468" t="s">
        <v>6948</v>
      </c>
      <c r="O468" t="s">
        <v>2447</v>
      </c>
      <c r="P468" t="s">
        <v>1648</v>
      </c>
      <c r="Q468" t="s">
        <v>5968</v>
      </c>
      <c r="R468" t="s">
        <v>6002</v>
      </c>
    </row>
    <row r="469" spans="1:18" x14ac:dyDescent="0.25">
      <c r="A469" t="s">
        <v>6949</v>
      </c>
      <c r="B469" t="s">
        <v>5960</v>
      </c>
      <c r="C469" t="s">
        <v>5988</v>
      </c>
      <c r="D469" t="s">
        <v>180</v>
      </c>
      <c r="E469">
        <v>7</v>
      </c>
      <c r="F469" t="s">
        <v>2388</v>
      </c>
      <c r="G469" t="s">
        <v>2432</v>
      </c>
      <c r="H469" t="s">
        <v>5998</v>
      </c>
      <c r="I469" t="s">
        <v>3336</v>
      </c>
      <c r="K469">
        <v>383.1</v>
      </c>
      <c r="L469">
        <v>351.43</v>
      </c>
      <c r="M469" t="s">
        <v>3316</v>
      </c>
      <c r="N469" t="s">
        <v>6950</v>
      </c>
      <c r="O469" t="s">
        <v>5977</v>
      </c>
      <c r="P469" t="s">
        <v>1764</v>
      </c>
      <c r="Q469" t="s">
        <v>5963</v>
      </c>
      <c r="R469" t="s">
        <v>5979</v>
      </c>
    </row>
    <row r="470" spans="1:18" x14ac:dyDescent="0.25">
      <c r="A470" t="s">
        <v>6951</v>
      </c>
      <c r="B470" t="s">
        <v>6026</v>
      </c>
      <c r="C470" t="s">
        <v>5988</v>
      </c>
      <c r="D470" t="s">
        <v>601</v>
      </c>
      <c r="E470">
        <v>66</v>
      </c>
      <c r="F470" t="s">
        <v>2432</v>
      </c>
      <c r="H470" t="s">
        <v>6238</v>
      </c>
      <c r="J470" t="s">
        <v>5849</v>
      </c>
      <c r="K470">
        <v>104.83</v>
      </c>
      <c r="L470">
        <v>9784.4599999999991</v>
      </c>
      <c r="M470" t="s">
        <v>2776</v>
      </c>
      <c r="N470" t="s">
        <v>6952</v>
      </c>
      <c r="O470" t="s">
        <v>5984</v>
      </c>
      <c r="P470" t="s">
        <v>2447</v>
      </c>
      <c r="Q470" t="s">
        <v>5963</v>
      </c>
      <c r="R470" t="s">
        <v>6002</v>
      </c>
    </row>
    <row r="471" spans="1:18" x14ac:dyDescent="0.25">
      <c r="A471" t="s">
        <v>6953</v>
      </c>
      <c r="B471" t="s">
        <v>3442</v>
      </c>
      <c r="C471" t="s">
        <v>5981</v>
      </c>
      <c r="D471" t="s">
        <v>875</v>
      </c>
      <c r="E471">
        <v>9</v>
      </c>
      <c r="F471" t="s">
        <v>2425</v>
      </c>
      <c r="G471" t="s">
        <v>2449</v>
      </c>
      <c r="H471" t="s">
        <v>6210</v>
      </c>
      <c r="I471" t="s">
        <v>2837</v>
      </c>
      <c r="J471" t="s">
        <v>4175</v>
      </c>
      <c r="K471">
        <v>304.62</v>
      </c>
      <c r="L471">
        <v>3300.75</v>
      </c>
      <c r="M471" t="s">
        <v>3039</v>
      </c>
      <c r="N471" t="s">
        <v>6954</v>
      </c>
      <c r="O471" t="s">
        <v>5978</v>
      </c>
      <c r="P471" t="s">
        <v>1746</v>
      </c>
      <c r="Q471" t="s">
        <v>5963</v>
      </c>
    </row>
    <row r="472" spans="1:18" x14ac:dyDescent="0.25">
      <c r="A472" t="s">
        <v>6955</v>
      </c>
      <c r="B472" t="s">
        <v>5960</v>
      </c>
      <c r="C472" t="s">
        <v>5966</v>
      </c>
      <c r="D472" t="s">
        <v>860</v>
      </c>
      <c r="E472">
        <v>15</v>
      </c>
      <c r="F472" t="s">
        <v>2416</v>
      </c>
      <c r="G472" t="s">
        <v>2398</v>
      </c>
      <c r="H472" t="s">
        <v>2620</v>
      </c>
      <c r="I472" t="s">
        <v>3173</v>
      </c>
      <c r="K472">
        <v>147.38</v>
      </c>
      <c r="L472">
        <v>4214.3</v>
      </c>
      <c r="M472" t="s">
        <v>3731</v>
      </c>
      <c r="N472" t="s">
        <v>6956</v>
      </c>
      <c r="O472" t="s">
        <v>1897</v>
      </c>
      <c r="P472" t="s">
        <v>1648</v>
      </c>
      <c r="Q472" t="s">
        <v>5968</v>
      </c>
    </row>
    <row r="473" spans="1:18" x14ac:dyDescent="0.25">
      <c r="A473" t="s">
        <v>6957</v>
      </c>
      <c r="B473" t="s">
        <v>3442</v>
      </c>
      <c r="C473" t="s">
        <v>5975</v>
      </c>
      <c r="D473" t="s">
        <v>316</v>
      </c>
      <c r="E473">
        <v>53</v>
      </c>
      <c r="F473" t="s">
        <v>2376</v>
      </c>
      <c r="G473" t="s">
        <v>2388</v>
      </c>
      <c r="H473" t="s">
        <v>2798</v>
      </c>
      <c r="I473" t="s">
        <v>6210</v>
      </c>
      <c r="K473">
        <v>328.68</v>
      </c>
      <c r="L473">
        <v>14720.22</v>
      </c>
      <c r="M473" t="s">
        <v>3078</v>
      </c>
      <c r="N473" t="s">
        <v>6958</v>
      </c>
      <c r="O473" t="s">
        <v>1897</v>
      </c>
      <c r="P473" t="s">
        <v>1897</v>
      </c>
      <c r="Q473" t="s">
        <v>3434</v>
      </c>
    </row>
    <row r="474" spans="1:18" x14ac:dyDescent="0.25">
      <c r="A474" t="s">
        <v>6959</v>
      </c>
      <c r="B474" t="s">
        <v>5965</v>
      </c>
      <c r="C474" t="s">
        <v>5993</v>
      </c>
      <c r="D474" t="s">
        <v>490</v>
      </c>
      <c r="E474">
        <v>70</v>
      </c>
      <c r="F474" t="s">
        <v>2398</v>
      </c>
      <c r="H474" t="s">
        <v>3067</v>
      </c>
      <c r="J474" t="s">
        <v>2512</v>
      </c>
      <c r="K474">
        <v>255.68</v>
      </c>
      <c r="L474">
        <v>24542.78</v>
      </c>
      <c r="M474" t="s">
        <v>1552</v>
      </c>
      <c r="N474" t="s">
        <v>6960</v>
      </c>
      <c r="O474" t="s">
        <v>1897</v>
      </c>
      <c r="P474" t="s">
        <v>5978</v>
      </c>
      <c r="Q474" t="s">
        <v>5963</v>
      </c>
      <c r="R474" t="s">
        <v>4235</v>
      </c>
    </row>
    <row r="475" spans="1:18" x14ac:dyDescent="0.25">
      <c r="A475" t="s">
        <v>6961</v>
      </c>
      <c r="B475" t="s">
        <v>5981</v>
      </c>
      <c r="C475" t="s">
        <v>5971</v>
      </c>
      <c r="D475" t="s">
        <v>850</v>
      </c>
      <c r="E475">
        <v>16</v>
      </c>
      <c r="F475" t="s">
        <v>2398</v>
      </c>
      <c r="H475" t="s">
        <v>2963</v>
      </c>
      <c r="K475">
        <v>135.81</v>
      </c>
      <c r="L475">
        <v>4525.1499999999996</v>
      </c>
      <c r="M475" t="s">
        <v>3018</v>
      </c>
      <c r="N475" t="s">
        <v>6962</v>
      </c>
      <c r="O475" t="s">
        <v>5984</v>
      </c>
      <c r="P475" t="s">
        <v>1897</v>
      </c>
      <c r="Q475" t="s">
        <v>5968</v>
      </c>
    </row>
    <row r="476" spans="1:18" x14ac:dyDescent="0.25">
      <c r="A476" t="s">
        <v>6963</v>
      </c>
      <c r="B476" t="s">
        <v>5970</v>
      </c>
      <c r="C476" t="s">
        <v>6011</v>
      </c>
      <c r="D476" t="s">
        <v>479</v>
      </c>
      <c r="E476">
        <v>24</v>
      </c>
      <c r="F476" t="s">
        <v>2376</v>
      </c>
      <c r="H476" t="s">
        <v>3038</v>
      </c>
      <c r="J476" t="s">
        <v>2515</v>
      </c>
      <c r="K476">
        <v>128.37</v>
      </c>
      <c r="L476">
        <v>5445.11</v>
      </c>
      <c r="M476" t="s">
        <v>3628</v>
      </c>
      <c r="N476" t="s">
        <v>6964</v>
      </c>
      <c r="O476" t="s">
        <v>1746</v>
      </c>
      <c r="P476" t="s">
        <v>2447</v>
      </c>
      <c r="Q476" t="s">
        <v>5963</v>
      </c>
    </row>
    <row r="477" spans="1:18" x14ac:dyDescent="0.25">
      <c r="A477" t="s">
        <v>6965</v>
      </c>
      <c r="B477" t="s">
        <v>5970</v>
      </c>
      <c r="C477" t="s">
        <v>5971</v>
      </c>
      <c r="D477" t="s">
        <v>1081</v>
      </c>
      <c r="E477">
        <v>33</v>
      </c>
      <c r="F477" t="s">
        <v>2449</v>
      </c>
      <c r="H477" t="s">
        <v>2978</v>
      </c>
      <c r="J477" t="s">
        <v>2538</v>
      </c>
      <c r="K477">
        <v>63.34</v>
      </c>
      <c r="L477">
        <v>13125.46</v>
      </c>
      <c r="M477" t="s">
        <v>4038</v>
      </c>
      <c r="N477" t="s">
        <v>6966</v>
      </c>
      <c r="O477" t="s">
        <v>1648</v>
      </c>
      <c r="P477" t="s">
        <v>1764</v>
      </c>
      <c r="Q477" t="s">
        <v>3434</v>
      </c>
      <c r="R477" t="s">
        <v>4235</v>
      </c>
    </row>
    <row r="478" spans="1:18" x14ac:dyDescent="0.25">
      <c r="A478" t="s">
        <v>6967</v>
      </c>
      <c r="B478" t="s">
        <v>5974</v>
      </c>
      <c r="C478" t="s">
        <v>5993</v>
      </c>
      <c r="D478" t="s">
        <v>713</v>
      </c>
      <c r="E478">
        <v>39</v>
      </c>
      <c r="F478" t="s">
        <v>2440</v>
      </c>
      <c r="H478" t="s">
        <v>2779</v>
      </c>
      <c r="J478" t="s">
        <v>4330</v>
      </c>
      <c r="K478">
        <v>130.32</v>
      </c>
      <c r="L478">
        <v>7076.57</v>
      </c>
      <c r="M478" t="s">
        <v>3371</v>
      </c>
      <c r="N478" t="s">
        <v>6968</v>
      </c>
      <c r="O478" t="s">
        <v>1648</v>
      </c>
      <c r="P478" t="s">
        <v>1648</v>
      </c>
      <c r="Q478" t="s">
        <v>5963</v>
      </c>
    </row>
    <row r="479" spans="1:18" x14ac:dyDescent="0.25">
      <c r="A479" t="s">
        <v>6969</v>
      </c>
      <c r="B479" t="s">
        <v>5960</v>
      </c>
      <c r="C479" t="s">
        <v>5982</v>
      </c>
      <c r="D479" t="s">
        <v>174</v>
      </c>
      <c r="E479">
        <v>3</v>
      </c>
      <c r="F479" t="s">
        <v>2398</v>
      </c>
      <c r="G479" t="s">
        <v>2416</v>
      </c>
      <c r="H479" t="s">
        <v>2779</v>
      </c>
      <c r="I479" t="s">
        <v>2970</v>
      </c>
      <c r="J479" t="s">
        <v>5210</v>
      </c>
      <c r="K479">
        <v>448.41</v>
      </c>
      <c r="L479">
        <v>739.77</v>
      </c>
      <c r="M479" t="s">
        <v>4745</v>
      </c>
      <c r="N479" t="s">
        <v>6970</v>
      </c>
      <c r="O479" t="s">
        <v>1648</v>
      </c>
      <c r="P479" t="s">
        <v>1746</v>
      </c>
      <c r="Q479" t="s">
        <v>3434</v>
      </c>
      <c r="R479" t="s">
        <v>5979</v>
      </c>
    </row>
    <row r="480" spans="1:18" x14ac:dyDescent="0.25">
      <c r="A480" t="s">
        <v>6971</v>
      </c>
      <c r="B480" t="s">
        <v>5960</v>
      </c>
      <c r="C480" t="s">
        <v>5971</v>
      </c>
      <c r="D480" t="s">
        <v>1041</v>
      </c>
      <c r="E480">
        <v>97</v>
      </c>
      <c r="F480" t="s">
        <v>2456</v>
      </c>
      <c r="G480" t="s">
        <v>2449</v>
      </c>
      <c r="H480" t="s">
        <v>6133</v>
      </c>
      <c r="I480" t="s">
        <v>6031</v>
      </c>
      <c r="J480" t="s">
        <v>4123</v>
      </c>
      <c r="K480">
        <v>407.77</v>
      </c>
      <c r="L480">
        <v>27167.78</v>
      </c>
      <c r="M480" t="s">
        <v>3867</v>
      </c>
      <c r="N480" t="s">
        <v>6972</v>
      </c>
      <c r="O480" t="s">
        <v>1648</v>
      </c>
      <c r="P480" t="s">
        <v>1746</v>
      </c>
      <c r="Q480" t="s">
        <v>3434</v>
      </c>
      <c r="R480" t="s">
        <v>6002</v>
      </c>
    </row>
    <row r="481" spans="1:18" x14ac:dyDescent="0.25">
      <c r="A481" t="s">
        <v>6973</v>
      </c>
      <c r="B481" t="s">
        <v>5981</v>
      </c>
      <c r="C481" t="s">
        <v>5982</v>
      </c>
      <c r="D481" t="s">
        <v>657</v>
      </c>
      <c r="E481">
        <v>67</v>
      </c>
      <c r="F481" t="s">
        <v>2376</v>
      </c>
      <c r="H481" t="s">
        <v>2617</v>
      </c>
      <c r="J481" t="s">
        <v>2525</v>
      </c>
      <c r="K481">
        <v>397.97</v>
      </c>
      <c r="L481">
        <v>10314.200000000001</v>
      </c>
      <c r="M481" t="s">
        <v>2604</v>
      </c>
      <c r="N481" t="s">
        <v>6974</v>
      </c>
      <c r="O481" t="s">
        <v>5984</v>
      </c>
      <c r="P481" t="s">
        <v>1648</v>
      </c>
      <c r="Q481" t="s">
        <v>5963</v>
      </c>
    </row>
    <row r="482" spans="1:18" x14ac:dyDescent="0.25">
      <c r="A482" t="s">
        <v>6975</v>
      </c>
      <c r="B482" t="s">
        <v>5981</v>
      </c>
      <c r="C482" t="s">
        <v>5975</v>
      </c>
      <c r="D482" t="s">
        <v>657</v>
      </c>
      <c r="E482">
        <v>88</v>
      </c>
      <c r="F482" t="s">
        <v>2388</v>
      </c>
      <c r="H482" t="s">
        <v>5998</v>
      </c>
      <c r="J482" t="s">
        <v>2561</v>
      </c>
      <c r="K482">
        <v>373.96</v>
      </c>
      <c r="L482">
        <v>18108.77</v>
      </c>
      <c r="M482" t="s">
        <v>5369</v>
      </c>
      <c r="N482" t="s">
        <v>6976</v>
      </c>
      <c r="O482" t="s">
        <v>2447</v>
      </c>
      <c r="P482" t="s">
        <v>1764</v>
      </c>
      <c r="Q482" t="s">
        <v>3434</v>
      </c>
    </row>
    <row r="483" spans="1:18" x14ac:dyDescent="0.25">
      <c r="A483" t="s">
        <v>6977</v>
      </c>
      <c r="B483" t="s">
        <v>6026</v>
      </c>
      <c r="C483" t="s">
        <v>6011</v>
      </c>
      <c r="D483" t="s">
        <v>1041</v>
      </c>
      <c r="E483">
        <v>72</v>
      </c>
      <c r="F483" t="s">
        <v>2456</v>
      </c>
      <c r="H483" t="s">
        <v>3179</v>
      </c>
      <c r="J483" t="s">
        <v>4086</v>
      </c>
      <c r="K483">
        <v>402.01</v>
      </c>
      <c r="L483">
        <v>18376.62</v>
      </c>
      <c r="M483" t="s">
        <v>3439</v>
      </c>
      <c r="N483" t="s">
        <v>6978</v>
      </c>
      <c r="O483" t="s">
        <v>1897</v>
      </c>
      <c r="P483" t="s">
        <v>1746</v>
      </c>
      <c r="Q483" t="s">
        <v>5963</v>
      </c>
    </row>
    <row r="484" spans="1:18" x14ac:dyDescent="0.25">
      <c r="A484" t="s">
        <v>6979</v>
      </c>
      <c r="B484" t="s">
        <v>5965</v>
      </c>
      <c r="C484" t="s">
        <v>5988</v>
      </c>
      <c r="D484" t="s">
        <v>51</v>
      </c>
      <c r="E484">
        <v>42</v>
      </c>
      <c r="F484" t="s">
        <v>2388</v>
      </c>
      <c r="H484" t="s">
        <v>2689</v>
      </c>
      <c r="J484" t="s">
        <v>5865</v>
      </c>
      <c r="K484">
        <v>386.71</v>
      </c>
      <c r="L484">
        <v>5178.5</v>
      </c>
      <c r="M484" t="s">
        <v>5369</v>
      </c>
      <c r="N484" t="s">
        <v>6980</v>
      </c>
      <c r="O484" t="s">
        <v>5984</v>
      </c>
      <c r="P484" t="s">
        <v>5977</v>
      </c>
      <c r="Q484" t="s">
        <v>5963</v>
      </c>
    </row>
    <row r="485" spans="1:18" x14ac:dyDescent="0.25">
      <c r="A485" t="s">
        <v>6981</v>
      </c>
      <c r="B485" t="s">
        <v>5981</v>
      </c>
      <c r="C485" t="s">
        <v>5966</v>
      </c>
      <c r="D485" t="s">
        <v>103</v>
      </c>
      <c r="E485">
        <v>96</v>
      </c>
      <c r="F485" t="s">
        <v>2425</v>
      </c>
      <c r="H485" t="s">
        <v>2861</v>
      </c>
      <c r="J485" t="s">
        <v>5169</v>
      </c>
      <c r="K485">
        <v>99.38</v>
      </c>
      <c r="L485">
        <v>37098.86</v>
      </c>
      <c r="M485" t="s">
        <v>3239</v>
      </c>
      <c r="N485" t="s">
        <v>6982</v>
      </c>
      <c r="O485" t="s">
        <v>1897</v>
      </c>
      <c r="P485" t="s">
        <v>1764</v>
      </c>
      <c r="Q485" t="s">
        <v>5963</v>
      </c>
    </row>
    <row r="486" spans="1:18" x14ac:dyDescent="0.25">
      <c r="A486" t="s">
        <v>6983</v>
      </c>
      <c r="B486" t="s">
        <v>6026</v>
      </c>
      <c r="C486" t="s">
        <v>5971</v>
      </c>
      <c r="D486" t="s">
        <v>975</v>
      </c>
      <c r="E486">
        <v>30</v>
      </c>
      <c r="F486" t="s">
        <v>2432</v>
      </c>
      <c r="H486" t="s">
        <v>2586</v>
      </c>
      <c r="K486">
        <v>163.31</v>
      </c>
      <c r="L486">
        <v>8131.69</v>
      </c>
      <c r="M486" t="s">
        <v>2110</v>
      </c>
      <c r="N486" t="s">
        <v>6984</v>
      </c>
      <c r="O486" t="s">
        <v>1746</v>
      </c>
      <c r="P486" t="s">
        <v>1746</v>
      </c>
      <c r="Q486" t="s">
        <v>5963</v>
      </c>
    </row>
    <row r="487" spans="1:18" x14ac:dyDescent="0.25">
      <c r="A487" t="s">
        <v>6985</v>
      </c>
      <c r="B487" t="s">
        <v>5970</v>
      </c>
      <c r="C487" t="s">
        <v>5993</v>
      </c>
      <c r="D487" t="s">
        <v>646</v>
      </c>
      <c r="E487">
        <v>90</v>
      </c>
      <c r="F487" t="s">
        <v>2440</v>
      </c>
      <c r="H487" t="s">
        <v>2739</v>
      </c>
      <c r="K487">
        <v>112.97</v>
      </c>
      <c r="L487">
        <v>7747.22</v>
      </c>
      <c r="M487" t="s">
        <v>3352</v>
      </c>
      <c r="N487" t="s">
        <v>6986</v>
      </c>
      <c r="O487" t="s">
        <v>1648</v>
      </c>
      <c r="P487" t="s">
        <v>5984</v>
      </c>
      <c r="Q487" t="s">
        <v>5963</v>
      </c>
      <c r="R487" t="s">
        <v>4235</v>
      </c>
    </row>
    <row r="488" spans="1:18" x14ac:dyDescent="0.25">
      <c r="A488" t="s">
        <v>6987</v>
      </c>
      <c r="B488" t="s">
        <v>5974</v>
      </c>
      <c r="C488" t="s">
        <v>5988</v>
      </c>
      <c r="D488" t="s">
        <v>1061</v>
      </c>
      <c r="E488">
        <v>88</v>
      </c>
      <c r="F488" t="s">
        <v>2398</v>
      </c>
      <c r="H488" t="s">
        <v>3373</v>
      </c>
      <c r="J488" t="s">
        <v>5229</v>
      </c>
      <c r="K488">
        <v>476.6</v>
      </c>
      <c r="L488">
        <v>21155.22</v>
      </c>
      <c r="M488" t="s">
        <v>3777</v>
      </c>
      <c r="N488" t="s">
        <v>6988</v>
      </c>
      <c r="O488" t="s">
        <v>1648</v>
      </c>
      <c r="P488" t="s">
        <v>5977</v>
      </c>
      <c r="Q488" t="s">
        <v>5963</v>
      </c>
    </row>
    <row r="489" spans="1:18" x14ac:dyDescent="0.25">
      <c r="A489" t="s">
        <v>6989</v>
      </c>
      <c r="B489" t="s">
        <v>5965</v>
      </c>
      <c r="C489" t="s">
        <v>5961</v>
      </c>
      <c r="D489" t="s">
        <v>363</v>
      </c>
      <c r="E489">
        <v>31</v>
      </c>
      <c r="F489" t="s">
        <v>2449</v>
      </c>
      <c r="H489" t="s">
        <v>6115</v>
      </c>
      <c r="J489" t="s">
        <v>4361</v>
      </c>
      <c r="K489">
        <v>401.66</v>
      </c>
      <c r="L489">
        <v>9661.44</v>
      </c>
      <c r="M489" t="s">
        <v>4686</v>
      </c>
      <c r="N489" t="s">
        <v>6990</v>
      </c>
      <c r="O489" t="s">
        <v>2447</v>
      </c>
      <c r="P489" t="s">
        <v>2447</v>
      </c>
      <c r="Q489" t="s">
        <v>5963</v>
      </c>
      <c r="R489" t="s">
        <v>6002</v>
      </c>
    </row>
    <row r="490" spans="1:18" x14ac:dyDescent="0.25">
      <c r="A490" t="s">
        <v>6991</v>
      </c>
      <c r="B490" t="s">
        <v>6026</v>
      </c>
      <c r="C490" t="s">
        <v>5981</v>
      </c>
      <c r="D490" t="s">
        <v>764</v>
      </c>
      <c r="E490">
        <v>3</v>
      </c>
      <c r="F490" t="s">
        <v>2416</v>
      </c>
      <c r="H490" t="s">
        <v>3121</v>
      </c>
      <c r="J490" t="s">
        <v>4138</v>
      </c>
      <c r="K490">
        <v>80.48</v>
      </c>
      <c r="L490">
        <v>356.64</v>
      </c>
      <c r="M490" t="s">
        <v>4059</v>
      </c>
      <c r="N490" t="s">
        <v>6992</v>
      </c>
      <c r="O490" t="s">
        <v>2447</v>
      </c>
      <c r="P490" t="s">
        <v>5977</v>
      </c>
      <c r="Q490" t="s">
        <v>3434</v>
      </c>
    </row>
    <row r="491" spans="1:18" x14ac:dyDescent="0.25">
      <c r="A491" t="s">
        <v>6993</v>
      </c>
      <c r="B491" t="s">
        <v>5970</v>
      </c>
      <c r="C491" t="s">
        <v>5966</v>
      </c>
      <c r="D491" t="s">
        <v>774</v>
      </c>
      <c r="E491">
        <v>34</v>
      </c>
      <c r="F491" t="s">
        <v>2432</v>
      </c>
      <c r="H491" t="s">
        <v>2591</v>
      </c>
      <c r="J491" t="s">
        <v>3948</v>
      </c>
      <c r="K491">
        <v>132.66999999999999</v>
      </c>
      <c r="L491">
        <v>2682.73</v>
      </c>
      <c r="M491" t="s">
        <v>2733</v>
      </c>
      <c r="N491" t="s">
        <v>6994</v>
      </c>
      <c r="O491" t="s">
        <v>1764</v>
      </c>
      <c r="P491" t="s">
        <v>2447</v>
      </c>
      <c r="Q491" t="s">
        <v>5963</v>
      </c>
      <c r="R491" t="s">
        <v>4235</v>
      </c>
    </row>
    <row r="492" spans="1:18" x14ac:dyDescent="0.25">
      <c r="A492" t="s">
        <v>6995</v>
      </c>
      <c r="B492" t="s">
        <v>5970</v>
      </c>
      <c r="C492" t="s">
        <v>6011</v>
      </c>
      <c r="D492" t="s">
        <v>77</v>
      </c>
      <c r="E492">
        <v>36</v>
      </c>
      <c r="F492" t="s">
        <v>2440</v>
      </c>
      <c r="H492" t="s">
        <v>2765</v>
      </c>
      <c r="J492" t="s">
        <v>4713</v>
      </c>
      <c r="K492">
        <v>108.37</v>
      </c>
      <c r="L492">
        <v>2502.88</v>
      </c>
      <c r="M492" t="s">
        <v>2600</v>
      </c>
      <c r="N492" t="s">
        <v>6996</v>
      </c>
      <c r="O492" t="s">
        <v>2447</v>
      </c>
      <c r="P492" t="s">
        <v>2447</v>
      </c>
      <c r="Q492" t="s">
        <v>5963</v>
      </c>
      <c r="R492" t="s">
        <v>5979</v>
      </c>
    </row>
    <row r="493" spans="1:18" x14ac:dyDescent="0.25">
      <c r="A493" t="s">
        <v>6997</v>
      </c>
      <c r="B493" t="s">
        <v>6026</v>
      </c>
      <c r="C493" t="s">
        <v>6011</v>
      </c>
      <c r="D493" t="s">
        <v>159</v>
      </c>
      <c r="E493">
        <v>2</v>
      </c>
      <c r="F493" t="s">
        <v>2388</v>
      </c>
      <c r="H493" t="s">
        <v>2898</v>
      </c>
      <c r="J493" t="s">
        <v>5003</v>
      </c>
      <c r="K493">
        <v>482.02</v>
      </c>
      <c r="L493">
        <v>509.69</v>
      </c>
      <c r="M493" t="s">
        <v>4898</v>
      </c>
      <c r="N493" t="s">
        <v>6998</v>
      </c>
      <c r="O493" t="s">
        <v>1764</v>
      </c>
      <c r="P493" t="s">
        <v>1746</v>
      </c>
      <c r="Q493" t="s">
        <v>5963</v>
      </c>
      <c r="R493" t="s">
        <v>4235</v>
      </c>
    </row>
    <row r="494" spans="1:18" x14ac:dyDescent="0.25">
      <c r="A494" t="s">
        <v>6999</v>
      </c>
      <c r="B494" t="s">
        <v>5970</v>
      </c>
      <c r="C494" t="s">
        <v>5982</v>
      </c>
      <c r="D494" t="s">
        <v>875</v>
      </c>
      <c r="E494">
        <v>46</v>
      </c>
      <c r="F494" t="s">
        <v>2398</v>
      </c>
      <c r="H494" t="s">
        <v>2714</v>
      </c>
      <c r="J494" t="s">
        <v>2486</v>
      </c>
      <c r="K494">
        <v>371.89</v>
      </c>
      <c r="L494">
        <v>21058.82</v>
      </c>
      <c r="M494" t="s">
        <v>3226</v>
      </c>
      <c r="N494" t="s">
        <v>7000</v>
      </c>
      <c r="O494" t="s">
        <v>1764</v>
      </c>
      <c r="P494" t="s">
        <v>1764</v>
      </c>
      <c r="Q494" t="s">
        <v>5963</v>
      </c>
    </row>
    <row r="495" spans="1:18" x14ac:dyDescent="0.25">
      <c r="A495" t="s">
        <v>7001</v>
      </c>
      <c r="B495" t="s">
        <v>5970</v>
      </c>
      <c r="C495" t="s">
        <v>5966</v>
      </c>
      <c r="D495" t="s">
        <v>754</v>
      </c>
      <c r="E495">
        <v>62</v>
      </c>
      <c r="F495" t="s">
        <v>2398</v>
      </c>
      <c r="H495" t="s">
        <v>6207</v>
      </c>
      <c r="J495" t="s">
        <v>4029</v>
      </c>
      <c r="K495">
        <v>326.63</v>
      </c>
      <c r="L495">
        <v>21045.919999999998</v>
      </c>
      <c r="M495" t="s">
        <v>3376</v>
      </c>
      <c r="N495" t="s">
        <v>7002</v>
      </c>
      <c r="O495" t="s">
        <v>1764</v>
      </c>
      <c r="P495" t="s">
        <v>1648</v>
      </c>
      <c r="Q495" t="s">
        <v>5963</v>
      </c>
    </row>
    <row r="496" spans="1:18" x14ac:dyDescent="0.25">
      <c r="A496" t="s">
        <v>7003</v>
      </c>
      <c r="B496" t="s">
        <v>3442</v>
      </c>
      <c r="C496" t="s">
        <v>5988</v>
      </c>
      <c r="D496" t="s">
        <v>240</v>
      </c>
      <c r="E496">
        <v>76</v>
      </c>
      <c r="F496" t="s">
        <v>2425</v>
      </c>
      <c r="G496" t="s">
        <v>2449</v>
      </c>
      <c r="H496" t="s">
        <v>3162</v>
      </c>
      <c r="I496" t="s">
        <v>6210</v>
      </c>
      <c r="K496">
        <v>292.35000000000002</v>
      </c>
      <c r="L496">
        <v>34539.93</v>
      </c>
      <c r="M496" t="s">
        <v>3171</v>
      </c>
      <c r="N496" t="s">
        <v>7004</v>
      </c>
      <c r="O496" t="s">
        <v>1897</v>
      </c>
      <c r="P496" t="s">
        <v>5978</v>
      </c>
      <c r="Q496" t="s">
        <v>5963</v>
      </c>
    </row>
    <row r="497" spans="1:18" x14ac:dyDescent="0.25">
      <c r="A497" t="s">
        <v>7005</v>
      </c>
      <c r="B497" t="s">
        <v>5981</v>
      </c>
      <c r="C497" t="s">
        <v>5982</v>
      </c>
      <c r="D497" t="s">
        <v>925</v>
      </c>
      <c r="E497">
        <v>14</v>
      </c>
      <c r="F497" t="s">
        <v>2425</v>
      </c>
      <c r="H497" t="s">
        <v>2586</v>
      </c>
      <c r="J497" t="s">
        <v>5505</v>
      </c>
      <c r="K497">
        <v>157.29</v>
      </c>
      <c r="L497">
        <v>3165.18</v>
      </c>
      <c r="M497" t="s">
        <v>2540</v>
      </c>
      <c r="N497" t="s">
        <v>7006</v>
      </c>
      <c r="O497" t="s">
        <v>5978</v>
      </c>
      <c r="P497" t="s">
        <v>5978</v>
      </c>
      <c r="Q497" t="s">
        <v>5968</v>
      </c>
    </row>
    <row r="498" spans="1:18" x14ac:dyDescent="0.25">
      <c r="A498" t="s">
        <v>7007</v>
      </c>
      <c r="B498" t="s">
        <v>5960</v>
      </c>
      <c r="C498" t="s">
        <v>5982</v>
      </c>
      <c r="D498" t="s">
        <v>405</v>
      </c>
      <c r="E498">
        <v>75</v>
      </c>
      <c r="F498" t="s">
        <v>2388</v>
      </c>
      <c r="G498" t="s">
        <v>2456</v>
      </c>
      <c r="H498" t="s">
        <v>2970</v>
      </c>
      <c r="I498" t="s">
        <v>3303</v>
      </c>
      <c r="J498" t="s">
        <v>2522</v>
      </c>
      <c r="K498">
        <v>453.38</v>
      </c>
      <c r="L498">
        <v>4034.62</v>
      </c>
      <c r="M498" t="s">
        <v>3701</v>
      </c>
      <c r="N498" t="s">
        <v>7008</v>
      </c>
      <c r="O498" t="s">
        <v>5977</v>
      </c>
      <c r="P498" t="s">
        <v>5984</v>
      </c>
      <c r="Q498" t="s">
        <v>5963</v>
      </c>
      <c r="R498" t="s">
        <v>5979</v>
      </c>
    </row>
    <row r="499" spans="1:18" x14ac:dyDescent="0.25">
      <c r="A499" t="s">
        <v>7009</v>
      </c>
      <c r="B499" t="s">
        <v>5965</v>
      </c>
      <c r="C499" t="s">
        <v>5961</v>
      </c>
      <c r="D499" t="s">
        <v>955</v>
      </c>
      <c r="E499">
        <v>36</v>
      </c>
      <c r="F499" t="s">
        <v>2425</v>
      </c>
      <c r="H499" t="s">
        <v>6222</v>
      </c>
      <c r="J499" t="s">
        <v>4168</v>
      </c>
      <c r="K499">
        <v>353.2</v>
      </c>
      <c r="L499">
        <v>6125.08</v>
      </c>
      <c r="M499" t="s">
        <v>3670</v>
      </c>
      <c r="N499" t="s">
        <v>7010</v>
      </c>
      <c r="O499" t="s">
        <v>1897</v>
      </c>
      <c r="P499" t="s">
        <v>1764</v>
      </c>
      <c r="Q499" t="s">
        <v>3434</v>
      </c>
      <c r="R499" t="s">
        <v>4235</v>
      </c>
    </row>
    <row r="500" spans="1:18" x14ac:dyDescent="0.25">
      <c r="A500" t="s">
        <v>7011</v>
      </c>
      <c r="B500" t="s">
        <v>5965</v>
      </c>
      <c r="C500" t="s">
        <v>5975</v>
      </c>
      <c r="D500" t="s">
        <v>784</v>
      </c>
      <c r="E500">
        <v>69</v>
      </c>
      <c r="F500" t="s">
        <v>2398</v>
      </c>
      <c r="H500" t="s">
        <v>2644</v>
      </c>
      <c r="J500" t="s">
        <v>4186</v>
      </c>
      <c r="K500">
        <v>355.61</v>
      </c>
      <c r="L500">
        <v>3734.07</v>
      </c>
      <c r="M500" t="s">
        <v>5822</v>
      </c>
      <c r="N500" t="s">
        <v>7012</v>
      </c>
      <c r="O500" t="s">
        <v>5978</v>
      </c>
      <c r="P500" t="s">
        <v>1764</v>
      </c>
      <c r="Q500" t="s">
        <v>5963</v>
      </c>
    </row>
    <row r="501" spans="1:18" x14ac:dyDescent="0.25">
      <c r="A501" t="s">
        <v>7013</v>
      </c>
      <c r="B501" t="s">
        <v>5960</v>
      </c>
      <c r="C501" t="s">
        <v>5966</v>
      </c>
      <c r="D501" t="s">
        <v>321</v>
      </c>
      <c r="E501">
        <v>38</v>
      </c>
      <c r="F501" t="s">
        <v>2440</v>
      </c>
      <c r="G501" t="s">
        <v>2425</v>
      </c>
      <c r="H501" t="s">
        <v>2591</v>
      </c>
      <c r="I501" t="s">
        <v>2999</v>
      </c>
      <c r="J501" t="s">
        <v>4290</v>
      </c>
      <c r="K501">
        <v>298.38</v>
      </c>
      <c r="L501">
        <v>8891.42</v>
      </c>
      <c r="M501" t="s">
        <v>5468</v>
      </c>
      <c r="N501" t="s">
        <v>7014</v>
      </c>
      <c r="O501" t="s">
        <v>5978</v>
      </c>
      <c r="P501" t="s">
        <v>5978</v>
      </c>
      <c r="Q501" t="s">
        <v>5963</v>
      </c>
      <c r="R501" t="s">
        <v>5979</v>
      </c>
    </row>
    <row r="502" spans="1:18" x14ac:dyDescent="0.25">
      <c r="A502" t="s">
        <v>7015</v>
      </c>
      <c r="B502" t="s">
        <v>5970</v>
      </c>
      <c r="C502" t="s">
        <v>5982</v>
      </c>
      <c r="D502" t="s">
        <v>1101</v>
      </c>
      <c r="E502">
        <v>38</v>
      </c>
      <c r="F502" t="s">
        <v>2376</v>
      </c>
      <c r="H502" t="s">
        <v>3179</v>
      </c>
      <c r="K502">
        <v>101.74</v>
      </c>
      <c r="L502">
        <v>2167.9899999999998</v>
      </c>
      <c r="M502" t="s">
        <v>2749</v>
      </c>
      <c r="N502" t="s">
        <v>7016</v>
      </c>
      <c r="O502" t="s">
        <v>1764</v>
      </c>
      <c r="P502" t="s">
        <v>2447</v>
      </c>
      <c r="Q502" t="s">
        <v>5963</v>
      </c>
    </row>
    <row r="503" spans="1:18" x14ac:dyDescent="0.25">
      <c r="A503" t="s">
        <v>7017</v>
      </c>
      <c r="B503" t="s">
        <v>5970</v>
      </c>
      <c r="C503" t="s">
        <v>5961</v>
      </c>
      <c r="D503" t="s">
        <v>525</v>
      </c>
      <c r="E503">
        <v>60</v>
      </c>
      <c r="F503" t="s">
        <v>2416</v>
      </c>
      <c r="H503" t="s">
        <v>3211</v>
      </c>
      <c r="J503" t="s">
        <v>4197</v>
      </c>
      <c r="K503">
        <v>110.57</v>
      </c>
      <c r="L503">
        <v>25682.9</v>
      </c>
      <c r="M503" t="s">
        <v>4156</v>
      </c>
      <c r="N503" t="s">
        <v>7018</v>
      </c>
      <c r="O503" t="s">
        <v>1764</v>
      </c>
      <c r="P503" t="s">
        <v>5978</v>
      </c>
      <c r="Q503" t="s">
        <v>5968</v>
      </c>
      <c r="R503" t="s">
        <v>4235</v>
      </c>
    </row>
    <row r="504" spans="1:18" x14ac:dyDescent="0.25">
      <c r="A504" t="s">
        <v>7019</v>
      </c>
      <c r="B504" t="s">
        <v>6026</v>
      </c>
      <c r="C504" t="s">
        <v>5961</v>
      </c>
      <c r="D504" t="s">
        <v>1081</v>
      </c>
      <c r="E504">
        <v>28</v>
      </c>
      <c r="F504" t="s">
        <v>2416</v>
      </c>
      <c r="H504" t="s">
        <v>3154</v>
      </c>
      <c r="J504" t="s">
        <v>3564</v>
      </c>
      <c r="K504">
        <v>167.5</v>
      </c>
      <c r="L504">
        <v>12002.66</v>
      </c>
      <c r="M504" t="s">
        <v>5264</v>
      </c>
      <c r="N504" t="s">
        <v>7020</v>
      </c>
      <c r="O504" t="s">
        <v>2447</v>
      </c>
      <c r="P504" t="s">
        <v>5978</v>
      </c>
      <c r="Q504" t="s">
        <v>5968</v>
      </c>
    </row>
    <row r="505" spans="1:18" x14ac:dyDescent="0.25">
      <c r="A505" t="s">
        <v>7021</v>
      </c>
      <c r="B505" t="s">
        <v>6026</v>
      </c>
      <c r="C505" t="s">
        <v>5966</v>
      </c>
      <c r="D505" t="s">
        <v>985</v>
      </c>
      <c r="E505">
        <v>25</v>
      </c>
      <c r="F505" t="s">
        <v>2449</v>
      </c>
      <c r="H505" t="s">
        <v>2666</v>
      </c>
      <c r="K505">
        <v>416.33</v>
      </c>
      <c r="L505">
        <v>11626.18</v>
      </c>
      <c r="M505" t="s">
        <v>3057</v>
      </c>
      <c r="N505" t="s">
        <v>7022</v>
      </c>
      <c r="O505" t="s">
        <v>5984</v>
      </c>
      <c r="P505" t="s">
        <v>5977</v>
      </c>
      <c r="Q505" t="s">
        <v>5968</v>
      </c>
    </row>
    <row r="506" spans="1:18" x14ac:dyDescent="0.25">
      <c r="A506" t="s">
        <v>7023</v>
      </c>
      <c r="B506" t="s">
        <v>5970</v>
      </c>
      <c r="C506" t="s">
        <v>5966</v>
      </c>
      <c r="D506" t="s">
        <v>703</v>
      </c>
      <c r="E506">
        <v>48</v>
      </c>
      <c r="F506" t="s">
        <v>2440</v>
      </c>
      <c r="H506" t="s">
        <v>2607</v>
      </c>
      <c r="J506" t="s">
        <v>2512</v>
      </c>
      <c r="K506">
        <v>171.87</v>
      </c>
      <c r="L506">
        <v>18142.88</v>
      </c>
      <c r="M506" t="s">
        <v>3536</v>
      </c>
      <c r="N506" t="s">
        <v>7024</v>
      </c>
      <c r="O506" t="s">
        <v>1897</v>
      </c>
      <c r="P506" t="s">
        <v>1764</v>
      </c>
      <c r="Q506" t="s">
        <v>5963</v>
      </c>
    </row>
    <row r="507" spans="1:18" x14ac:dyDescent="0.25">
      <c r="A507" t="s">
        <v>7025</v>
      </c>
      <c r="B507" t="s">
        <v>5960</v>
      </c>
      <c r="C507" t="s">
        <v>5981</v>
      </c>
      <c r="D507" t="s">
        <v>995</v>
      </c>
      <c r="E507">
        <v>43</v>
      </c>
      <c r="F507" t="s">
        <v>2398</v>
      </c>
      <c r="G507" t="s">
        <v>2425</v>
      </c>
      <c r="H507" t="s">
        <v>2597</v>
      </c>
      <c r="I507" t="s">
        <v>2898</v>
      </c>
      <c r="K507">
        <v>336.64</v>
      </c>
      <c r="L507">
        <v>4347.05</v>
      </c>
      <c r="M507" t="s">
        <v>2772</v>
      </c>
      <c r="N507" t="s">
        <v>7026</v>
      </c>
      <c r="O507" t="s">
        <v>2447</v>
      </c>
      <c r="P507" t="s">
        <v>1897</v>
      </c>
      <c r="Q507" t="s">
        <v>5963</v>
      </c>
      <c r="R507" t="s">
        <v>5979</v>
      </c>
    </row>
    <row r="508" spans="1:18" x14ac:dyDescent="0.25">
      <c r="A508" t="s">
        <v>7027</v>
      </c>
      <c r="B508" t="s">
        <v>6026</v>
      </c>
      <c r="C508" t="s">
        <v>5971</v>
      </c>
      <c r="D508" t="s">
        <v>420</v>
      </c>
      <c r="E508">
        <v>95</v>
      </c>
      <c r="F508" t="s">
        <v>2376</v>
      </c>
      <c r="H508" t="s">
        <v>3105</v>
      </c>
      <c r="J508" t="s">
        <v>4649</v>
      </c>
      <c r="K508">
        <v>169.15</v>
      </c>
      <c r="L508">
        <v>32397.66</v>
      </c>
      <c r="M508" t="s">
        <v>3719</v>
      </c>
      <c r="N508" t="s">
        <v>7028</v>
      </c>
      <c r="O508" t="s">
        <v>1764</v>
      </c>
      <c r="P508" t="s">
        <v>1648</v>
      </c>
      <c r="Q508" t="s">
        <v>5963</v>
      </c>
    </row>
    <row r="509" spans="1:18" x14ac:dyDescent="0.25">
      <c r="A509" t="s">
        <v>7029</v>
      </c>
      <c r="B509" t="s">
        <v>5965</v>
      </c>
      <c r="C509" t="s">
        <v>5988</v>
      </c>
      <c r="D509" t="s">
        <v>443</v>
      </c>
      <c r="E509">
        <v>86</v>
      </c>
      <c r="F509" t="s">
        <v>2432</v>
      </c>
      <c r="H509" t="s">
        <v>2653</v>
      </c>
      <c r="J509" t="s">
        <v>4486</v>
      </c>
      <c r="K509">
        <v>350.63</v>
      </c>
      <c r="L509">
        <v>28339.43</v>
      </c>
      <c r="M509" t="s">
        <v>2524</v>
      </c>
      <c r="N509" t="s">
        <v>7030</v>
      </c>
      <c r="O509" t="s">
        <v>5978</v>
      </c>
      <c r="P509" t="s">
        <v>1746</v>
      </c>
      <c r="Q509" t="s">
        <v>3434</v>
      </c>
      <c r="R509" t="s">
        <v>4235</v>
      </c>
    </row>
    <row r="510" spans="1:18" x14ac:dyDescent="0.25">
      <c r="A510" t="s">
        <v>7031</v>
      </c>
      <c r="B510" t="s">
        <v>6026</v>
      </c>
      <c r="C510" t="s">
        <v>5988</v>
      </c>
      <c r="D510" t="s">
        <v>794</v>
      </c>
      <c r="E510">
        <v>36</v>
      </c>
      <c r="F510" t="s">
        <v>2407</v>
      </c>
      <c r="H510" t="s">
        <v>2952</v>
      </c>
      <c r="J510" t="s">
        <v>4029</v>
      </c>
      <c r="K510">
        <v>373.93</v>
      </c>
      <c r="L510">
        <v>11922.83</v>
      </c>
      <c r="M510" t="s">
        <v>3007</v>
      </c>
      <c r="N510" t="s">
        <v>7032</v>
      </c>
      <c r="O510" t="s">
        <v>5978</v>
      </c>
      <c r="P510" t="s">
        <v>5978</v>
      </c>
      <c r="Q510" t="s">
        <v>5963</v>
      </c>
    </row>
    <row r="511" spans="1:18" x14ac:dyDescent="0.25">
      <c r="A511" t="s">
        <v>7033</v>
      </c>
      <c r="B511" t="s">
        <v>5960</v>
      </c>
      <c r="C511" t="s">
        <v>5988</v>
      </c>
      <c r="D511" t="s">
        <v>348</v>
      </c>
      <c r="E511">
        <v>18</v>
      </c>
      <c r="F511" t="s">
        <v>2449</v>
      </c>
      <c r="G511" t="s">
        <v>2425</v>
      </c>
      <c r="H511" t="s">
        <v>2933</v>
      </c>
      <c r="I511" t="s">
        <v>2739</v>
      </c>
      <c r="J511" t="s">
        <v>5859</v>
      </c>
      <c r="K511">
        <v>444.15</v>
      </c>
      <c r="L511">
        <v>2288.3000000000002</v>
      </c>
      <c r="M511" t="s">
        <v>2924</v>
      </c>
      <c r="N511" t="s">
        <v>7034</v>
      </c>
      <c r="O511" t="s">
        <v>2447</v>
      </c>
      <c r="P511" t="s">
        <v>1764</v>
      </c>
      <c r="Q511" t="s">
        <v>5963</v>
      </c>
    </row>
    <row r="512" spans="1:18" x14ac:dyDescent="0.25">
      <c r="A512" t="s">
        <v>7035</v>
      </c>
      <c r="B512" t="s">
        <v>5960</v>
      </c>
      <c r="C512" t="s">
        <v>5993</v>
      </c>
      <c r="D512" t="s">
        <v>749</v>
      </c>
      <c r="E512">
        <v>92</v>
      </c>
      <c r="F512" t="s">
        <v>2388</v>
      </c>
      <c r="G512" t="s">
        <v>2456</v>
      </c>
      <c r="H512" t="s">
        <v>3176</v>
      </c>
      <c r="I512" t="s">
        <v>2970</v>
      </c>
      <c r="J512" t="s">
        <v>3797</v>
      </c>
      <c r="K512">
        <v>176.22</v>
      </c>
      <c r="L512">
        <v>33631</v>
      </c>
      <c r="M512" t="s">
        <v>3733</v>
      </c>
      <c r="N512" t="s">
        <v>7036</v>
      </c>
      <c r="O512" t="s">
        <v>5978</v>
      </c>
      <c r="P512" t="s">
        <v>5978</v>
      </c>
      <c r="Q512" t="s">
        <v>5963</v>
      </c>
      <c r="R512" t="s">
        <v>6002</v>
      </c>
    </row>
    <row r="513" spans="1:18" x14ac:dyDescent="0.25">
      <c r="A513" t="s">
        <v>7037</v>
      </c>
      <c r="B513" t="s">
        <v>5974</v>
      </c>
      <c r="C513" t="s">
        <v>5961</v>
      </c>
      <c r="D513" t="s">
        <v>443</v>
      </c>
      <c r="E513">
        <v>76</v>
      </c>
      <c r="F513" t="s">
        <v>2416</v>
      </c>
      <c r="H513" t="s">
        <v>2666</v>
      </c>
      <c r="K513">
        <v>223.94</v>
      </c>
      <c r="L513">
        <v>21996.89</v>
      </c>
      <c r="M513" t="s">
        <v>1794</v>
      </c>
      <c r="N513" t="s">
        <v>6165</v>
      </c>
      <c r="O513" t="s">
        <v>1897</v>
      </c>
      <c r="P513" t="s">
        <v>5978</v>
      </c>
      <c r="Q513" t="s">
        <v>5968</v>
      </c>
      <c r="R513" t="s">
        <v>5979</v>
      </c>
    </row>
    <row r="514" spans="1:18" x14ac:dyDescent="0.25">
      <c r="A514" t="s">
        <v>7038</v>
      </c>
      <c r="B514" t="s">
        <v>5970</v>
      </c>
      <c r="C514" t="s">
        <v>5988</v>
      </c>
      <c r="D514" t="s">
        <v>1061</v>
      </c>
      <c r="E514">
        <v>86</v>
      </c>
      <c r="F514" t="s">
        <v>2425</v>
      </c>
      <c r="H514" t="s">
        <v>2886</v>
      </c>
      <c r="J514" t="s">
        <v>5557</v>
      </c>
      <c r="K514">
        <v>456.45</v>
      </c>
      <c r="L514">
        <v>37788.800000000003</v>
      </c>
      <c r="M514" t="s">
        <v>2692</v>
      </c>
      <c r="N514" t="s">
        <v>7039</v>
      </c>
      <c r="O514" t="s">
        <v>2447</v>
      </c>
      <c r="P514" t="s">
        <v>5977</v>
      </c>
      <c r="Q514" t="s">
        <v>5963</v>
      </c>
    </row>
    <row r="515" spans="1:18" x14ac:dyDescent="0.25">
      <c r="A515" t="s">
        <v>7040</v>
      </c>
      <c r="B515" t="s">
        <v>6026</v>
      </c>
      <c r="C515" t="s">
        <v>5975</v>
      </c>
      <c r="D515" t="s">
        <v>432</v>
      </c>
      <c r="E515">
        <v>4</v>
      </c>
      <c r="F515" t="s">
        <v>2425</v>
      </c>
      <c r="H515" t="s">
        <v>6006</v>
      </c>
      <c r="J515" t="s">
        <v>2551</v>
      </c>
      <c r="K515">
        <v>69.59</v>
      </c>
      <c r="L515">
        <v>1560.2</v>
      </c>
      <c r="M515" t="s">
        <v>3518</v>
      </c>
      <c r="N515" t="s">
        <v>7041</v>
      </c>
      <c r="O515" t="s">
        <v>1648</v>
      </c>
      <c r="P515" t="s">
        <v>1746</v>
      </c>
      <c r="Q515" t="s">
        <v>5963</v>
      </c>
      <c r="R515" t="s">
        <v>5979</v>
      </c>
    </row>
    <row r="516" spans="1:18" x14ac:dyDescent="0.25">
      <c r="A516" t="s">
        <v>7042</v>
      </c>
      <c r="B516" t="s">
        <v>6026</v>
      </c>
      <c r="C516" t="s">
        <v>5981</v>
      </c>
      <c r="D516" t="s">
        <v>672</v>
      </c>
      <c r="E516">
        <v>73</v>
      </c>
      <c r="F516" t="s">
        <v>2398</v>
      </c>
      <c r="H516" t="s">
        <v>2625</v>
      </c>
      <c r="J516" t="s">
        <v>4159</v>
      </c>
      <c r="K516">
        <v>105.97</v>
      </c>
      <c r="L516">
        <v>16600.849999999999</v>
      </c>
      <c r="M516" t="s">
        <v>2286</v>
      </c>
      <c r="N516" t="s">
        <v>7043</v>
      </c>
      <c r="O516" t="s">
        <v>5984</v>
      </c>
      <c r="P516" t="s">
        <v>2447</v>
      </c>
      <c r="Q516" t="s">
        <v>5963</v>
      </c>
      <c r="R516" t="s">
        <v>4235</v>
      </c>
    </row>
    <row r="517" spans="1:18" x14ac:dyDescent="0.25">
      <c r="A517" t="s">
        <v>7044</v>
      </c>
      <c r="B517" t="s">
        <v>5981</v>
      </c>
      <c r="C517" t="s">
        <v>6011</v>
      </c>
      <c r="D517" t="s">
        <v>1000</v>
      </c>
      <c r="E517">
        <v>100</v>
      </c>
      <c r="F517" t="s">
        <v>2407</v>
      </c>
      <c r="H517" t="s">
        <v>6538</v>
      </c>
      <c r="J517" t="s">
        <v>5270</v>
      </c>
      <c r="K517">
        <v>119.88</v>
      </c>
      <c r="L517">
        <v>46609.120000000003</v>
      </c>
      <c r="M517" t="s">
        <v>3610</v>
      </c>
      <c r="N517" t="s">
        <v>7045</v>
      </c>
      <c r="O517" t="s">
        <v>1764</v>
      </c>
      <c r="P517" t="s">
        <v>5978</v>
      </c>
      <c r="Q517" t="s">
        <v>5968</v>
      </c>
      <c r="R517" t="s">
        <v>5979</v>
      </c>
    </row>
    <row r="518" spans="1:18" x14ac:dyDescent="0.25">
      <c r="A518" t="s">
        <v>7046</v>
      </c>
      <c r="B518" t="s">
        <v>5981</v>
      </c>
      <c r="C518" t="s">
        <v>5988</v>
      </c>
      <c r="D518" t="s">
        <v>443</v>
      </c>
      <c r="E518">
        <v>44</v>
      </c>
      <c r="F518" t="s">
        <v>2456</v>
      </c>
      <c r="H518" t="s">
        <v>2935</v>
      </c>
      <c r="J518" t="s">
        <v>4179</v>
      </c>
      <c r="K518">
        <v>251.88</v>
      </c>
      <c r="L518">
        <v>6022.3</v>
      </c>
      <c r="M518" t="s">
        <v>3666</v>
      </c>
      <c r="N518" t="s">
        <v>7047</v>
      </c>
      <c r="O518" t="s">
        <v>5978</v>
      </c>
      <c r="P518" t="s">
        <v>1746</v>
      </c>
      <c r="Q518" t="s">
        <v>3434</v>
      </c>
      <c r="R518" t="s">
        <v>4235</v>
      </c>
    </row>
    <row r="519" spans="1:18" x14ac:dyDescent="0.25">
      <c r="A519" t="s">
        <v>7048</v>
      </c>
      <c r="B519" t="s">
        <v>6026</v>
      </c>
      <c r="C519" t="s">
        <v>5975</v>
      </c>
      <c r="D519" t="s">
        <v>789</v>
      </c>
      <c r="E519">
        <v>30</v>
      </c>
      <c r="F519" t="s">
        <v>2416</v>
      </c>
      <c r="H519" t="s">
        <v>6147</v>
      </c>
      <c r="J519" t="s">
        <v>2506</v>
      </c>
      <c r="K519">
        <v>438.12</v>
      </c>
      <c r="L519">
        <v>13842.05</v>
      </c>
      <c r="M519" t="s">
        <v>3644</v>
      </c>
      <c r="N519" t="s">
        <v>7049</v>
      </c>
      <c r="O519" t="s">
        <v>1764</v>
      </c>
      <c r="P519" t="s">
        <v>1897</v>
      </c>
      <c r="Q519" t="s">
        <v>5963</v>
      </c>
      <c r="R519" t="s">
        <v>4235</v>
      </c>
    </row>
    <row r="520" spans="1:18" x14ac:dyDescent="0.25">
      <c r="A520" t="s">
        <v>7050</v>
      </c>
      <c r="B520" t="s">
        <v>6026</v>
      </c>
      <c r="C520" t="s">
        <v>5961</v>
      </c>
      <c r="D520" t="s">
        <v>1096</v>
      </c>
      <c r="E520">
        <v>86</v>
      </c>
      <c r="F520" t="s">
        <v>2416</v>
      </c>
      <c r="H520" t="s">
        <v>2770</v>
      </c>
      <c r="K520">
        <v>123.52</v>
      </c>
      <c r="L520">
        <v>18919.82</v>
      </c>
      <c r="M520" t="s">
        <v>4487</v>
      </c>
      <c r="N520" t="s">
        <v>7051</v>
      </c>
      <c r="O520" t="s">
        <v>2447</v>
      </c>
      <c r="P520" t="s">
        <v>5984</v>
      </c>
      <c r="Q520" t="s">
        <v>5963</v>
      </c>
    </row>
    <row r="521" spans="1:18" x14ac:dyDescent="0.25">
      <c r="A521" t="s">
        <v>7052</v>
      </c>
      <c r="B521" t="s">
        <v>5981</v>
      </c>
      <c r="C521" t="s">
        <v>5975</v>
      </c>
      <c r="D521" t="s">
        <v>264</v>
      </c>
      <c r="E521">
        <v>69</v>
      </c>
      <c r="F521" t="s">
        <v>2376</v>
      </c>
      <c r="H521" t="s">
        <v>2846</v>
      </c>
      <c r="J521" t="s">
        <v>5648</v>
      </c>
      <c r="K521">
        <v>126.37</v>
      </c>
      <c r="L521">
        <v>32832.959999999999</v>
      </c>
      <c r="M521" t="s">
        <v>4031</v>
      </c>
      <c r="N521" t="s">
        <v>7053</v>
      </c>
      <c r="O521" t="s">
        <v>1764</v>
      </c>
      <c r="P521" t="s">
        <v>1897</v>
      </c>
      <c r="Q521" t="s">
        <v>3434</v>
      </c>
      <c r="R521" t="s">
        <v>5979</v>
      </c>
    </row>
    <row r="522" spans="1:18" x14ac:dyDescent="0.25">
      <c r="A522" t="s">
        <v>7054</v>
      </c>
      <c r="B522" t="s">
        <v>5960</v>
      </c>
      <c r="C522" t="s">
        <v>5971</v>
      </c>
      <c r="D522" t="s">
        <v>453</v>
      </c>
      <c r="E522">
        <v>24</v>
      </c>
      <c r="F522" t="s">
        <v>2425</v>
      </c>
      <c r="G522" t="s">
        <v>2416</v>
      </c>
      <c r="H522" t="s">
        <v>3046</v>
      </c>
      <c r="I522" t="s">
        <v>3176</v>
      </c>
      <c r="J522" t="s">
        <v>2561</v>
      </c>
      <c r="K522">
        <v>284.01</v>
      </c>
      <c r="L522">
        <v>3532.24</v>
      </c>
      <c r="M522" t="s">
        <v>3422</v>
      </c>
      <c r="N522" t="s">
        <v>7055</v>
      </c>
      <c r="O522" t="s">
        <v>1746</v>
      </c>
      <c r="P522" t="s">
        <v>5977</v>
      </c>
      <c r="Q522" t="s">
        <v>5963</v>
      </c>
    </row>
    <row r="523" spans="1:18" x14ac:dyDescent="0.25">
      <c r="A523" t="s">
        <v>7056</v>
      </c>
      <c r="B523" t="s">
        <v>6026</v>
      </c>
      <c r="C523" t="s">
        <v>5961</v>
      </c>
      <c r="D523" t="s">
        <v>62</v>
      </c>
      <c r="E523">
        <v>18</v>
      </c>
      <c r="F523" t="s">
        <v>2440</v>
      </c>
      <c r="H523" t="s">
        <v>3067</v>
      </c>
      <c r="J523" t="s">
        <v>4831</v>
      </c>
      <c r="K523">
        <v>479.19</v>
      </c>
      <c r="L523">
        <v>6544.96</v>
      </c>
      <c r="M523" t="s">
        <v>2218</v>
      </c>
      <c r="N523" t="s">
        <v>7057</v>
      </c>
      <c r="O523" t="s">
        <v>1897</v>
      </c>
      <c r="P523" t="s">
        <v>5984</v>
      </c>
      <c r="Q523" t="s">
        <v>5963</v>
      </c>
      <c r="R523" t="s">
        <v>5979</v>
      </c>
    </row>
    <row r="524" spans="1:18" x14ac:dyDescent="0.25">
      <c r="A524" t="s">
        <v>7058</v>
      </c>
      <c r="B524" t="s">
        <v>6026</v>
      </c>
      <c r="C524" t="s">
        <v>5971</v>
      </c>
      <c r="D524" t="s">
        <v>571</v>
      </c>
      <c r="E524">
        <v>46</v>
      </c>
      <c r="F524" t="s">
        <v>2388</v>
      </c>
      <c r="H524" t="s">
        <v>3105</v>
      </c>
      <c r="J524" t="s">
        <v>3660</v>
      </c>
      <c r="K524">
        <v>79.47</v>
      </c>
      <c r="L524">
        <v>11680.74</v>
      </c>
      <c r="M524" t="s">
        <v>3713</v>
      </c>
      <c r="N524" t="s">
        <v>7059</v>
      </c>
      <c r="O524" t="s">
        <v>5984</v>
      </c>
      <c r="P524" t="s">
        <v>2447</v>
      </c>
      <c r="Q524" t="s">
        <v>3434</v>
      </c>
      <c r="R524" t="s">
        <v>6002</v>
      </c>
    </row>
    <row r="525" spans="1:18" x14ac:dyDescent="0.25">
      <c r="A525" t="s">
        <v>7060</v>
      </c>
      <c r="B525" t="s">
        <v>5970</v>
      </c>
      <c r="C525" t="s">
        <v>5971</v>
      </c>
      <c r="D525" t="s">
        <v>400</v>
      </c>
      <c r="E525">
        <v>60</v>
      </c>
      <c r="F525" t="s">
        <v>2388</v>
      </c>
      <c r="H525" t="s">
        <v>6817</v>
      </c>
      <c r="K525">
        <v>383.93</v>
      </c>
      <c r="L525">
        <v>16964.25</v>
      </c>
      <c r="M525" t="s">
        <v>3793</v>
      </c>
      <c r="N525" t="s">
        <v>7061</v>
      </c>
      <c r="O525" t="s">
        <v>1746</v>
      </c>
      <c r="P525" t="s">
        <v>1764</v>
      </c>
      <c r="Q525" t="s">
        <v>5963</v>
      </c>
      <c r="R525" t="s">
        <v>6002</v>
      </c>
    </row>
    <row r="526" spans="1:18" x14ac:dyDescent="0.25">
      <c r="A526" t="s">
        <v>7062</v>
      </c>
      <c r="B526" t="s">
        <v>5981</v>
      </c>
      <c r="C526" t="s">
        <v>5975</v>
      </c>
      <c r="D526" t="s">
        <v>1005</v>
      </c>
      <c r="E526">
        <v>4</v>
      </c>
      <c r="F526" t="s">
        <v>2432</v>
      </c>
      <c r="H526" t="s">
        <v>2607</v>
      </c>
      <c r="J526" t="s">
        <v>4085</v>
      </c>
      <c r="K526">
        <v>127.77</v>
      </c>
      <c r="L526">
        <v>1209.4000000000001</v>
      </c>
      <c r="M526" t="s">
        <v>4415</v>
      </c>
      <c r="N526" t="s">
        <v>7063</v>
      </c>
      <c r="O526" t="s">
        <v>1746</v>
      </c>
      <c r="P526" t="s">
        <v>5977</v>
      </c>
      <c r="Q526" t="s">
        <v>5968</v>
      </c>
      <c r="R526" t="s">
        <v>6002</v>
      </c>
    </row>
    <row r="527" spans="1:18" x14ac:dyDescent="0.25">
      <c r="A527" t="s">
        <v>7064</v>
      </c>
      <c r="B527" t="s">
        <v>5960</v>
      </c>
      <c r="C527" t="s">
        <v>5975</v>
      </c>
      <c r="D527" t="s">
        <v>1076</v>
      </c>
      <c r="E527">
        <v>36</v>
      </c>
      <c r="F527" t="s">
        <v>2407</v>
      </c>
      <c r="G527" t="s">
        <v>2456</v>
      </c>
      <c r="H527" t="s">
        <v>3267</v>
      </c>
      <c r="I527" t="s">
        <v>2948</v>
      </c>
      <c r="K527">
        <v>415.79</v>
      </c>
      <c r="L527">
        <v>14933.2</v>
      </c>
      <c r="M527" t="s">
        <v>3042</v>
      </c>
      <c r="N527" t="s">
        <v>7065</v>
      </c>
      <c r="O527" t="s">
        <v>1764</v>
      </c>
      <c r="P527" t="s">
        <v>5984</v>
      </c>
      <c r="Q527" t="s">
        <v>5963</v>
      </c>
      <c r="R527" t="s">
        <v>5979</v>
      </c>
    </row>
    <row r="528" spans="1:18" x14ac:dyDescent="0.25">
      <c r="A528" t="s">
        <v>7066</v>
      </c>
      <c r="B528" t="s">
        <v>3442</v>
      </c>
      <c r="C528" t="s">
        <v>5971</v>
      </c>
      <c r="D528" t="s">
        <v>682</v>
      </c>
      <c r="E528">
        <v>80</v>
      </c>
      <c r="F528" t="s">
        <v>2398</v>
      </c>
      <c r="G528" t="s">
        <v>2407</v>
      </c>
      <c r="H528" t="s">
        <v>2784</v>
      </c>
      <c r="I528" t="s">
        <v>3303</v>
      </c>
      <c r="K528">
        <v>259.19</v>
      </c>
      <c r="L528">
        <v>4424.34</v>
      </c>
      <c r="M528" t="s">
        <v>2805</v>
      </c>
      <c r="N528" t="s">
        <v>7067</v>
      </c>
      <c r="O528" t="s">
        <v>1648</v>
      </c>
      <c r="P528" t="s">
        <v>2447</v>
      </c>
      <c r="Q528" t="s">
        <v>5963</v>
      </c>
      <c r="R528" t="s">
        <v>5979</v>
      </c>
    </row>
    <row r="529" spans="1:18" x14ac:dyDescent="0.25">
      <c r="A529" t="s">
        <v>7068</v>
      </c>
      <c r="B529" t="s">
        <v>5965</v>
      </c>
      <c r="C529" t="s">
        <v>5982</v>
      </c>
      <c r="D529" t="s">
        <v>915</v>
      </c>
      <c r="E529">
        <v>70</v>
      </c>
      <c r="F529" t="s">
        <v>2425</v>
      </c>
      <c r="H529" t="s">
        <v>2952</v>
      </c>
      <c r="J529" t="s">
        <v>5745</v>
      </c>
      <c r="K529">
        <v>477.27</v>
      </c>
      <c r="L529">
        <v>3653.91</v>
      </c>
      <c r="M529" t="s">
        <v>3226</v>
      </c>
      <c r="N529" t="s">
        <v>7069</v>
      </c>
      <c r="O529" t="s">
        <v>5977</v>
      </c>
      <c r="P529" t="s">
        <v>5978</v>
      </c>
      <c r="Q529" t="s">
        <v>5963</v>
      </c>
    </row>
    <row r="530" spans="1:18" x14ac:dyDescent="0.25">
      <c r="A530" t="s">
        <v>7070</v>
      </c>
      <c r="B530" t="s">
        <v>3442</v>
      </c>
      <c r="C530" t="s">
        <v>5971</v>
      </c>
      <c r="D530" t="s">
        <v>905</v>
      </c>
      <c r="E530">
        <v>57</v>
      </c>
      <c r="F530" t="s">
        <v>2432</v>
      </c>
      <c r="G530" t="s">
        <v>2432</v>
      </c>
      <c r="H530" t="s">
        <v>3027</v>
      </c>
      <c r="I530" t="s">
        <v>2657</v>
      </c>
      <c r="J530" t="s">
        <v>5363</v>
      </c>
      <c r="K530">
        <v>96.97</v>
      </c>
      <c r="L530">
        <v>26224.13</v>
      </c>
      <c r="M530" t="s">
        <v>3546</v>
      </c>
      <c r="N530" t="s">
        <v>7071</v>
      </c>
      <c r="O530" t="s">
        <v>1746</v>
      </c>
      <c r="P530" t="s">
        <v>2447</v>
      </c>
      <c r="Q530" t="s">
        <v>5963</v>
      </c>
    </row>
    <row r="531" spans="1:18" x14ac:dyDescent="0.25">
      <c r="A531" t="s">
        <v>7072</v>
      </c>
      <c r="B531" t="s">
        <v>5981</v>
      </c>
      <c r="C531" t="s">
        <v>5988</v>
      </c>
      <c r="D531" t="s">
        <v>819</v>
      </c>
      <c r="E531">
        <v>35</v>
      </c>
      <c r="F531" t="s">
        <v>2376</v>
      </c>
      <c r="H531" t="s">
        <v>3027</v>
      </c>
      <c r="J531" t="s">
        <v>2538</v>
      </c>
      <c r="K531">
        <v>167.36</v>
      </c>
      <c r="L531">
        <v>4795.72</v>
      </c>
      <c r="M531" t="s">
        <v>3969</v>
      </c>
      <c r="N531" t="s">
        <v>7073</v>
      </c>
      <c r="O531" t="s">
        <v>1648</v>
      </c>
      <c r="P531" t="s">
        <v>5978</v>
      </c>
      <c r="Q531" t="s">
        <v>5963</v>
      </c>
      <c r="R531" t="s">
        <v>5979</v>
      </c>
    </row>
    <row r="532" spans="1:18" x14ac:dyDescent="0.25">
      <c r="A532" t="s">
        <v>7074</v>
      </c>
      <c r="B532" t="s">
        <v>5960</v>
      </c>
      <c r="C532" t="s">
        <v>5982</v>
      </c>
      <c r="D532" t="s">
        <v>1031</v>
      </c>
      <c r="E532">
        <v>97</v>
      </c>
      <c r="F532" t="s">
        <v>2416</v>
      </c>
      <c r="G532" t="s">
        <v>2376</v>
      </c>
      <c r="H532" t="s">
        <v>2591</v>
      </c>
      <c r="I532" t="s">
        <v>2939</v>
      </c>
      <c r="J532" t="s">
        <v>5857</v>
      </c>
      <c r="K532">
        <v>289.8</v>
      </c>
      <c r="L532">
        <v>24340.54</v>
      </c>
      <c r="M532" t="s">
        <v>2655</v>
      </c>
      <c r="N532" t="s">
        <v>7075</v>
      </c>
      <c r="O532" t="s">
        <v>5977</v>
      </c>
      <c r="P532" t="s">
        <v>2447</v>
      </c>
      <c r="Q532" t="s">
        <v>3434</v>
      </c>
      <c r="R532" t="s">
        <v>4235</v>
      </c>
    </row>
    <row r="533" spans="1:18" x14ac:dyDescent="0.25">
      <c r="A533" t="s">
        <v>7076</v>
      </c>
      <c r="B533" t="s">
        <v>5960</v>
      </c>
      <c r="C533" t="s">
        <v>5975</v>
      </c>
      <c r="D533" t="s">
        <v>667</v>
      </c>
      <c r="E533">
        <v>59</v>
      </c>
      <c r="F533" t="s">
        <v>2432</v>
      </c>
      <c r="G533" t="s">
        <v>2416</v>
      </c>
      <c r="H533" t="s">
        <v>2748</v>
      </c>
      <c r="I533" t="s">
        <v>2982</v>
      </c>
      <c r="J533" t="s">
        <v>2548</v>
      </c>
      <c r="K533">
        <v>292.08999999999997</v>
      </c>
      <c r="L533">
        <v>26652.98</v>
      </c>
      <c r="M533" t="s">
        <v>5526</v>
      </c>
      <c r="N533" t="s">
        <v>7077</v>
      </c>
      <c r="O533" t="s">
        <v>2447</v>
      </c>
      <c r="P533" t="s">
        <v>5977</v>
      </c>
      <c r="Q533" t="s">
        <v>5963</v>
      </c>
    </row>
    <row r="534" spans="1:18" x14ac:dyDescent="0.25">
      <c r="A534" t="s">
        <v>7078</v>
      </c>
      <c r="B534" t="s">
        <v>5965</v>
      </c>
      <c r="C534" t="s">
        <v>6011</v>
      </c>
      <c r="D534" t="s">
        <v>373</v>
      </c>
      <c r="E534">
        <v>15</v>
      </c>
      <c r="F534" t="s">
        <v>2425</v>
      </c>
      <c r="H534" t="s">
        <v>3186</v>
      </c>
      <c r="K534">
        <v>171.68</v>
      </c>
      <c r="L534">
        <v>768.51</v>
      </c>
      <c r="M534" t="s">
        <v>2755</v>
      </c>
      <c r="N534" t="s">
        <v>7079</v>
      </c>
      <c r="O534" t="s">
        <v>1648</v>
      </c>
      <c r="P534" t="s">
        <v>1897</v>
      </c>
      <c r="Q534" t="s">
        <v>5963</v>
      </c>
    </row>
    <row r="535" spans="1:18" x14ac:dyDescent="0.25">
      <c r="A535" t="s">
        <v>7080</v>
      </c>
      <c r="B535" t="s">
        <v>5960</v>
      </c>
      <c r="C535" t="s">
        <v>5981</v>
      </c>
      <c r="D535" t="s">
        <v>764</v>
      </c>
      <c r="E535">
        <v>58</v>
      </c>
      <c r="F535" t="s">
        <v>2456</v>
      </c>
      <c r="G535" t="s">
        <v>2398</v>
      </c>
      <c r="H535" t="s">
        <v>2939</v>
      </c>
      <c r="I535" t="s">
        <v>3101</v>
      </c>
      <c r="J535" t="s">
        <v>4210</v>
      </c>
      <c r="K535">
        <v>261.33</v>
      </c>
      <c r="L535">
        <v>8337.75</v>
      </c>
      <c r="M535" t="s">
        <v>3294</v>
      </c>
      <c r="N535" t="s">
        <v>7081</v>
      </c>
      <c r="O535" t="s">
        <v>5977</v>
      </c>
      <c r="P535" t="s">
        <v>1746</v>
      </c>
      <c r="Q535" t="s">
        <v>5963</v>
      </c>
      <c r="R535" t="s">
        <v>5979</v>
      </c>
    </row>
    <row r="536" spans="1:18" x14ac:dyDescent="0.25">
      <c r="A536" t="s">
        <v>7082</v>
      </c>
      <c r="B536" t="s">
        <v>5974</v>
      </c>
      <c r="C536" t="s">
        <v>5971</v>
      </c>
      <c r="D536" t="s">
        <v>337</v>
      </c>
      <c r="E536">
        <v>10</v>
      </c>
      <c r="F536" t="s">
        <v>2376</v>
      </c>
      <c r="H536" t="s">
        <v>2784</v>
      </c>
      <c r="J536" t="s">
        <v>5014</v>
      </c>
      <c r="K536">
        <v>404.45</v>
      </c>
      <c r="L536">
        <v>1018.13</v>
      </c>
      <c r="M536" t="s">
        <v>3108</v>
      </c>
      <c r="N536" t="s">
        <v>7083</v>
      </c>
      <c r="O536" t="s">
        <v>5978</v>
      </c>
      <c r="P536" t="s">
        <v>1746</v>
      </c>
      <c r="Q536" t="s">
        <v>5963</v>
      </c>
      <c r="R536" t="s">
        <v>5979</v>
      </c>
    </row>
    <row r="537" spans="1:18" x14ac:dyDescent="0.25">
      <c r="A537" t="s">
        <v>7084</v>
      </c>
      <c r="B537" t="s">
        <v>5974</v>
      </c>
      <c r="C537" t="s">
        <v>5993</v>
      </c>
      <c r="D537" t="s">
        <v>77</v>
      </c>
      <c r="E537">
        <v>1</v>
      </c>
      <c r="F537" t="s">
        <v>2376</v>
      </c>
      <c r="H537" t="s">
        <v>2889</v>
      </c>
      <c r="K537">
        <v>364</v>
      </c>
      <c r="L537">
        <v>142.49</v>
      </c>
      <c r="M537" t="s">
        <v>7085</v>
      </c>
      <c r="N537" t="s">
        <v>7086</v>
      </c>
      <c r="O537" t="s">
        <v>5978</v>
      </c>
      <c r="P537" t="s">
        <v>5977</v>
      </c>
      <c r="Q537" t="s">
        <v>5963</v>
      </c>
      <c r="R537" t="s">
        <v>4235</v>
      </c>
    </row>
    <row r="538" spans="1:18" x14ac:dyDescent="0.25">
      <c r="A538" t="s">
        <v>7087</v>
      </c>
      <c r="B538" t="s">
        <v>5974</v>
      </c>
      <c r="C538" t="s">
        <v>5975</v>
      </c>
      <c r="D538" t="s">
        <v>540</v>
      </c>
      <c r="E538">
        <v>84</v>
      </c>
      <c r="F538" t="s">
        <v>2456</v>
      </c>
      <c r="H538" t="s">
        <v>3034</v>
      </c>
      <c r="J538" t="s">
        <v>2515</v>
      </c>
      <c r="K538">
        <v>439.58</v>
      </c>
      <c r="L538">
        <v>34542.1</v>
      </c>
      <c r="M538" t="s">
        <v>3360</v>
      </c>
      <c r="N538" t="s">
        <v>7088</v>
      </c>
      <c r="O538" t="s">
        <v>2447</v>
      </c>
      <c r="P538" t="s">
        <v>1897</v>
      </c>
      <c r="Q538" t="s">
        <v>5963</v>
      </c>
    </row>
    <row r="539" spans="1:18" x14ac:dyDescent="0.25">
      <c r="A539" t="s">
        <v>7089</v>
      </c>
      <c r="B539" t="s">
        <v>5974</v>
      </c>
      <c r="C539" t="s">
        <v>6011</v>
      </c>
      <c r="D539" t="s">
        <v>453</v>
      </c>
      <c r="E539">
        <v>49</v>
      </c>
      <c r="F539" t="s">
        <v>2407</v>
      </c>
      <c r="H539" t="s">
        <v>3130</v>
      </c>
      <c r="K539">
        <v>378.31</v>
      </c>
      <c r="L539">
        <v>17013.5</v>
      </c>
      <c r="M539" t="s">
        <v>3404</v>
      </c>
      <c r="N539" t="s">
        <v>7090</v>
      </c>
      <c r="O539" t="s">
        <v>1648</v>
      </c>
      <c r="P539" t="s">
        <v>1897</v>
      </c>
      <c r="Q539" t="s">
        <v>5968</v>
      </c>
      <c r="R539" t="s">
        <v>5979</v>
      </c>
    </row>
    <row r="540" spans="1:18" x14ac:dyDescent="0.25">
      <c r="A540" t="s">
        <v>7091</v>
      </c>
      <c r="B540" t="s">
        <v>6026</v>
      </c>
      <c r="C540" t="s">
        <v>5981</v>
      </c>
      <c r="D540" t="s">
        <v>960</v>
      </c>
      <c r="E540">
        <v>94</v>
      </c>
      <c r="F540" t="s">
        <v>2407</v>
      </c>
      <c r="H540" t="s">
        <v>2724</v>
      </c>
      <c r="J540" t="s">
        <v>2525</v>
      </c>
      <c r="K540">
        <v>368.54</v>
      </c>
      <c r="L540">
        <v>38539.61</v>
      </c>
      <c r="M540" t="s">
        <v>3596</v>
      </c>
      <c r="N540" t="s">
        <v>7092</v>
      </c>
      <c r="O540" t="s">
        <v>5978</v>
      </c>
      <c r="P540" t="s">
        <v>5984</v>
      </c>
      <c r="Q540" t="s">
        <v>5968</v>
      </c>
      <c r="R540" t="s">
        <v>5979</v>
      </c>
    </row>
    <row r="541" spans="1:18" x14ac:dyDescent="0.25">
      <c r="A541" t="s">
        <v>7093</v>
      </c>
      <c r="B541" t="s">
        <v>5974</v>
      </c>
      <c r="C541" t="s">
        <v>6011</v>
      </c>
      <c r="D541" t="s">
        <v>253</v>
      </c>
      <c r="E541">
        <v>68</v>
      </c>
      <c r="F541" t="s">
        <v>2449</v>
      </c>
      <c r="H541" t="s">
        <v>2846</v>
      </c>
      <c r="J541" t="s">
        <v>2501</v>
      </c>
      <c r="K541">
        <v>277.66000000000003</v>
      </c>
      <c r="L541">
        <v>30400.79</v>
      </c>
      <c r="M541" t="s">
        <v>2835</v>
      </c>
      <c r="N541" t="s">
        <v>7094</v>
      </c>
      <c r="O541" t="s">
        <v>5977</v>
      </c>
      <c r="P541" t="s">
        <v>1764</v>
      </c>
      <c r="Q541" t="s">
        <v>5963</v>
      </c>
      <c r="R541" t="s">
        <v>5979</v>
      </c>
    </row>
    <row r="542" spans="1:18" x14ac:dyDescent="0.25">
      <c r="A542" t="s">
        <v>7095</v>
      </c>
      <c r="B542" t="s">
        <v>5970</v>
      </c>
      <c r="C542" t="s">
        <v>5975</v>
      </c>
      <c r="D542" t="s">
        <v>1021</v>
      </c>
      <c r="E542">
        <v>34</v>
      </c>
      <c r="F542" t="s">
        <v>2388</v>
      </c>
      <c r="H542" t="s">
        <v>3038</v>
      </c>
      <c r="J542" t="s">
        <v>3691</v>
      </c>
      <c r="K542">
        <v>105.2</v>
      </c>
      <c r="L542">
        <v>10316.76</v>
      </c>
      <c r="M542" t="s">
        <v>4583</v>
      </c>
      <c r="N542" t="s">
        <v>7096</v>
      </c>
      <c r="O542" t="s">
        <v>5977</v>
      </c>
      <c r="P542" t="s">
        <v>1648</v>
      </c>
      <c r="Q542" t="s">
        <v>5963</v>
      </c>
      <c r="R542" t="s">
        <v>4235</v>
      </c>
    </row>
    <row r="543" spans="1:18" x14ac:dyDescent="0.25">
      <c r="A543" t="s">
        <v>7097</v>
      </c>
      <c r="B543" t="s">
        <v>5981</v>
      </c>
      <c r="C543" t="s">
        <v>6011</v>
      </c>
      <c r="D543" t="s">
        <v>38</v>
      </c>
      <c r="E543">
        <v>38</v>
      </c>
      <c r="F543" t="s">
        <v>2449</v>
      </c>
      <c r="H543" t="s">
        <v>6006</v>
      </c>
      <c r="K543">
        <v>213.52</v>
      </c>
      <c r="L543">
        <v>16052.44</v>
      </c>
      <c r="M543" t="s">
        <v>4031</v>
      </c>
      <c r="N543" t="s">
        <v>7098</v>
      </c>
      <c r="O543" t="s">
        <v>1764</v>
      </c>
      <c r="P543" t="s">
        <v>1897</v>
      </c>
      <c r="Q543" t="s">
        <v>3434</v>
      </c>
    </row>
    <row r="544" spans="1:18" x14ac:dyDescent="0.25">
      <c r="A544" t="s">
        <v>7099</v>
      </c>
      <c r="B544" t="s">
        <v>3442</v>
      </c>
      <c r="C544" t="s">
        <v>5971</v>
      </c>
      <c r="D544" t="s">
        <v>510</v>
      </c>
      <c r="E544">
        <v>54</v>
      </c>
      <c r="F544" t="s">
        <v>2456</v>
      </c>
      <c r="G544" t="s">
        <v>2388</v>
      </c>
      <c r="H544" t="s">
        <v>3116</v>
      </c>
      <c r="I544" t="s">
        <v>6006</v>
      </c>
      <c r="J544" t="s">
        <v>2527</v>
      </c>
      <c r="K544">
        <v>464.28</v>
      </c>
      <c r="L544">
        <v>22607.48</v>
      </c>
      <c r="M544" t="s">
        <v>4760</v>
      </c>
      <c r="N544" t="s">
        <v>6834</v>
      </c>
      <c r="O544" t="s">
        <v>1897</v>
      </c>
      <c r="P544" t="s">
        <v>5984</v>
      </c>
      <c r="Q544" t="s">
        <v>3434</v>
      </c>
      <c r="R544" t="s">
        <v>4235</v>
      </c>
    </row>
    <row r="545" spans="1:18" x14ac:dyDescent="0.25">
      <c r="A545" t="s">
        <v>7100</v>
      </c>
      <c r="B545" t="s">
        <v>5974</v>
      </c>
      <c r="C545" t="s">
        <v>5982</v>
      </c>
      <c r="D545" t="s">
        <v>601</v>
      </c>
      <c r="E545">
        <v>52</v>
      </c>
      <c r="F545" t="s">
        <v>2432</v>
      </c>
      <c r="H545" t="s">
        <v>2784</v>
      </c>
      <c r="J545" t="s">
        <v>4526</v>
      </c>
      <c r="K545">
        <v>432.44</v>
      </c>
      <c r="L545">
        <v>5868.47</v>
      </c>
      <c r="M545" t="s">
        <v>3196</v>
      </c>
      <c r="N545" t="s">
        <v>7101</v>
      </c>
      <c r="O545" t="s">
        <v>5984</v>
      </c>
      <c r="P545" t="s">
        <v>1746</v>
      </c>
      <c r="Q545" t="s">
        <v>5963</v>
      </c>
      <c r="R545" t="s">
        <v>5979</v>
      </c>
    </row>
    <row r="546" spans="1:18" x14ac:dyDescent="0.25">
      <c r="A546" t="s">
        <v>7102</v>
      </c>
      <c r="B546" t="s">
        <v>3442</v>
      </c>
      <c r="C546" t="s">
        <v>5993</v>
      </c>
      <c r="D546" t="s">
        <v>152</v>
      </c>
      <c r="E546">
        <v>37</v>
      </c>
      <c r="F546" t="s">
        <v>2449</v>
      </c>
      <c r="G546" t="s">
        <v>2440</v>
      </c>
      <c r="H546" t="s">
        <v>6023</v>
      </c>
      <c r="I546" t="s">
        <v>2779</v>
      </c>
      <c r="J546" t="s">
        <v>5057</v>
      </c>
      <c r="K546">
        <v>113.78</v>
      </c>
      <c r="L546">
        <v>1932.37</v>
      </c>
      <c r="M546" t="s">
        <v>4765</v>
      </c>
      <c r="N546" t="s">
        <v>7103</v>
      </c>
      <c r="O546" t="s">
        <v>5984</v>
      </c>
      <c r="P546" t="s">
        <v>2447</v>
      </c>
      <c r="Q546" t="s">
        <v>3434</v>
      </c>
      <c r="R546" t="s">
        <v>6002</v>
      </c>
    </row>
    <row r="547" spans="1:18" x14ac:dyDescent="0.25">
      <c r="A547" t="s">
        <v>7104</v>
      </c>
      <c r="B547" t="s">
        <v>5970</v>
      </c>
      <c r="C547" t="s">
        <v>5971</v>
      </c>
      <c r="D547" t="s">
        <v>875</v>
      </c>
      <c r="E547">
        <v>69</v>
      </c>
      <c r="F547" t="s">
        <v>2449</v>
      </c>
      <c r="H547" t="s">
        <v>6291</v>
      </c>
      <c r="J547" t="s">
        <v>2527</v>
      </c>
      <c r="K547">
        <v>112.86</v>
      </c>
      <c r="L547">
        <v>16332.2</v>
      </c>
      <c r="M547" t="s">
        <v>3019</v>
      </c>
      <c r="N547" t="s">
        <v>7105</v>
      </c>
      <c r="O547" t="s">
        <v>2447</v>
      </c>
      <c r="P547" t="s">
        <v>1648</v>
      </c>
      <c r="Q547" t="s">
        <v>5963</v>
      </c>
    </row>
    <row r="548" spans="1:18" x14ac:dyDescent="0.25">
      <c r="A548" t="s">
        <v>7106</v>
      </c>
      <c r="B548" t="s">
        <v>3442</v>
      </c>
      <c r="C548" t="s">
        <v>5966</v>
      </c>
      <c r="D548" t="s">
        <v>420</v>
      </c>
      <c r="E548">
        <v>8</v>
      </c>
      <c r="F548" t="s">
        <v>2449</v>
      </c>
      <c r="G548" t="s">
        <v>2407</v>
      </c>
      <c r="H548" t="s">
        <v>3046</v>
      </c>
      <c r="I548" t="s">
        <v>6118</v>
      </c>
      <c r="J548" t="s">
        <v>4493</v>
      </c>
      <c r="K548">
        <v>350.86</v>
      </c>
      <c r="L548">
        <v>1841.74</v>
      </c>
      <c r="M548" t="s">
        <v>2763</v>
      </c>
      <c r="N548" t="s">
        <v>7107</v>
      </c>
      <c r="O548" t="s">
        <v>5984</v>
      </c>
      <c r="P548" t="s">
        <v>5984</v>
      </c>
      <c r="Q548" t="s">
        <v>5968</v>
      </c>
      <c r="R548" t="s">
        <v>5979</v>
      </c>
    </row>
    <row r="549" spans="1:18" x14ac:dyDescent="0.25">
      <c r="A549" t="s">
        <v>7108</v>
      </c>
      <c r="B549" t="s">
        <v>3442</v>
      </c>
      <c r="C549" t="s">
        <v>6011</v>
      </c>
      <c r="D549" t="s">
        <v>586</v>
      </c>
      <c r="E549">
        <v>18</v>
      </c>
      <c r="F549" t="s">
        <v>2425</v>
      </c>
      <c r="G549" t="s">
        <v>2398</v>
      </c>
      <c r="H549" t="s">
        <v>2851</v>
      </c>
      <c r="I549" t="s">
        <v>3121</v>
      </c>
      <c r="J549" t="s">
        <v>2531</v>
      </c>
      <c r="K549">
        <v>471.38</v>
      </c>
      <c r="L549">
        <v>3706.18</v>
      </c>
      <c r="M549" t="s">
        <v>3552</v>
      </c>
      <c r="N549" t="s">
        <v>7109</v>
      </c>
      <c r="O549" t="s">
        <v>5984</v>
      </c>
      <c r="P549" t="s">
        <v>5977</v>
      </c>
      <c r="Q549" t="s">
        <v>3434</v>
      </c>
      <c r="R549" t="s">
        <v>6002</v>
      </c>
    </row>
    <row r="550" spans="1:18" x14ac:dyDescent="0.25">
      <c r="A550" t="s">
        <v>7110</v>
      </c>
      <c r="B550" t="s">
        <v>5965</v>
      </c>
      <c r="C550" t="s">
        <v>5982</v>
      </c>
      <c r="D550" t="s">
        <v>358</v>
      </c>
      <c r="E550">
        <v>84</v>
      </c>
      <c r="F550" t="s">
        <v>2388</v>
      </c>
      <c r="H550" t="s">
        <v>5998</v>
      </c>
      <c r="J550" t="s">
        <v>2531</v>
      </c>
      <c r="K550">
        <v>488.02</v>
      </c>
      <c r="L550">
        <v>13553.34</v>
      </c>
      <c r="M550" t="s">
        <v>3815</v>
      </c>
      <c r="N550" t="s">
        <v>7111</v>
      </c>
      <c r="O550" t="s">
        <v>5984</v>
      </c>
      <c r="P550" t="s">
        <v>1897</v>
      </c>
      <c r="Q550" t="s">
        <v>5963</v>
      </c>
    </row>
    <row r="551" spans="1:18" x14ac:dyDescent="0.25">
      <c r="A551" t="s">
        <v>7112</v>
      </c>
      <c r="B551" t="s">
        <v>5974</v>
      </c>
      <c r="C551" t="s">
        <v>5988</v>
      </c>
      <c r="D551" t="s">
        <v>950</v>
      </c>
      <c r="E551">
        <v>69</v>
      </c>
      <c r="F551" t="s">
        <v>2432</v>
      </c>
      <c r="H551" t="s">
        <v>6231</v>
      </c>
      <c r="K551">
        <v>398.71</v>
      </c>
      <c r="L551">
        <v>31895.75</v>
      </c>
      <c r="M551" t="s">
        <v>2796</v>
      </c>
      <c r="N551" t="s">
        <v>7113</v>
      </c>
      <c r="O551" t="s">
        <v>1897</v>
      </c>
      <c r="P551" t="s">
        <v>5978</v>
      </c>
      <c r="Q551" t="s">
        <v>3434</v>
      </c>
      <c r="R551" t="s">
        <v>5979</v>
      </c>
    </row>
    <row r="552" spans="1:18" x14ac:dyDescent="0.25">
      <c r="A552" t="s">
        <v>7114</v>
      </c>
      <c r="B552" t="s">
        <v>5981</v>
      </c>
      <c r="C552" t="s">
        <v>5981</v>
      </c>
      <c r="D552" t="s">
        <v>316</v>
      </c>
      <c r="E552">
        <v>76</v>
      </c>
      <c r="F552" t="s">
        <v>2449</v>
      </c>
      <c r="H552" t="s">
        <v>2789</v>
      </c>
      <c r="K552">
        <v>268.36</v>
      </c>
      <c r="L552">
        <v>23973.03</v>
      </c>
      <c r="M552" t="s">
        <v>2700</v>
      </c>
      <c r="N552" t="s">
        <v>7115</v>
      </c>
      <c r="O552" t="s">
        <v>2447</v>
      </c>
      <c r="P552" t="s">
        <v>5977</v>
      </c>
      <c r="Q552" t="s">
        <v>5963</v>
      </c>
    </row>
    <row r="553" spans="1:18" x14ac:dyDescent="0.25">
      <c r="A553" t="s">
        <v>7116</v>
      </c>
      <c r="B553" t="s">
        <v>5981</v>
      </c>
      <c r="C553" t="s">
        <v>5961</v>
      </c>
      <c r="D553" t="s">
        <v>744</v>
      </c>
      <c r="E553">
        <v>10</v>
      </c>
      <c r="F553" t="s">
        <v>2456</v>
      </c>
      <c r="H553" t="s">
        <v>2685</v>
      </c>
      <c r="J553" t="s">
        <v>2544</v>
      </c>
      <c r="K553">
        <v>121.48</v>
      </c>
      <c r="L553">
        <v>4617.9799999999996</v>
      </c>
      <c r="M553" t="s">
        <v>4194</v>
      </c>
      <c r="N553" t="s">
        <v>7117</v>
      </c>
      <c r="O553" t="s">
        <v>5984</v>
      </c>
      <c r="P553" t="s">
        <v>5977</v>
      </c>
      <c r="Q553" t="s">
        <v>5968</v>
      </c>
    </row>
    <row r="554" spans="1:18" x14ac:dyDescent="0.25">
      <c r="A554" t="s">
        <v>7118</v>
      </c>
      <c r="B554" t="s">
        <v>5981</v>
      </c>
      <c r="C554" t="s">
        <v>5981</v>
      </c>
      <c r="D554" t="s">
        <v>458</v>
      </c>
      <c r="E554">
        <v>46</v>
      </c>
      <c r="F554" t="s">
        <v>2398</v>
      </c>
      <c r="H554" t="s">
        <v>6538</v>
      </c>
      <c r="J554" t="s">
        <v>3919</v>
      </c>
      <c r="K554">
        <v>66.040000000000006</v>
      </c>
      <c r="L554">
        <v>10387.200000000001</v>
      </c>
      <c r="M554" t="s">
        <v>3621</v>
      </c>
      <c r="N554" t="s">
        <v>7119</v>
      </c>
      <c r="O554" t="s">
        <v>1648</v>
      </c>
      <c r="P554" t="s">
        <v>1648</v>
      </c>
      <c r="Q554" t="s">
        <v>5963</v>
      </c>
    </row>
    <row r="555" spans="1:18" x14ac:dyDescent="0.25">
      <c r="A555" t="s">
        <v>7120</v>
      </c>
      <c r="B555" t="s">
        <v>5965</v>
      </c>
      <c r="C555" t="s">
        <v>5975</v>
      </c>
      <c r="D555" t="s">
        <v>295</v>
      </c>
      <c r="E555">
        <v>37</v>
      </c>
      <c r="F555" t="s">
        <v>2432</v>
      </c>
      <c r="H555" t="s">
        <v>3225</v>
      </c>
      <c r="K555">
        <v>479.48</v>
      </c>
      <c r="L555">
        <v>2091.3200000000002</v>
      </c>
      <c r="M555" t="s">
        <v>3360</v>
      </c>
      <c r="N555" t="s">
        <v>7121</v>
      </c>
      <c r="O555" t="s">
        <v>5984</v>
      </c>
      <c r="P555" t="s">
        <v>5984</v>
      </c>
      <c r="Q555" t="s">
        <v>5968</v>
      </c>
      <c r="R555" t="s">
        <v>6002</v>
      </c>
    </row>
    <row r="556" spans="1:18" x14ac:dyDescent="0.25">
      <c r="A556" t="s">
        <v>7122</v>
      </c>
      <c r="B556" t="s">
        <v>5960</v>
      </c>
      <c r="C556" t="s">
        <v>6011</v>
      </c>
      <c r="D556" t="s">
        <v>468</v>
      </c>
      <c r="E556">
        <v>9</v>
      </c>
      <c r="F556" t="s">
        <v>2398</v>
      </c>
      <c r="G556" t="s">
        <v>2376</v>
      </c>
      <c r="H556" t="s">
        <v>2907</v>
      </c>
      <c r="I556" t="s">
        <v>2765</v>
      </c>
      <c r="J556" t="s">
        <v>2481</v>
      </c>
      <c r="K556">
        <v>176.01</v>
      </c>
      <c r="L556">
        <v>508.65</v>
      </c>
      <c r="M556" t="s">
        <v>3895</v>
      </c>
      <c r="N556" t="s">
        <v>7123</v>
      </c>
      <c r="O556" t="s">
        <v>1648</v>
      </c>
      <c r="P556" t="s">
        <v>1746</v>
      </c>
      <c r="Q556" t="s">
        <v>5968</v>
      </c>
    </row>
    <row r="557" spans="1:18" x14ac:dyDescent="0.25">
      <c r="A557" t="s">
        <v>7124</v>
      </c>
      <c r="B557" t="s">
        <v>5960</v>
      </c>
      <c r="C557" t="s">
        <v>5982</v>
      </c>
      <c r="D557" t="s">
        <v>860</v>
      </c>
      <c r="E557">
        <v>82</v>
      </c>
      <c r="F557" t="s">
        <v>2376</v>
      </c>
      <c r="G557" t="s">
        <v>2398</v>
      </c>
      <c r="H557" t="s">
        <v>6538</v>
      </c>
      <c r="I557" t="s">
        <v>6144</v>
      </c>
      <c r="K557">
        <v>260.63</v>
      </c>
      <c r="L557">
        <v>7649.51</v>
      </c>
      <c r="M557" t="s">
        <v>7125</v>
      </c>
      <c r="N557" t="s">
        <v>7126</v>
      </c>
      <c r="O557" t="s">
        <v>5984</v>
      </c>
      <c r="P557" t="s">
        <v>1648</v>
      </c>
      <c r="Q557" t="s">
        <v>5963</v>
      </c>
      <c r="R557" t="s">
        <v>5979</v>
      </c>
    </row>
    <row r="558" spans="1:18" x14ac:dyDescent="0.25">
      <c r="A558" t="s">
        <v>7127</v>
      </c>
      <c r="B558" t="s">
        <v>5974</v>
      </c>
      <c r="C558" t="s">
        <v>5982</v>
      </c>
      <c r="D558" t="s">
        <v>920</v>
      </c>
      <c r="E558">
        <v>83</v>
      </c>
      <c r="F558" t="s">
        <v>2432</v>
      </c>
      <c r="H558" t="s">
        <v>3060</v>
      </c>
      <c r="K558">
        <v>246.91</v>
      </c>
      <c r="L558">
        <v>20726.419999999998</v>
      </c>
      <c r="M558" t="s">
        <v>2940</v>
      </c>
      <c r="N558" t="s">
        <v>7128</v>
      </c>
      <c r="O558" t="s">
        <v>5984</v>
      </c>
      <c r="P558" t="s">
        <v>5978</v>
      </c>
      <c r="Q558" t="s">
        <v>5968</v>
      </c>
    </row>
    <row r="559" spans="1:18" x14ac:dyDescent="0.25">
      <c r="A559" t="s">
        <v>7129</v>
      </c>
      <c r="B559" t="s">
        <v>3442</v>
      </c>
      <c r="C559" t="s">
        <v>5981</v>
      </c>
      <c r="D559" t="s">
        <v>708</v>
      </c>
      <c r="E559">
        <v>13</v>
      </c>
      <c r="F559" t="s">
        <v>2432</v>
      </c>
      <c r="G559" t="s">
        <v>2432</v>
      </c>
      <c r="H559" t="s">
        <v>2743</v>
      </c>
      <c r="I559" t="s">
        <v>3073</v>
      </c>
      <c r="J559" t="s">
        <v>3703</v>
      </c>
      <c r="K559">
        <v>323.25</v>
      </c>
      <c r="L559">
        <v>1698.51</v>
      </c>
      <c r="M559" t="s">
        <v>3357</v>
      </c>
      <c r="N559" t="s">
        <v>7130</v>
      </c>
      <c r="O559" t="s">
        <v>1746</v>
      </c>
      <c r="P559" t="s">
        <v>5977</v>
      </c>
      <c r="Q559" t="s">
        <v>5963</v>
      </c>
    </row>
    <row r="560" spans="1:18" x14ac:dyDescent="0.25">
      <c r="A560" t="s">
        <v>7131</v>
      </c>
      <c r="B560" t="s">
        <v>5981</v>
      </c>
      <c r="C560" t="s">
        <v>5971</v>
      </c>
      <c r="D560" t="s">
        <v>215</v>
      </c>
      <c r="E560">
        <v>27</v>
      </c>
      <c r="F560" t="s">
        <v>2407</v>
      </c>
      <c r="H560" t="s">
        <v>3303</v>
      </c>
      <c r="J560" t="s">
        <v>5297</v>
      </c>
      <c r="K560">
        <v>276.91000000000003</v>
      </c>
      <c r="L560">
        <v>12183.41</v>
      </c>
      <c r="M560" t="s">
        <v>2972</v>
      </c>
      <c r="N560" t="s">
        <v>7132</v>
      </c>
      <c r="O560" t="s">
        <v>1648</v>
      </c>
      <c r="P560" t="s">
        <v>5977</v>
      </c>
      <c r="Q560" t="s">
        <v>5963</v>
      </c>
      <c r="R560" t="s">
        <v>6002</v>
      </c>
    </row>
    <row r="561" spans="1:18" x14ac:dyDescent="0.25">
      <c r="A561" t="s">
        <v>7133</v>
      </c>
      <c r="B561" t="s">
        <v>5960</v>
      </c>
      <c r="C561" t="s">
        <v>5982</v>
      </c>
      <c r="D561" t="s">
        <v>885</v>
      </c>
      <c r="E561">
        <v>6</v>
      </c>
      <c r="F561" t="s">
        <v>2388</v>
      </c>
      <c r="G561" t="s">
        <v>2456</v>
      </c>
      <c r="H561" t="s">
        <v>2597</v>
      </c>
      <c r="I561" t="s">
        <v>2635</v>
      </c>
      <c r="J561" t="s">
        <v>4800</v>
      </c>
      <c r="K561">
        <v>191.78</v>
      </c>
      <c r="L561">
        <v>2103.4899999999998</v>
      </c>
      <c r="M561" t="s">
        <v>2762</v>
      </c>
      <c r="N561" t="s">
        <v>7134</v>
      </c>
      <c r="O561" t="s">
        <v>1746</v>
      </c>
      <c r="P561" t="s">
        <v>5977</v>
      </c>
      <c r="Q561" t="s">
        <v>5963</v>
      </c>
      <c r="R561" t="s">
        <v>5979</v>
      </c>
    </row>
    <row r="562" spans="1:18" x14ac:dyDescent="0.25">
      <c r="A562" t="s">
        <v>7135</v>
      </c>
      <c r="B562" t="s">
        <v>5981</v>
      </c>
      <c r="C562" t="s">
        <v>5981</v>
      </c>
      <c r="D562" t="s">
        <v>337</v>
      </c>
      <c r="E562">
        <v>23</v>
      </c>
      <c r="F562" t="s">
        <v>2425</v>
      </c>
      <c r="H562" t="s">
        <v>2644</v>
      </c>
      <c r="J562" t="s">
        <v>5817</v>
      </c>
      <c r="K562">
        <v>135.32</v>
      </c>
      <c r="L562">
        <v>3749.77</v>
      </c>
      <c r="M562" t="s">
        <v>3031</v>
      </c>
      <c r="N562" t="s">
        <v>7136</v>
      </c>
      <c r="O562" t="s">
        <v>5978</v>
      </c>
      <c r="P562" t="s">
        <v>5978</v>
      </c>
      <c r="Q562" t="s">
        <v>5963</v>
      </c>
    </row>
    <row r="563" spans="1:18" x14ac:dyDescent="0.25">
      <c r="A563" t="s">
        <v>7137</v>
      </c>
      <c r="B563" t="s">
        <v>5981</v>
      </c>
      <c r="C563" t="s">
        <v>5966</v>
      </c>
      <c r="D563" t="s">
        <v>1111</v>
      </c>
      <c r="E563">
        <v>73</v>
      </c>
      <c r="F563" t="s">
        <v>2416</v>
      </c>
      <c r="H563" t="s">
        <v>6221</v>
      </c>
      <c r="K563">
        <v>334.19</v>
      </c>
      <c r="L563">
        <v>18872.310000000001</v>
      </c>
      <c r="M563" t="s">
        <v>3228</v>
      </c>
      <c r="N563" t="s">
        <v>7138</v>
      </c>
      <c r="O563" t="s">
        <v>1764</v>
      </c>
      <c r="P563" t="s">
        <v>1897</v>
      </c>
      <c r="Q563" t="s">
        <v>5968</v>
      </c>
    </row>
    <row r="564" spans="1:18" x14ac:dyDescent="0.25">
      <c r="A564" t="s">
        <v>7139</v>
      </c>
      <c r="B564" t="s">
        <v>3442</v>
      </c>
      <c r="C564" t="s">
        <v>5961</v>
      </c>
      <c r="D564" t="s">
        <v>300</v>
      </c>
      <c r="E564">
        <v>60</v>
      </c>
      <c r="F564" t="s">
        <v>2449</v>
      </c>
      <c r="G564" t="s">
        <v>2440</v>
      </c>
      <c r="H564" t="s">
        <v>2889</v>
      </c>
      <c r="I564" t="s">
        <v>2644</v>
      </c>
      <c r="J564" t="s">
        <v>4744</v>
      </c>
      <c r="K564">
        <v>148.12</v>
      </c>
      <c r="L564">
        <v>3385.15</v>
      </c>
      <c r="M564" t="s">
        <v>3661</v>
      </c>
      <c r="N564" t="s">
        <v>7140</v>
      </c>
      <c r="O564" t="s">
        <v>2447</v>
      </c>
      <c r="P564" t="s">
        <v>1897</v>
      </c>
      <c r="Q564" t="s">
        <v>5963</v>
      </c>
      <c r="R564" t="s">
        <v>4235</v>
      </c>
    </row>
    <row r="565" spans="1:18" x14ac:dyDescent="0.25">
      <c r="A565" t="s">
        <v>7141</v>
      </c>
      <c r="B565" t="s">
        <v>5970</v>
      </c>
      <c r="C565" t="s">
        <v>5981</v>
      </c>
      <c r="D565" t="s">
        <v>545</v>
      </c>
      <c r="E565">
        <v>66</v>
      </c>
      <c r="F565" t="s">
        <v>2440</v>
      </c>
      <c r="H565" t="s">
        <v>2952</v>
      </c>
      <c r="J565" t="s">
        <v>2525</v>
      </c>
      <c r="K565">
        <v>104.27</v>
      </c>
      <c r="L565">
        <v>8221.25</v>
      </c>
      <c r="M565" t="s">
        <v>3621</v>
      </c>
      <c r="N565" t="s">
        <v>7142</v>
      </c>
      <c r="O565" t="s">
        <v>2447</v>
      </c>
      <c r="P565" t="s">
        <v>1648</v>
      </c>
      <c r="Q565" t="s">
        <v>5963</v>
      </c>
    </row>
    <row r="566" spans="1:18" x14ac:dyDescent="0.25">
      <c r="A566" t="s">
        <v>7143</v>
      </c>
      <c r="B566" t="s">
        <v>5960</v>
      </c>
      <c r="C566" t="s">
        <v>5971</v>
      </c>
      <c r="D566" t="s">
        <v>646</v>
      </c>
      <c r="E566">
        <v>82</v>
      </c>
      <c r="F566" t="s">
        <v>2398</v>
      </c>
      <c r="G566" t="s">
        <v>2416</v>
      </c>
      <c r="H566" t="s">
        <v>2705</v>
      </c>
      <c r="I566" t="s">
        <v>3162</v>
      </c>
      <c r="J566" t="s">
        <v>5930</v>
      </c>
      <c r="K566">
        <v>183.51</v>
      </c>
      <c r="L566">
        <v>19259.2</v>
      </c>
      <c r="M566" t="s">
        <v>2725</v>
      </c>
      <c r="N566" t="s">
        <v>7144</v>
      </c>
      <c r="O566" t="s">
        <v>1764</v>
      </c>
      <c r="P566" t="s">
        <v>5984</v>
      </c>
      <c r="Q566" t="s">
        <v>3434</v>
      </c>
    </row>
    <row r="567" spans="1:18" x14ac:dyDescent="0.25">
      <c r="A567" t="s">
        <v>7145</v>
      </c>
      <c r="B567" t="s">
        <v>3442</v>
      </c>
      <c r="C567" t="s">
        <v>5988</v>
      </c>
      <c r="D567" t="s">
        <v>1081</v>
      </c>
      <c r="E567">
        <v>9</v>
      </c>
      <c r="F567" t="s">
        <v>2388</v>
      </c>
      <c r="G567" t="s">
        <v>2440</v>
      </c>
      <c r="H567" t="s">
        <v>2939</v>
      </c>
      <c r="I567" t="s">
        <v>2705</v>
      </c>
      <c r="J567" t="s">
        <v>2525</v>
      </c>
      <c r="K567">
        <v>197.24</v>
      </c>
      <c r="L567">
        <v>2117.96</v>
      </c>
      <c r="M567" t="s">
        <v>1871</v>
      </c>
      <c r="N567" t="s">
        <v>7146</v>
      </c>
      <c r="O567" t="s">
        <v>1648</v>
      </c>
      <c r="P567" t="s">
        <v>1648</v>
      </c>
      <c r="Q567" t="s">
        <v>3434</v>
      </c>
      <c r="R567" t="s">
        <v>4235</v>
      </c>
    </row>
    <row r="568" spans="1:18" x14ac:dyDescent="0.25">
      <c r="A568" t="s">
        <v>7147</v>
      </c>
      <c r="B568" t="s">
        <v>3442</v>
      </c>
      <c r="C568" t="s">
        <v>5981</v>
      </c>
      <c r="D568" t="s">
        <v>295</v>
      </c>
      <c r="E568">
        <v>24</v>
      </c>
      <c r="F568" t="s">
        <v>2416</v>
      </c>
      <c r="G568" t="s">
        <v>2449</v>
      </c>
      <c r="H568" t="s">
        <v>2789</v>
      </c>
      <c r="I568" t="s">
        <v>3326</v>
      </c>
      <c r="J568" t="s">
        <v>4052</v>
      </c>
      <c r="K568">
        <v>196.73</v>
      </c>
      <c r="L568">
        <v>9109.41</v>
      </c>
      <c r="M568" t="s">
        <v>4009</v>
      </c>
      <c r="N568" t="s">
        <v>7148</v>
      </c>
      <c r="O568" t="s">
        <v>5984</v>
      </c>
      <c r="P568" t="s">
        <v>1648</v>
      </c>
      <c r="Q568" t="s">
        <v>3434</v>
      </c>
      <c r="R568" t="s">
        <v>4235</v>
      </c>
    </row>
    <row r="569" spans="1:18" x14ac:dyDescent="0.25">
      <c r="A569" t="s">
        <v>7149</v>
      </c>
      <c r="B569" t="s">
        <v>5970</v>
      </c>
      <c r="C569" t="s">
        <v>5981</v>
      </c>
      <c r="D569" t="s">
        <v>395</v>
      </c>
      <c r="E569">
        <v>63</v>
      </c>
      <c r="F569" t="s">
        <v>2376</v>
      </c>
      <c r="H569" t="s">
        <v>6238</v>
      </c>
      <c r="J569" t="s">
        <v>4571</v>
      </c>
      <c r="K569">
        <v>146.30000000000001</v>
      </c>
      <c r="L569">
        <v>8391.5</v>
      </c>
      <c r="M569" t="s">
        <v>7150</v>
      </c>
      <c r="N569" t="s">
        <v>7151</v>
      </c>
      <c r="O569" t="s">
        <v>5977</v>
      </c>
      <c r="P569" t="s">
        <v>1648</v>
      </c>
      <c r="Q569" t="s">
        <v>3434</v>
      </c>
    </row>
    <row r="570" spans="1:18" x14ac:dyDescent="0.25">
      <c r="A570" t="s">
        <v>7152</v>
      </c>
      <c r="B570" t="s">
        <v>5970</v>
      </c>
      <c r="C570" t="s">
        <v>5966</v>
      </c>
      <c r="D570" t="s">
        <v>870</v>
      </c>
      <c r="E570">
        <v>72</v>
      </c>
      <c r="F570" t="s">
        <v>2376</v>
      </c>
      <c r="H570" t="s">
        <v>2933</v>
      </c>
      <c r="J570" t="s">
        <v>5901</v>
      </c>
      <c r="K570">
        <v>451.62</v>
      </c>
      <c r="L570">
        <v>25346.01</v>
      </c>
      <c r="M570" t="s">
        <v>2286</v>
      </c>
      <c r="N570" t="s">
        <v>7153</v>
      </c>
      <c r="O570" t="s">
        <v>5984</v>
      </c>
      <c r="P570" t="s">
        <v>2447</v>
      </c>
      <c r="Q570" t="s">
        <v>5963</v>
      </c>
      <c r="R570" t="s">
        <v>4235</v>
      </c>
    </row>
    <row r="571" spans="1:18" x14ac:dyDescent="0.25">
      <c r="A571" t="s">
        <v>7154</v>
      </c>
      <c r="B571" t="s">
        <v>5981</v>
      </c>
      <c r="C571" t="s">
        <v>5981</v>
      </c>
      <c r="D571" t="s">
        <v>965</v>
      </c>
      <c r="E571">
        <v>40</v>
      </c>
      <c r="F571" t="s">
        <v>2398</v>
      </c>
      <c r="H571" t="s">
        <v>3084</v>
      </c>
      <c r="J571" t="s">
        <v>5210</v>
      </c>
      <c r="K571">
        <v>139.16</v>
      </c>
      <c r="L571">
        <v>2979.83</v>
      </c>
      <c r="M571" t="s">
        <v>3920</v>
      </c>
      <c r="N571" t="s">
        <v>7155</v>
      </c>
      <c r="O571" t="s">
        <v>1648</v>
      </c>
      <c r="P571" t="s">
        <v>5978</v>
      </c>
      <c r="Q571" t="s">
        <v>3434</v>
      </c>
      <c r="R571" t="s">
        <v>5979</v>
      </c>
    </row>
    <row r="572" spans="1:18" x14ac:dyDescent="0.25">
      <c r="A572" t="s">
        <v>7156</v>
      </c>
      <c r="B572" t="s">
        <v>5974</v>
      </c>
      <c r="C572" t="s">
        <v>5961</v>
      </c>
      <c r="D572" t="s">
        <v>990</v>
      </c>
      <c r="E572">
        <v>80</v>
      </c>
      <c r="F572" t="s">
        <v>2440</v>
      </c>
      <c r="H572" t="s">
        <v>2907</v>
      </c>
      <c r="J572" t="s">
        <v>2531</v>
      </c>
      <c r="K572">
        <v>219.78</v>
      </c>
      <c r="L572">
        <v>15109.88</v>
      </c>
      <c r="M572" t="s">
        <v>2849</v>
      </c>
      <c r="N572" t="s">
        <v>7157</v>
      </c>
      <c r="O572" t="s">
        <v>2447</v>
      </c>
      <c r="P572" t="s">
        <v>5978</v>
      </c>
      <c r="Q572" t="s">
        <v>5963</v>
      </c>
      <c r="R572" t="s">
        <v>6002</v>
      </c>
    </row>
    <row r="573" spans="1:18" x14ac:dyDescent="0.25">
      <c r="A573" t="s">
        <v>7158</v>
      </c>
      <c r="B573" t="s">
        <v>5974</v>
      </c>
      <c r="C573" t="s">
        <v>5988</v>
      </c>
      <c r="D573" t="s">
        <v>759</v>
      </c>
      <c r="E573">
        <v>21</v>
      </c>
      <c r="F573" t="s">
        <v>2376</v>
      </c>
      <c r="H573" t="s">
        <v>3060</v>
      </c>
      <c r="J573" t="s">
        <v>2522</v>
      </c>
      <c r="K573">
        <v>124.33</v>
      </c>
      <c r="L573">
        <v>5555.04</v>
      </c>
      <c r="M573" t="s">
        <v>3819</v>
      </c>
      <c r="N573" t="s">
        <v>7159</v>
      </c>
      <c r="O573" t="s">
        <v>1746</v>
      </c>
      <c r="P573" t="s">
        <v>1648</v>
      </c>
      <c r="Q573" t="s">
        <v>5963</v>
      </c>
    </row>
    <row r="574" spans="1:18" x14ac:dyDescent="0.25">
      <c r="A574" t="s">
        <v>7160</v>
      </c>
      <c r="B574" t="s">
        <v>5974</v>
      </c>
      <c r="C574" t="s">
        <v>5971</v>
      </c>
      <c r="D574" t="s">
        <v>1056</v>
      </c>
      <c r="E574">
        <v>21</v>
      </c>
      <c r="F574" t="s">
        <v>2416</v>
      </c>
      <c r="H574" t="s">
        <v>2920</v>
      </c>
      <c r="J574" t="s">
        <v>4167</v>
      </c>
      <c r="K574">
        <v>263.11</v>
      </c>
      <c r="L574">
        <v>1568.35</v>
      </c>
      <c r="M574" t="s">
        <v>2673</v>
      </c>
      <c r="N574" t="s">
        <v>7161</v>
      </c>
      <c r="O574" t="s">
        <v>1746</v>
      </c>
      <c r="P574" t="s">
        <v>1648</v>
      </c>
      <c r="Q574" t="s">
        <v>5963</v>
      </c>
    </row>
    <row r="575" spans="1:18" x14ac:dyDescent="0.25">
      <c r="A575" t="s">
        <v>7162</v>
      </c>
      <c r="B575" t="s">
        <v>5981</v>
      </c>
      <c r="C575" t="s">
        <v>5981</v>
      </c>
      <c r="D575" t="s">
        <v>426</v>
      </c>
      <c r="E575">
        <v>56</v>
      </c>
      <c r="F575" t="s">
        <v>2388</v>
      </c>
      <c r="H575" t="s">
        <v>3105</v>
      </c>
      <c r="J575" t="s">
        <v>2551</v>
      </c>
      <c r="K575">
        <v>89.12</v>
      </c>
      <c r="L575">
        <v>4014.57</v>
      </c>
      <c r="M575" t="s">
        <v>3753</v>
      </c>
      <c r="N575" t="s">
        <v>7163</v>
      </c>
      <c r="O575" t="s">
        <v>1897</v>
      </c>
      <c r="P575" t="s">
        <v>1746</v>
      </c>
      <c r="Q575" t="s">
        <v>5968</v>
      </c>
      <c r="R575" t="s">
        <v>6002</v>
      </c>
    </row>
    <row r="576" spans="1:18" x14ac:dyDescent="0.25">
      <c r="A576" t="s">
        <v>7164</v>
      </c>
      <c r="B576" t="s">
        <v>5974</v>
      </c>
      <c r="C576" t="s">
        <v>5993</v>
      </c>
      <c r="D576" t="s">
        <v>1081</v>
      </c>
      <c r="E576">
        <v>95</v>
      </c>
      <c r="F576" t="s">
        <v>2449</v>
      </c>
      <c r="H576" t="s">
        <v>2982</v>
      </c>
      <c r="J576" t="s">
        <v>4861</v>
      </c>
      <c r="K576">
        <v>450.27</v>
      </c>
      <c r="L576">
        <v>36979.72</v>
      </c>
      <c r="M576" t="s">
        <v>4164</v>
      </c>
      <c r="N576" t="s">
        <v>7165</v>
      </c>
      <c r="O576" t="s">
        <v>5984</v>
      </c>
      <c r="P576" t="s">
        <v>5977</v>
      </c>
      <c r="Q576" t="s">
        <v>5968</v>
      </c>
      <c r="R576" t="s">
        <v>5979</v>
      </c>
    </row>
    <row r="577" spans="1:18" x14ac:dyDescent="0.25">
      <c r="A577" t="s">
        <v>7166</v>
      </c>
      <c r="B577" t="s">
        <v>5965</v>
      </c>
      <c r="C577" t="s">
        <v>5966</v>
      </c>
      <c r="D577" t="s">
        <v>1021</v>
      </c>
      <c r="E577">
        <v>42</v>
      </c>
      <c r="F577" t="s">
        <v>2407</v>
      </c>
      <c r="H577" t="s">
        <v>6538</v>
      </c>
      <c r="J577" t="s">
        <v>3502</v>
      </c>
      <c r="K577">
        <v>362.93</v>
      </c>
      <c r="L577">
        <v>6547.84</v>
      </c>
      <c r="M577" t="s">
        <v>2820</v>
      </c>
      <c r="N577" t="s">
        <v>7167</v>
      </c>
      <c r="O577" t="s">
        <v>2447</v>
      </c>
      <c r="P577" t="s">
        <v>5977</v>
      </c>
      <c r="Q577" t="s">
        <v>3434</v>
      </c>
      <c r="R577" t="s">
        <v>6002</v>
      </c>
    </row>
    <row r="578" spans="1:18" x14ac:dyDescent="0.25">
      <c r="A578" t="s">
        <v>7168</v>
      </c>
      <c r="B578" t="s">
        <v>5981</v>
      </c>
      <c r="C578" t="s">
        <v>5981</v>
      </c>
      <c r="D578" t="s">
        <v>343</v>
      </c>
      <c r="E578">
        <v>35</v>
      </c>
      <c r="F578" t="s">
        <v>2456</v>
      </c>
      <c r="H578" t="s">
        <v>2597</v>
      </c>
      <c r="J578" t="s">
        <v>2538</v>
      </c>
      <c r="K578">
        <v>321.11</v>
      </c>
      <c r="L578">
        <v>14114.53</v>
      </c>
      <c r="M578" t="s">
        <v>2883</v>
      </c>
      <c r="N578" t="s">
        <v>7169</v>
      </c>
      <c r="O578" t="s">
        <v>2447</v>
      </c>
      <c r="P578" t="s">
        <v>5977</v>
      </c>
      <c r="Q578" t="s">
        <v>5963</v>
      </c>
    </row>
    <row r="579" spans="1:18" x14ac:dyDescent="0.25">
      <c r="A579" t="s">
        <v>7170</v>
      </c>
      <c r="B579" t="s">
        <v>5960</v>
      </c>
      <c r="C579" t="s">
        <v>5971</v>
      </c>
      <c r="D579" t="s">
        <v>95</v>
      </c>
      <c r="E579">
        <v>10</v>
      </c>
      <c r="F579" t="s">
        <v>2388</v>
      </c>
      <c r="G579" t="s">
        <v>2449</v>
      </c>
      <c r="H579" t="s">
        <v>6133</v>
      </c>
      <c r="I579" t="s">
        <v>2607</v>
      </c>
      <c r="K579">
        <v>213.72</v>
      </c>
      <c r="L579">
        <v>1473.12</v>
      </c>
      <c r="M579" t="s">
        <v>2900</v>
      </c>
      <c r="N579" t="s">
        <v>7171</v>
      </c>
      <c r="O579" t="s">
        <v>1897</v>
      </c>
      <c r="P579" t="s">
        <v>1648</v>
      </c>
      <c r="Q579" t="s">
        <v>5963</v>
      </c>
    </row>
    <row r="580" spans="1:18" x14ac:dyDescent="0.25">
      <c r="A580" t="s">
        <v>7172</v>
      </c>
      <c r="B580" t="s">
        <v>5960</v>
      </c>
      <c r="C580" t="s">
        <v>5975</v>
      </c>
      <c r="D580" t="s">
        <v>38</v>
      </c>
      <c r="E580">
        <v>76</v>
      </c>
      <c r="F580" t="s">
        <v>2388</v>
      </c>
      <c r="G580" t="s">
        <v>2398</v>
      </c>
      <c r="H580" t="s">
        <v>3378</v>
      </c>
      <c r="I580" t="s">
        <v>2639</v>
      </c>
      <c r="J580" t="s">
        <v>2551</v>
      </c>
      <c r="K580">
        <v>267.76</v>
      </c>
      <c r="L580">
        <v>4995.78</v>
      </c>
      <c r="M580" t="s">
        <v>4748</v>
      </c>
      <c r="N580" t="s">
        <v>7173</v>
      </c>
      <c r="O580" t="s">
        <v>5984</v>
      </c>
      <c r="P580" t="s">
        <v>2447</v>
      </c>
      <c r="Q580" t="s">
        <v>5963</v>
      </c>
    </row>
    <row r="581" spans="1:18" x14ac:dyDescent="0.25">
      <c r="A581" t="s">
        <v>7174</v>
      </c>
      <c r="B581" t="s">
        <v>5981</v>
      </c>
      <c r="C581" t="s">
        <v>5988</v>
      </c>
      <c r="D581" t="s">
        <v>1101</v>
      </c>
      <c r="E581">
        <v>59</v>
      </c>
      <c r="F581" t="s">
        <v>2432</v>
      </c>
      <c r="H581" t="s">
        <v>2607</v>
      </c>
      <c r="K581">
        <v>345.27</v>
      </c>
      <c r="L581">
        <v>19911.580000000002</v>
      </c>
      <c r="M581" t="s">
        <v>3389</v>
      </c>
      <c r="N581" t="s">
        <v>7175</v>
      </c>
      <c r="O581" t="s">
        <v>1897</v>
      </c>
      <c r="P581" t="s">
        <v>5984</v>
      </c>
      <c r="Q581" t="s">
        <v>5963</v>
      </c>
    </row>
    <row r="582" spans="1:18" x14ac:dyDescent="0.25">
      <c r="A582" t="s">
        <v>7176</v>
      </c>
      <c r="B582" t="s">
        <v>3442</v>
      </c>
      <c r="C582" t="s">
        <v>6011</v>
      </c>
      <c r="D582" t="s">
        <v>505</v>
      </c>
      <c r="E582">
        <v>68</v>
      </c>
      <c r="F582" t="s">
        <v>2407</v>
      </c>
      <c r="G582" t="s">
        <v>2449</v>
      </c>
      <c r="H582" t="s">
        <v>2680</v>
      </c>
      <c r="I582" t="s">
        <v>3121</v>
      </c>
      <c r="J582" t="s">
        <v>2564</v>
      </c>
      <c r="K582">
        <v>187</v>
      </c>
      <c r="L582">
        <v>22335.48</v>
      </c>
      <c r="M582" t="s">
        <v>2863</v>
      </c>
      <c r="N582" t="s">
        <v>7177</v>
      </c>
      <c r="O582" t="s">
        <v>2447</v>
      </c>
      <c r="P582" t="s">
        <v>1764</v>
      </c>
      <c r="Q582" t="s">
        <v>5963</v>
      </c>
    </row>
    <row r="583" spans="1:18" x14ac:dyDescent="0.25">
      <c r="A583" t="s">
        <v>7178</v>
      </c>
      <c r="B583" t="s">
        <v>5974</v>
      </c>
      <c r="C583" t="s">
        <v>5961</v>
      </c>
      <c r="D583" t="s">
        <v>279</v>
      </c>
      <c r="E583">
        <v>69</v>
      </c>
      <c r="F583" t="s">
        <v>2416</v>
      </c>
      <c r="H583" t="s">
        <v>2694</v>
      </c>
      <c r="K583">
        <v>437.47</v>
      </c>
      <c r="L583">
        <v>20382.060000000001</v>
      </c>
      <c r="M583" t="s">
        <v>3670</v>
      </c>
      <c r="N583" t="s">
        <v>7179</v>
      </c>
      <c r="O583" t="s">
        <v>5977</v>
      </c>
      <c r="P583" t="s">
        <v>1746</v>
      </c>
      <c r="Q583" t="s">
        <v>5963</v>
      </c>
    </row>
    <row r="584" spans="1:18" x14ac:dyDescent="0.25">
      <c r="A584" t="s">
        <v>7180</v>
      </c>
      <c r="B584" t="s">
        <v>6026</v>
      </c>
      <c r="C584" t="s">
        <v>5961</v>
      </c>
      <c r="D584" t="s">
        <v>596</v>
      </c>
      <c r="E584">
        <v>86</v>
      </c>
      <c r="F584" t="s">
        <v>2376</v>
      </c>
      <c r="H584" t="s">
        <v>2586</v>
      </c>
      <c r="J584" t="s">
        <v>4734</v>
      </c>
      <c r="K584">
        <v>364.05</v>
      </c>
      <c r="L584">
        <v>25445.08</v>
      </c>
      <c r="M584" t="s">
        <v>3788</v>
      </c>
      <c r="N584" t="s">
        <v>7181</v>
      </c>
      <c r="O584" t="s">
        <v>5984</v>
      </c>
      <c r="P584" t="s">
        <v>1746</v>
      </c>
      <c r="Q584" t="s">
        <v>3434</v>
      </c>
      <c r="R584" t="s">
        <v>5979</v>
      </c>
    </row>
    <row r="585" spans="1:18" x14ac:dyDescent="0.25">
      <c r="A585" t="s">
        <v>7182</v>
      </c>
      <c r="B585" t="s">
        <v>5970</v>
      </c>
      <c r="C585" t="s">
        <v>5961</v>
      </c>
      <c r="D585" t="s">
        <v>571</v>
      </c>
      <c r="E585">
        <v>19</v>
      </c>
      <c r="F585" t="s">
        <v>2398</v>
      </c>
      <c r="H585" t="s">
        <v>3140</v>
      </c>
      <c r="J585" t="s">
        <v>2531</v>
      </c>
      <c r="K585">
        <v>303.8</v>
      </c>
      <c r="L585">
        <v>7153.42</v>
      </c>
      <c r="M585" t="s">
        <v>3755</v>
      </c>
      <c r="N585" t="s">
        <v>7183</v>
      </c>
      <c r="O585" t="s">
        <v>1648</v>
      </c>
      <c r="P585" t="s">
        <v>1746</v>
      </c>
      <c r="Q585" t="s">
        <v>3434</v>
      </c>
      <c r="R585" t="s">
        <v>5979</v>
      </c>
    </row>
    <row r="586" spans="1:18" x14ac:dyDescent="0.25">
      <c r="A586" t="s">
        <v>7184</v>
      </c>
      <c r="B586" t="s">
        <v>5981</v>
      </c>
      <c r="C586" t="s">
        <v>5966</v>
      </c>
      <c r="D586" t="s">
        <v>87</v>
      </c>
      <c r="E586">
        <v>13</v>
      </c>
      <c r="F586" t="s">
        <v>2432</v>
      </c>
      <c r="H586" t="s">
        <v>6333</v>
      </c>
      <c r="J586" t="s">
        <v>2531</v>
      </c>
      <c r="K586">
        <v>407.6</v>
      </c>
      <c r="L586">
        <v>4990.53</v>
      </c>
      <c r="M586" t="s">
        <v>3777</v>
      </c>
      <c r="N586" t="s">
        <v>7185</v>
      </c>
      <c r="O586" t="s">
        <v>2447</v>
      </c>
      <c r="P586" t="s">
        <v>1746</v>
      </c>
      <c r="Q586" t="s">
        <v>5963</v>
      </c>
    </row>
    <row r="587" spans="1:18" x14ac:dyDescent="0.25">
      <c r="A587" t="s">
        <v>7186</v>
      </c>
      <c r="B587" t="s">
        <v>3442</v>
      </c>
      <c r="C587" t="s">
        <v>6011</v>
      </c>
      <c r="D587" t="s">
        <v>343</v>
      </c>
      <c r="E587">
        <v>65</v>
      </c>
      <c r="F587" t="s">
        <v>2398</v>
      </c>
      <c r="G587" t="s">
        <v>2432</v>
      </c>
      <c r="H587" t="s">
        <v>3077</v>
      </c>
      <c r="I587" t="s">
        <v>6147</v>
      </c>
      <c r="J587" t="s">
        <v>4332</v>
      </c>
      <c r="K587">
        <v>87.65</v>
      </c>
      <c r="L587">
        <v>23308.76</v>
      </c>
      <c r="M587" t="s">
        <v>7150</v>
      </c>
      <c r="N587" t="s">
        <v>7187</v>
      </c>
      <c r="O587" t="s">
        <v>2447</v>
      </c>
      <c r="P587" t="s">
        <v>5978</v>
      </c>
      <c r="Q587" t="s">
        <v>5963</v>
      </c>
    </row>
    <row r="588" spans="1:18" x14ac:dyDescent="0.25">
      <c r="A588" t="s">
        <v>7188</v>
      </c>
      <c r="B588" t="s">
        <v>5960</v>
      </c>
      <c r="C588" t="s">
        <v>5993</v>
      </c>
      <c r="D588" t="s">
        <v>353</v>
      </c>
      <c r="E588">
        <v>10</v>
      </c>
      <c r="F588" t="s">
        <v>2416</v>
      </c>
      <c r="G588" t="s">
        <v>2388</v>
      </c>
      <c r="H588" t="s">
        <v>2966</v>
      </c>
      <c r="I588" t="s">
        <v>2903</v>
      </c>
      <c r="J588" t="s">
        <v>4966</v>
      </c>
      <c r="K588">
        <v>275.81</v>
      </c>
      <c r="L588">
        <v>1237.17</v>
      </c>
      <c r="M588" t="s">
        <v>3432</v>
      </c>
      <c r="N588" t="s">
        <v>7189</v>
      </c>
      <c r="O588" t="s">
        <v>1764</v>
      </c>
      <c r="P588" t="s">
        <v>1764</v>
      </c>
      <c r="Q588" t="s">
        <v>5963</v>
      </c>
    </row>
    <row r="589" spans="1:18" x14ac:dyDescent="0.25">
      <c r="A589" t="s">
        <v>7190</v>
      </c>
      <c r="B589" t="s">
        <v>5960</v>
      </c>
      <c r="C589" t="s">
        <v>5981</v>
      </c>
      <c r="D589" t="s">
        <v>749</v>
      </c>
      <c r="E589">
        <v>65</v>
      </c>
      <c r="F589" t="s">
        <v>2440</v>
      </c>
      <c r="G589" t="s">
        <v>2456</v>
      </c>
      <c r="H589" t="s">
        <v>3378</v>
      </c>
      <c r="I589" t="s">
        <v>2784</v>
      </c>
      <c r="K589">
        <v>342.69</v>
      </c>
      <c r="L589">
        <v>14736.57</v>
      </c>
      <c r="M589" t="s">
        <v>3301</v>
      </c>
      <c r="N589" t="s">
        <v>7191</v>
      </c>
      <c r="O589" t="s">
        <v>2447</v>
      </c>
      <c r="P589" t="s">
        <v>5984</v>
      </c>
      <c r="Q589" t="s">
        <v>5968</v>
      </c>
    </row>
    <row r="590" spans="1:18" x14ac:dyDescent="0.25">
      <c r="A590" t="s">
        <v>7192</v>
      </c>
      <c r="B590" t="s">
        <v>3442</v>
      </c>
      <c r="C590" t="s">
        <v>5966</v>
      </c>
      <c r="D590" t="s">
        <v>525</v>
      </c>
      <c r="E590">
        <v>92</v>
      </c>
      <c r="F590" t="s">
        <v>2440</v>
      </c>
      <c r="G590" t="s">
        <v>2398</v>
      </c>
      <c r="H590" t="s">
        <v>3067</v>
      </c>
      <c r="I590" t="s">
        <v>2982</v>
      </c>
      <c r="J590" t="s">
        <v>3945</v>
      </c>
      <c r="K590">
        <v>296.82</v>
      </c>
      <c r="L590">
        <v>27978.9</v>
      </c>
      <c r="M590" t="s">
        <v>3278</v>
      </c>
      <c r="N590" t="s">
        <v>7193</v>
      </c>
      <c r="O590" t="s">
        <v>1648</v>
      </c>
      <c r="P590" t="s">
        <v>1746</v>
      </c>
      <c r="Q590" t="s">
        <v>5963</v>
      </c>
    </row>
    <row r="591" spans="1:18" x14ac:dyDescent="0.25">
      <c r="A591" t="s">
        <v>7194</v>
      </c>
      <c r="B591" t="s">
        <v>6026</v>
      </c>
      <c r="C591" t="s">
        <v>5966</v>
      </c>
      <c r="D591" t="s">
        <v>203</v>
      </c>
      <c r="E591">
        <v>97</v>
      </c>
      <c r="F591" t="s">
        <v>2407</v>
      </c>
      <c r="H591" t="s">
        <v>3084</v>
      </c>
      <c r="K591">
        <v>82.85</v>
      </c>
      <c r="L591">
        <v>31823.56</v>
      </c>
      <c r="M591" t="s">
        <v>3144</v>
      </c>
      <c r="N591" t="s">
        <v>7195</v>
      </c>
      <c r="O591" t="s">
        <v>1746</v>
      </c>
      <c r="P591" t="s">
        <v>5978</v>
      </c>
      <c r="Q591" t="s">
        <v>5963</v>
      </c>
      <c r="R591" t="s">
        <v>5979</v>
      </c>
    </row>
    <row r="592" spans="1:18" x14ac:dyDescent="0.25">
      <c r="A592" t="s">
        <v>7196</v>
      </c>
      <c r="B592" t="s">
        <v>3442</v>
      </c>
      <c r="C592" t="s">
        <v>5982</v>
      </c>
      <c r="D592" t="s">
        <v>159</v>
      </c>
      <c r="E592">
        <v>9</v>
      </c>
      <c r="F592" t="s">
        <v>2416</v>
      </c>
      <c r="G592" t="s">
        <v>2440</v>
      </c>
      <c r="H592" t="s">
        <v>3373</v>
      </c>
      <c r="I592" t="s">
        <v>3378</v>
      </c>
      <c r="J592" t="s">
        <v>5126</v>
      </c>
      <c r="K592">
        <v>472.62</v>
      </c>
      <c r="L592">
        <v>3924.12</v>
      </c>
      <c r="M592" t="s">
        <v>4078</v>
      </c>
      <c r="N592" t="s">
        <v>7197</v>
      </c>
      <c r="O592" t="s">
        <v>1897</v>
      </c>
      <c r="P592" t="s">
        <v>1648</v>
      </c>
      <c r="Q592" t="s">
        <v>5963</v>
      </c>
    </row>
    <row r="593" spans="1:18" x14ac:dyDescent="0.25">
      <c r="A593" t="s">
        <v>7198</v>
      </c>
      <c r="B593" t="s">
        <v>5960</v>
      </c>
      <c r="C593" t="s">
        <v>5961</v>
      </c>
      <c r="D593" t="s">
        <v>432</v>
      </c>
      <c r="E593">
        <v>8</v>
      </c>
      <c r="F593" t="s">
        <v>2416</v>
      </c>
      <c r="G593" t="s">
        <v>2416</v>
      </c>
      <c r="H593" t="s">
        <v>3140</v>
      </c>
      <c r="I593" t="s">
        <v>6603</v>
      </c>
      <c r="J593" t="s">
        <v>4523</v>
      </c>
      <c r="K593">
        <v>419.43</v>
      </c>
      <c r="L593">
        <v>1606.97</v>
      </c>
      <c r="M593" t="s">
        <v>2816</v>
      </c>
      <c r="N593" t="s">
        <v>7199</v>
      </c>
      <c r="O593" t="s">
        <v>1897</v>
      </c>
      <c r="P593" t="s">
        <v>1764</v>
      </c>
      <c r="Q593" t="s">
        <v>3434</v>
      </c>
      <c r="R593" t="s">
        <v>5979</v>
      </c>
    </row>
    <row r="594" spans="1:18" x14ac:dyDescent="0.25">
      <c r="A594" t="s">
        <v>7200</v>
      </c>
      <c r="B594" t="s">
        <v>6026</v>
      </c>
      <c r="C594" t="s">
        <v>6011</v>
      </c>
      <c r="D594" t="s">
        <v>860</v>
      </c>
      <c r="E594">
        <v>44</v>
      </c>
      <c r="F594" t="s">
        <v>2456</v>
      </c>
      <c r="H594" t="s">
        <v>6040</v>
      </c>
      <c r="J594" t="s">
        <v>3560</v>
      </c>
      <c r="K594">
        <v>405.57</v>
      </c>
      <c r="L594">
        <v>11107.04</v>
      </c>
      <c r="M594" t="s">
        <v>2614</v>
      </c>
      <c r="N594" t="s">
        <v>7201</v>
      </c>
      <c r="O594" t="s">
        <v>1764</v>
      </c>
      <c r="P594" t="s">
        <v>1764</v>
      </c>
      <c r="Q594" t="s">
        <v>5963</v>
      </c>
    </row>
    <row r="595" spans="1:18" x14ac:dyDescent="0.25">
      <c r="A595" t="s">
        <v>7202</v>
      </c>
      <c r="B595" t="s">
        <v>5970</v>
      </c>
      <c r="C595" t="s">
        <v>5961</v>
      </c>
      <c r="D595" t="s">
        <v>965</v>
      </c>
      <c r="E595">
        <v>27</v>
      </c>
      <c r="F595" t="s">
        <v>2416</v>
      </c>
      <c r="H595" t="s">
        <v>3281</v>
      </c>
      <c r="J595" t="s">
        <v>3809</v>
      </c>
      <c r="K595">
        <v>248.19</v>
      </c>
      <c r="L595">
        <v>9333.99</v>
      </c>
      <c r="M595" t="s">
        <v>3741</v>
      </c>
      <c r="N595" t="s">
        <v>7203</v>
      </c>
      <c r="O595" t="s">
        <v>1746</v>
      </c>
      <c r="P595" t="s">
        <v>2447</v>
      </c>
      <c r="Q595" t="s">
        <v>5968</v>
      </c>
    </row>
    <row r="596" spans="1:18" x14ac:dyDescent="0.25">
      <c r="A596" t="s">
        <v>7204</v>
      </c>
      <c r="B596" t="s">
        <v>5981</v>
      </c>
      <c r="C596" t="s">
        <v>5975</v>
      </c>
      <c r="D596" t="s">
        <v>865</v>
      </c>
      <c r="E596">
        <v>83</v>
      </c>
      <c r="F596" t="s">
        <v>2449</v>
      </c>
      <c r="H596" t="s">
        <v>2620</v>
      </c>
      <c r="J596" t="s">
        <v>4052</v>
      </c>
      <c r="K596">
        <v>212.34</v>
      </c>
      <c r="L596">
        <v>22900.87</v>
      </c>
      <c r="M596" t="s">
        <v>4124</v>
      </c>
      <c r="N596" t="s">
        <v>7205</v>
      </c>
      <c r="O596" t="s">
        <v>1648</v>
      </c>
      <c r="P596" t="s">
        <v>1648</v>
      </c>
      <c r="Q596" t="s">
        <v>5963</v>
      </c>
      <c r="R596" t="s">
        <v>4235</v>
      </c>
    </row>
    <row r="597" spans="1:18" x14ac:dyDescent="0.25">
      <c r="A597" t="s">
        <v>7206</v>
      </c>
      <c r="B597" t="s">
        <v>5974</v>
      </c>
      <c r="C597" t="s">
        <v>5975</v>
      </c>
      <c r="D597" t="s">
        <v>990</v>
      </c>
      <c r="E597">
        <v>81</v>
      </c>
      <c r="F597" t="s">
        <v>2416</v>
      </c>
      <c r="H597" t="s">
        <v>3231</v>
      </c>
      <c r="J597" t="s">
        <v>2541</v>
      </c>
      <c r="K597">
        <v>349.69</v>
      </c>
      <c r="L597">
        <v>11174.09</v>
      </c>
      <c r="M597" t="s">
        <v>3917</v>
      </c>
      <c r="N597" t="s">
        <v>7207</v>
      </c>
      <c r="O597" t="s">
        <v>5978</v>
      </c>
      <c r="P597" t="s">
        <v>1897</v>
      </c>
      <c r="Q597" t="s">
        <v>5963</v>
      </c>
      <c r="R597" t="s">
        <v>6002</v>
      </c>
    </row>
    <row r="598" spans="1:18" x14ac:dyDescent="0.25">
      <c r="A598" t="s">
        <v>7208</v>
      </c>
      <c r="B598" t="s">
        <v>3442</v>
      </c>
      <c r="C598" t="s">
        <v>5982</v>
      </c>
      <c r="D598" t="s">
        <v>448</v>
      </c>
      <c r="E598">
        <v>18</v>
      </c>
      <c r="F598" t="s">
        <v>2407</v>
      </c>
      <c r="G598" t="s">
        <v>2456</v>
      </c>
      <c r="H598" t="s">
        <v>5998</v>
      </c>
      <c r="I598" t="s">
        <v>2705</v>
      </c>
      <c r="K598">
        <v>298.88</v>
      </c>
      <c r="L598">
        <v>5378.14</v>
      </c>
      <c r="M598" t="s">
        <v>3446</v>
      </c>
      <c r="N598" t="s">
        <v>7209</v>
      </c>
      <c r="O598" t="s">
        <v>1746</v>
      </c>
      <c r="P598" t="s">
        <v>1746</v>
      </c>
      <c r="Q598" t="s">
        <v>3434</v>
      </c>
    </row>
    <row r="599" spans="1:18" x14ac:dyDescent="0.25">
      <c r="A599" t="s">
        <v>7210</v>
      </c>
      <c r="B599" t="s">
        <v>3442</v>
      </c>
      <c r="C599" t="s">
        <v>5961</v>
      </c>
      <c r="D599" t="s">
        <v>390</v>
      </c>
      <c r="E599">
        <v>31</v>
      </c>
      <c r="F599" t="s">
        <v>2432</v>
      </c>
      <c r="G599" t="s">
        <v>2398</v>
      </c>
      <c r="H599" t="s">
        <v>6231</v>
      </c>
      <c r="I599" t="s">
        <v>3094</v>
      </c>
      <c r="K599">
        <v>102.51</v>
      </c>
      <c r="L599">
        <v>11191.63</v>
      </c>
      <c r="M599" t="s">
        <v>2858</v>
      </c>
      <c r="N599" t="s">
        <v>7211</v>
      </c>
      <c r="O599" t="s">
        <v>1897</v>
      </c>
      <c r="P599" t="s">
        <v>1648</v>
      </c>
      <c r="Q599" t="s">
        <v>5963</v>
      </c>
      <c r="R599" t="s">
        <v>4235</v>
      </c>
    </row>
    <row r="600" spans="1:18" x14ac:dyDescent="0.25">
      <c r="A600" t="s">
        <v>7212</v>
      </c>
      <c r="B600" t="s">
        <v>3442</v>
      </c>
      <c r="C600" t="s">
        <v>5981</v>
      </c>
      <c r="D600" t="s">
        <v>327</v>
      </c>
      <c r="E600">
        <v>54</v>
      </c>
      <c r="F600" t="s">
        <v>2398</v>
      </c>
      <c r="G600" t="s">
        <v>2449</v>
      </c>
      <c r="H600" t="s">
        <v>6115</v>
      </c>
      <c r="I600" t="s">
        <v>2630</v>
      </c>
      <c r="J600" t="s">
        <v>5270</v>
      </c>
      <c r="K600">
        <v>174.17</v>
      </c>
      <c r="L600">
        <v>11540.49</v>
      </c>
      <c r="M600" t="s">
        <v>2839</v>
      </c>
      <c r="N600" t="s">
        <v>7213</v>
      </c>
      <c r="O600" t="s">
        <v>5978</v>
      </c>
      <c r="P600" t="s">
        <v>1648</v>
      </c>
      <c r="Q600" t="s">
        <v>5963</v>
      </c>
    </row>
    <row r="601" spans="1:18" x14ac:dyDescent="0.25">
      <c r="A601" t="s">
        <v>7214</v>
      </c>
      <c r="B601" t="s">
        <v>5970</v>
      </c>
      <c r="C601" t="s">
        <v>5982</v>
      </c>
      <c r="D601" t="s">
        <v>192</v>
      </c>
      <c r="E601">
        <v>10</v>
      </c>
      <c r="F601" t="s">
        <v>2425</v>
      </c>
      <c r="H601" t="s">
        <v>3179</v>
      </c>
      <c r="J601" t="s">
        <v>4910</v>
      </c>
      <c r="K601">
        <v>265.12</v>
      </c>
      <c r="L601">
        <v>1799.69</v>
      </c>
      <c r="M601" t="s">
        <v>4686</v>
      </c>
      <c r="N601" t="s">
        <v>7215</v>
      </c>
      <c r="O601" t="s">
        <v>5978</v>
      </c>
      <c r="P601" t="s">
        <v>1746</v>
      </c>
      <c r="Q601" t="s">
        <v>5963</v>
      </c>
      <c r="R601" t="s">
        <v>5979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Productos</vt:lpstr>
      <vt:lpstr>Proveedores</vt:lpstr>
      <vt:lpstr>Clientes</vt:lpstr>
      <vt:lpstr>Almacenes</vt:lpstr>
      <vt:lpstr>Transporte</vt:lpstr>
      <vt:lpstr>Inventario</vt:lpstr>
      <vt:lpstr>Compras</vt:lpstr>
      <vt:lpstr>Devoluciones</vt:lpstr>
      <vt:lpstr>Incidentes_Transporte</vt:lpstr>
      <vt:lpstr>Ventas</vt:lpstr>
      <vt:lpstr>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163_95431014499</cp:lastModifiedBy>
  <dcterms:created xsi:type="dcterms:W3CDTF">2026-07-16T21:16:50Z</dcterms:created>
  <dcterms:modified xsi:type="dcterms:W3CDTF">2026-07-17T20:48:53Z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2026-07-17T20:08:02Z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fc0919a5-9660-4172-9252-a77177212ab3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